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E757BCB4-07E6-AE0B-56E0-F0EEF7A6E26C}"/>
  <workbookPr codeName="ThisWorkbook" hidePivotFieldList="1"/>
  <mc:AlternateContent xmlns:mc="http://schemas.openxmlformats.org/markup-compatibility/2006">
    <mc:Choice Requires="x15">
      <x15ac:absPath xmlns:x15ac="http://schemas.microsoft.com/office/spreadsheetml/2010/11/ac" url="C:\Users\gavin\Downloads\"/>
    </mc:Choice>
  </mc:AlternateContent>
  <xr:revisionPtr revIDLastSave="0" documentId="13_ncr:1_{6D3D5BA3-582C-486D-B3AE-77E2ED739139}" xr6:coauthVersionLast="47" xr6:coauthVersionMax="47" xr10:uidLastSave="{00000000-0000-0000-0000-000000000000}"/>
  <bookViews>
    <workbookView xWindow="-108" yWindow="-108" windowWidth="23256" windowHeight="12456" activeTab="2" xr2:uid="{00000000-000D-0000-FFFF-FFFF00000000}"/>
  </bookViews>
  <sheets>
    <sheet name="Data" sheetId="1" r:id="rId1"/>
    <sheet name="Sheet3" sheetId="7" r:id="rId2"/>
    <sheet name="Project Output" sheetId="4" r:id="rId3"/>
    <sheet name="Data Dictionary" sheetId="3" r:id="rId4"/>
  </sheets>
  <definedNames>
    <definedName name="acousticness">Data!$U$2:$U$954</definedName>
    <definedName name="artists_name">Data!$B$2:$B$954</definedName>
    <definedName name="bpm">Data!$M$2:$M$954</definedName>
    <definedName name="danceability">Data!$P$2:$P$954</definedName>
    <definedName name="energy">Data!$S$2:$S$954</definedName>
    <definedName name="Energy_Level">Data!$T$2:$T$954</definedName>
    <definedName name="in_apple_charts">Data!$H$2:$H$954</definedName>
    <definedName name="in_apple_playlists">Data!$G$2:$G$954</definedName>
    <definedName name="in_deezer_charts">Data!$J$2:$J$954</definedName>
    <definedName name="in_deezer_playlists">Data!$I$2:$I$954</definedName>
    <definedName name="in_shazam_charts">Data!$K$2:$K$954</definedName>
    <definedName name="in_spotify_charts">Data!$F$2:$F$954</definedName>
    <definedName name="in_spotify_playlists">Data!$E$2:$E$954</definedName>
    <definedName name="instrumentalness">Data!$V$2:$V$954</definedName>
    <definedName name="key">Data!$N$2:$N$954</definedName>
    <definedName name="liveness">Data!$W$2:$W$954</definedName>
    <definedName name="mode">Data!$O$2:$O$954</definedName>
    <definedName name="Mood">Data!$R$2:$R$954</definedName>
    <definedName name="num_artists">Data!$C$2:$C$954</definedName>
    <definedName name="Random">Data!$Y$2:$Y$954</definedName>
    <definedName name="release_date">Data!$D$2:$D$954</definedName>
    <definedName name="Slicer_Energy_Level">#N/A</definedName>
    <definedName name="Slicer_Mood">#N/A</definedName>
    <definedName name="speechiness">Data!$X$2:$X$954</definedName>
    <definedName name="streams">Data!$L$2:$L$954</definedName>
    <definedName name="track_name">Data!$A$2:$A$954</definedName>
    <definedName name="TStart">Data!$A$1</definedName>
    <definedName name="valence">Data!$Q$2:$Q$954</definedName>
  </definedNames>
  <calcPr calcId="191028"/>
  <pivotCaches>
    <pivotCache cacheId="1"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7" l="1" a="1"/>
  <c r="B3" i="7" s="1"/>
  <c r="K9" i="4" s="1" a="1"/>
  <c r="K9" i="4" s="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2" i="1"/>
  <c r="T3" i="1" a="1"/>
  <c r="T3" i="1" s="1"/>
  <c r="T4" i="1" a="1"/>
  <c r="T4" i="1" s="1"/>
  <c r="T5" i="1" a="1"/>
  <c r="T5" i="1" s="1"/>
  <c r="T6" i="1" a="1"/>
  <c r="T6" i="1" s="1"/>
  <c r="T7" i="1" a="1"/>
  <c r="T7" i="1" s="1"/>
  <c r="T8" i="1" a="1"/>
  <c r="T8" i="1"/>
  <c r="T9" i="1" a="1"/>
  <c r="T9" i="1" s="1"/>
  <c r="T10" i="1" a="1"/>
  <c r="T10" i="1" s="1"/>
  <c r="T11" i="1" a="1"/>
  <c r="T11" i="1" s="1"/>
  <c r="T12" i="1" a="1"/>
  <c r="T12" i="1" s="1"/>
  <c r="T13" i="1" a="1"/>
  <c r="T13" i="1" s="1"/>
  <c r="T14" i="1" a="1"/>
  <c r="T14" i="1"/>
  <c r="T15" i="1" a="1"/>
  <c r="T15" i="1" s="1"/>
  <c r="T16" i="1" a="1"/>
  <c r="T16" i="1" s="1"/>
  <c r="T17" i="1" a="1"/>
  <c r="T17" i="1" s="1"/>
  <c r="T18" i="1" a="1"/>
  <c r="T18" i="1" s="1"/>
  <c r="T19" i="1" a="1"/>
  <c r="T19" i="1" s="1"/>
  <c r="T20" i="1" a="1"/>
  <c r="T20" i="1" s="1"/>
  <c r="T21" i="1" a="1"/>
  <c r="T21" i="1" s="1"/>
  <c r="T22" i="1" a="1"/>
  <c r="T22" i="1" s="1"/>
  <c r="T23" i="1" a="1"/>
  <c r="T23" i="1" s="1"/>
  <c r="T24" i="1" a="1"/>
  <c r="T24" i="1" s="1"/>
  <c r="T25" i="1" a="1"/>
  <c r="T25" i="1" s="1"/>
  <c r="T26" i="1" a="1"/>
  <c r="T26" i="1" s="1"/>
  <c r="T27" i="1" a="1"/>
  <c r="T27" i="1" s="1"/>
  <c r="T28" i="1" a="1"/>
  <c r="T28" i="1" s="1"/>
  <c r="T29" i="1" a="1"/>
  <c r="T29" i="1" s="1"/>
  <c r="T30" i="1" a="1"/>
  <c r="T30" i="1" s="1"/>
  <c r="T31" i="1" a="1"/>
  <c r="T31" i="1" s="1"/>
  <c r="T32" i="1" a="1"/>
  <c r="T32" i="1" s="1"/>
  <c r="T33" i="1" a="1"/>
  <c r="T33" i="1" s="1"/>
  <c r="T34" i="1" a="1"/>
  <c r="T34" i="1" s="1"/>
  <c r="T35" i="1" a="1"/>
  <c r="T35" i="1" s="1"/>
  <c r="T36" i="1" a="1"/>
  <c r="T36" i="1" s="1"/>
  <c r="T37" i="1" a="1"/>
  <c r="T37" i="1" s="1"/>
  <c r="T38" i="1" a="1"/>
  <c r="T38" i="1" s="1"/>
  <c r="T39" i="1" a="1"/>
  <c r="T39" i="1" s="1"/>
  <c r="T40" i="1" a="1"/>
  <c r="T40" i="1" s="1"/>
  <c r="T41" i="1" a="1"/>
  <c r="T41" i="1" s="1"/>
  <c r="T42" i="1" a="1"/>
  <c r="T42" i="1" s="1"/>
  <c r="T43" i="1" a="1"/>
  <c r="T43" i="1" s="1"/>
  <c r="T44" i="1" a="1"/>
  <c r="T44" i="1" s="1"/>
  <c r="T45" i="1" a="1"/>
  <c r="T45" i="1" s="1"/>
  <c r="T46" i="1" a="1"/>
  <c r="T46" i="1"/>
  <c r="T47" i="1" a="1"/>
  <c r="T47" i="1" s="1"/>
  <c r="T48" i="1" a="1"/>
  <c r="T48" i="1" s="1"/>
  <c r="T49" i="1" a="1"/>
  <c r="T49" i="1" s="1"/>
  <c r="T50" i="1" a="1"/>
  <c r="T50" i="1" s="1"/>
  <c r="T51" i="1" a="1"/>
  <c r="T51" i="1" s="1"/>
  <c r="T52" i="1" a="1"/>
  <c r="T52" i="1" s="1"/>
  <c r="T53" i="1" a="1"/>
  <c r="T53" i="1" s="1"/>
  <c r="T54" i="1" a="1"/>
  <c r="T54" i="1" s="1"/>
  <c r="T55" i="1" a="1"/>
  <c r="T55" i="1" s="1"/>
  <c r="T56" i="1" a="1"/>
  <c r="T56" i="1" s="1"/>
  <c r="T57" i="1" a="1"/>
  <c r="T57" i="1" s="1"/>
  <c r="T58" i="1" a="1"/>
  <c r="T58" i="1" s="1"/>
  <c r="T59" i="1" a="1"/>
  <c r="T59" i="1" s="1"/>
  <c r="T60" i="1" a="1"/>
  <c r="T60" i="1" s="1"/>
  <c r="T61" i="1" a="1"/>
  <c r="T61" i="1" s="1"/>
  <c r="T62" i="1" a="1"/>
  <c r="T62" i="1"/>
  <c r="T63" i="1" a="1"/>
  <c r="T63" i="1" s="1"/>
  <c r="T64" i="1" a="1"/>
  <c r="T64" i="1" s="1"/>
  <c r="T65" i="1" a="1"/>
  <c r="T65" i="1" s="1"/>
  <c r="T66" i="1" a="1"/>
  <c r="T66" i="1" s="1"/>
  <c r="T67" i="1" a="1"/>
  <c r="T67" i="1" s="1"/>
  <c r="T68" i="1" a="1"/>
  <c r="T68" i="1" s="1"/>
  <c r="T69" i="1" a="1"/>
  <c r="T69" i="1" s="1"/>
  <c r="T70" i="1" a="1"/>
  <c r="T70" i="1" s="1"/>
  <c r="T71" i="1" a="1"/>
  <c r="T71" i="1" s="1"/>
  <c r="T72" i="1" a="1"/>
  <c r="T72" i="1" s="1"/>
  <c r="T73" i="1" a="1"/>
  <c r="T73" i="1" s="1"/>
  <c r="T74" i="1" a="1"/>
  <c r="T74" i="1" s="1"/>
  <c r="T75" i="1" a="1"/>
  <c r="T75" i="1" s="1"/>
  <c r="T76" i="1" a="1"/>
  <c r="T76" i="1" s="1"/>
  <c r="T77" i="1" a="1"/>
  <c r="T77" i="1" s="1"/>
  <c r="T78" i="1" a="1"/>
  <c r="T78" i="1"/>
  <c r="T79" i="1" a="1"/>
  <c r="T79" i="1" s="1"/>
  <c r="T80" i="1" a="1"/>
  <c r="T80" i="1" s="1"/>
  <c r="T81" i="1" a="1"/>
  <c r="T81" i="1" s="1"/>
  <c r="T82" i="1" a="1"/>
  <c r="T82" i="1" s="1"/>
  <c r="T83" i="1" a="1"/>
  <c r="T83" i="1" s="1"/>
  <c r="T84" i="1" a="1"/>
  <c r="T84" i="1" s="1"/>
  <c r="T85" i="1" a="1"/>
  <c r="T85" i="1" s="1"/>
  <c r="T86" i="1" a="1"/>
  <c r="T86" i="1" s="1"/>
  <c r="T87" i="1" a="1"/>
  <c r="T87" i="1" s="1"/>
  <c r="T88" i="1" a="1"/>
  <c r="T88" i="1" s="1"/>
  <c r="T89" i="1" a="1"/>
  <c r="T89" i="1" s="1"/>
  <c r="T90" i="1" a="1"/>
  <c r="T90" i="1" s="1"/>
  <c r="T91" i="1" a="1"/>
  <c r="T91" i="1" s="1"/>
  <c r="T92" i="1" a="1"/>
  <c r="T92" i="1" s="1"/>
  <c r="T93" i="1" a="1"/>
  <c r="T93" i="1" s="1"/>
  <c r="T94" i="1" a="1"/>
  <c r="T94" i="1"/>
  <c r="T95" i="1" a="1"/>
  <c r="T95" i="1" s="1"/>
  <c r="T96" i="1" a="1"/>
  <c r="T96" i="1" s="1"/>
  <c r="T97" i="1" a="1"/>
  <c r="T97" i="1" s="1"/>
  <c r="T98" i="1" a="1"/>
  <c r="T98" i="1" s="1"/>
  <c r="T99" i="1" a="1"/>
  <c r="T99" i="1" s="1"/>
  <c r="T100" i="1" a="1"/>
  <c r="T100" i="1" s="1"/>
  <c r="T101" i="1" a="1"/>
  <c r="T101" i="1" s="1"/>
  <c r="T102" i="1" a="1"/>
  <c r="T102" i="1" s="1"/>
  <c r="T103" i="1" a="1"/>
  <c r="T103" i="1" s="1"/>
  <c r="T104" i="1" a="1"/>
  <c r="T104" i="1" s="1"/>
  <c r="T105" i="1" a="1"/>
  <c r="T105" i="1" s="1"/>
  <c r="T106" i="1" a="1"/>
  <c r="T106" i="1"/>
  <c r="T107" i="1" a="1"/>
  <c r="T107" i="1" s="1"/>
  <c r="T108" i="1" a="1"/>
  <c r="T108" i="1" s="1"/>
  <c r="T109" i="1" a="1"/>
  <c r="T109" i="1" s="1"/>
  <c r="T110" i="1" a="1"/>
  <c r="T110" i="1" s="1"/>
  <c r="T111" i="1" a="1"/>
  <c r="T111" i="1" s="1"/>
  <c r="T112" i="1" a="1"/>
  <c r="T112" i="1" s="1"/>
  <c r="T113" i="1" a="1"/>
  <c r="T113" i="1" s="1"/>
  <c r="T114" i="1" a="1"/>
  <c r="T114" i="1" s="1"/>
  <c r="T115" i="1" a="1"/>
  <c r="T115" i="1" s="1"/>
  <c r="T116" i="1" a="1"/>
  <c r="T116" i="1" s="1"/>
  <c r="T117" i="1" a="1"/>
  <c r="T117" i="1" s="1"/>
  <c r="T118" i="1" a="1"/>
  <c r="T118" i="1" s="1"/>
  <c r="T119" i="1" a="1"/>
  <c r="T119" i="1" s="1"/>
  <c r="T120" i="1" a="1"/>
  <c r="T120" i="1" s="1"/>
  <c r="T121" i="1" a="1"/>
  <c r="T121" i="1" s="1"/>
  <c r="T122" i="1" a="1"/>
  <c r="T122" i="1" s="1"/>
  <c r="T123" i="1" a="1"/>
  <c r="T123" i="1" s="1"/>
  <c r="T124" i="1" a="1"/>
  <c r="T124" i="1" s="1"/>
  <c r="T125" i="1" a="1"/>
  <c r="T125" i="1" s="1"/>
  <c r="T126" i="1" a="1"/>
  <c r="T126" i="1" s="1"/>
  <c r="T127" i="1" a="1"/>
  <c r="T127" i="1" s="1"/>
  <c r="T128" i="1" a="1"/>
  <c r="T128" i="1" s="1"/>
  <c r="T129" i="1" a="1"/>
  <c r="T129" i="1" s="1"/>
  <c r="T130" i="1" a="1"/>
  <c r="T130" i="1" s="1"/>
  <c r="T131" i="1" a="1"/>
  <c r="T131" i="1" s="1"/>
  <c r="T132" i="1" a="1"/>
  <c r="T132" i="1" s="1"/>
  <c r="T133" i="1" a="1"/>
  <c r="T133" i="1" s="1"/>
  <c r="T134" i="1" a="1"/>
  <c r="T134" i="1" s="1"/>
  <c r="T135" i="1" a="1"/>
  <c r="T135" i="1" s="1"/>
  <c r="T136" i="1" a="1"/>
  <c r="T136" i="1" s="1"/>
  <c r="T137" i="1" a="1"/>
  <c r="T137" i="1" s="1"/>
  <c r="T138" i="1" a="1"/>
  <c r="T138" i="1"/>
  <c r="T139" i="1" a="1"/>
  <c r="T139" i="1" s="1"/>
  <c r="T140" i="1" a="1"/>
  <c r="T140" i="1" s="1"/>
  <c r="T141" i="1" a="1"/>
  <c r="T141" i="1" s="1"/>
  <c r="T142" i="1" a="1"/>
  <c r="T142" i="1"/>
  <c r="T143" i="1" a="1"/>
  <c r="T143" i="1" s="1"/>
  <c r="T144" i="1" a="1"/>
  <c r="T144" i="1" s="1"/>
  <c r="T145" i="1" a="1"/>
  <c r="T145" i="1" s="1"/>
  <c r="T146" i="1" a="1"/>
  <c r="T146" i="1" s="1"/>
  <c r="T147" i="1" a="1"/>
  <c r="T147" i="1" s="1"/>
  <c r="T148" i="1" a="1"/>
  <c r="T148" i="1" s="1"/>
  <c r="T149" i="1" a="1"/>
  <c r="T149" i="1" s="1"/>
  <c r="T150" i="1" a="1"/>
  <c r="T150" i="1" s="1"/>
  <c r="T151" i="1" a="1"/>
  <c r="T151" i="1" s="1"/>
  <c r="T152" i="1" a="1"/>
  <c r="T152" i="1" s="1"/>
  <c r="T153" i="1" a="1"/>
  <c r="T153" i="1" s="1"/>
  <c r="T154" i="1" a="1"/>
  <c r="T154" i="1" s="1"/>
  <c r="T155" i="1" a="1"/>
  <c r="T155" i="1" s="1"/>
  <c r="T156" i="1" a="1"/>
  <c r="T156" i="1" s="1"/>
  <c r="T157" i="1" a="1"/>
  <c r="T157" i="1" s="1"/>
  <c r="T158" i="1" a="1"/>
  <c r="T158" i="1" s="1"/>
  <c r="T159" i="1" a="1"/>
  <c r="T159" i="1" s="1"/>
  <c r="T160" i="1" a="1"/>
  <c r="T160" i="1" s="1"/>
  <c r="T161" i="1" a="1"/>
  <c r="T161" i="1" s="1"/>
  <c r="T162" i="1" a="1"/>
  <c r="T162" i="1" s="1"/>
  <c r="T163" i="1" a="1"/>
  <c r="T163" i="1" s="1"/>
  <c r="T164" i="1" a="1"/>
  <c r="T164" i="1" s="1"/>
  <c r="T165" i="1" a="1"/>
  <c r="T165" i="1" s="1"/>
  <c r="T166" i="1" a="1"/>
  <c r="T166" i="1" s="1"/>
  <c r="T167" i="1" a="1"/>
  <c r="T167" i="1" s="1"/>
  <c r="T168" i="1" a="1"/>
  <c r="T168" i="1" s="1"/>
  <c r="T169" i="1" a="1"/>
  <c r="T169" i="1" s="1"/>
  <c r="T170" i="1" a="1"/>
  <c r="T170" i="1"/>
  <c r="T171" i="1" a="1"/>
  <c r="T171" i="1" s="1"/>
  <c r="T172" i="1" a="1"/>
  <c r="T172" i="1" s="1"/>
  <c r="T173" i="1" a="1"/>
  <c r="T173" i="1" s="1"/>
  <c r="T174" i="1" a="1"/>
  <c r="T174" i="1" s="1"/>
  <c r="T175" i="1" a="1"/>
  <c r="T175" i="1" s="1"/>
  <c r="T176" i="1" a="1"/>
  <c r="T176" i="1" s="1"/>
  <c r="T177" i="1" a="1"/>
  <c r="T177" i="1" s="1"/>
  <c r="T178" i="1" a="1"/>
  <c r="T178" i="1" s="1"/>
  <c r="T179" i="1" a="1"/>
  <c r="T179" i="1" s="1"/>
  <c r="T180" i="1" a="1"/>
  <c r="T180" i="1" s="1"/>
  <c r="T181" i="1" a="1"/>
  <c r="T181" i="1" s="1"/>
  <c r="T182" i="1" a="1"/>
  <c r="T182" i="1" s="1"/>
  <c r="T183" i="1" a="1"/>
  <c r="T183" i="1" s="1"/>
  <c r="T184" i="1" a="1"/>
  <c r="T184" i="1" s="1"/>
  <c r="T185" i="1" a="1"/>
  <c r="T185" i="1" s="1"/>
  <c r="T186" i="1" a="1"/>
  <c r="T186" i="1" s="1"/>
  <c r="T187" i="1" a="1"/>
  <c r="T187" i="1" s="1"/>
  <c r="T188" i="1" a="1"/>
  <c r="T188" i="1" s="1"/>
  <c r="T189" i="1" a="1"/>
  <c r="T189" i="1" s="1"/>
  <c r="T190" i="1" a="1"/>
  <c r="T190" i="1" s="1"/>
  <c r="T191" i="1" a="1"/>
  <c r="T191" i="1" s="1"/>
  <c r="T192" i="1" a="1"/>
  <c r="T192" i="1" s="1"/>
  <c r="T193" i="1" a="1"/>
  <c r="T193" i="1" s="1"/>
  <c r="T194" i="1" a="1"/>
  <c r="T194" i="1" s="1"/>
  <c r="T195" i="1" a="1"/>
  <c r="T195" i="1" s="1"/>
  <c r="T196" i="1" a="1"/>
  <c r="T196" i="1" s="1"/>
  <c r="T197" i="1" a="1"/>
  <c r="T197" i="1" s="1"/>
  <c r="T198" i="1" a="1"/>
  <c r="T198" i="1" s="1"/>
  <c r="T199" i="1" a="1"/>
  <c r="T199" i="1" s="1"/>
  <c r="T200" i="1" a="1"/>
  <c r="T200" i="1" s="1"/>
  <c r="T201" i="1" a="1"/>
  <c r="T201" i="1" s="1"/>
  <c r="T202" i="1" a="1"/>
  <c r="T202" i="1" s="1"/>
  <c r="T203" i="1" a="1"/>
  <c r="T203" i="1" s="1"/>
  <c r="T204" i="1" a="1"/>
  <c r="T204" i="1" s="1"/>
  <c r="T205" i="1" a="1"/>
  <c r="T205" i="1" s="1"/>
  <c r="T206" i="1" a="1"/>
  <c r="T206" i="1" s="1"/>
  <c r="T207" i="1" a="1"/>
  <c r="T207" i="1" s="1"/>
  <c r="T208" i="1" a="1"/>
  <c r="T208" i="1" s="1"/>
  <c r="T209" i="1" a="1"/>
  <c r="T209" i="1" s="1"/>
  <c r="T210" i="1" a="1"/>
  <c r="T210" i="1" s="1"/>
  <c r="T211" i="1" a="1"/>
  <c r="T211" i="1" s="1"/>
  <c r="T212" i="1" a="1"/>
  <c r="T212" i="1" s="1"/>
  <c r="T213" i="1" a="1"/>
  <c r="T213" i="1" s="1"/>
  <c r="T214" i="1" a="1"/>
  <c r="T214" i="1" s="1"/>
  <c r="T215" i="1" a="1"/>
  <c r="T215" i="1" s="1"/>
  <c r="T216" i="1" a="1"/>
  <c r="T216" i="1" s="1"/>
  <c r="T217" i="1" a="1"/>
  <c r="T217" i="1" s="1"/>
  <c r="T218" i="1" a="1"/>
  <c r="T218" i="1" s="1"/>
  <c r="T219" i="1" a="1"/>
  <c r="T219" i="1" s="1"/>
  <c r="T220" i="1" a="1"/>
  <c r="T220" i="1" s="1"/>
  <c r="T221" i="1" a="1"/>
  <c r="T221" i="1" s="1"/>
  <c r="T222" i="1" a="1"/>
  <c r="T222" i="1" s="1"/>
  <c r="T223" i="1" a="1"/>
  <c r="T223" i="1" s="1"/>
  <c r="T224" i="1" a="1"/>
  <c r="T224" i="1" s="1"/>
  <c r="T225" i="1" a="1"/>
  <c r="T225" i="1" s="1"/>
  <c r="T226" i="1" a="1"/>
  <c r="T226" i="1" s="1"/>
  <c r="T227" i="1" a="1"/>
  <c r="T227" i="1" s="1"/>
  <c r="T228" i="1" a="1"/>
  <c r="T228" i="1" s="1"/>
  <c r="T229" i="1" a="1"/>
  <c r="T229" i="1" s="1"/>
  <c r="T230" i="1" a="1"/>
  <c r="T230" i="1" s="1"/>
  <c r="T231" i="1" a="1"/>
  <c r="T231" i="1" s="1"/>
  <c r="T232" i="1" a="1"/>
  <c r="T232" i="1" s="1"/>
  <c r="T233" i="1" a="1"/>
  <c r="T233" i="1" s="1"/>
  <c r="T234" i="1" a="1"/>
  <c r="T234" i="1" s="1"/>
  <c r="T235" i="1" a="1"/>
  <c r="T235" i="1" s="1"/>
  <c r="T236" i="1" a="1"/>
  <c r="T236" i="1" s="1"/>
  <c r="T237" i="1" a="1"/>
  <c r="T237" i="1" s="1"/>
  <c r="T238" i="1" a="1"/>
  <c r="T238" i="1" s="1"/>
  <c r="T239" i="1" a="1"/>
  <c r="T239" i="1" s="1"/>
  <c r="T240" i="1" a="1"/>
  <c r="T240" i="1" s="1"/>
  <c r="T241" i="1" a="1"/>
  <c r="T241" i="1" s="1"/>
  <c r="T242" i="1" a="1"/>
  <c r="T242" i="1" s="1"/>
  <c r="T243" i="1" a="1"/>
  <c r="T243" i="1" s="1"/>
  <c r="T244" i="1" a="1"/>
  <c r="T244" i="1" s="1"/>
  <c r="T245" i="1" a="1"/>
  <c r="T245" i="1" s="1"/>
  <c r="T246" i="1" a="1"/>
  <c r="T246" i="1" s="1"/>
  <c r="T247" i="1" a="1"/>
  <c r="T247" i="1" s="1"/>
  <c r="T248" i="1" a="1"/>
  <c r="T248" i="1" s="1"/>
  <c r="T249" i="1" a="1"/>
  <c r="T249" i="1" s="1"/>
  <c r="T250" i="1" a="1"/>
  <c r="T250" i="1" s="1"/>
  <c r="T251" i="1" a="1"/>
  <c r="T251" i="1" s="1"/>
  <c r="T252" i="1" a="1"/>
  <c r="T252" i="1" s="1"/>
  <c r="T253" i="1" a="1"/>
  <c r="T253" i="1" s="1"/>
  <c r="T254" i="1" a="1"/>
  <c r="T254" i="1" s="1"/>
  <c r="T255" i="1" a="1"/>
  <c r="T255" i="1" s="1"/>
  <c r="T256" i="1" a="1"/>
  <c r="T256" i="1" s="1"/>
  <c r="T257" i="1" a="1"/>
  <c r="T257" i="1" s="1"/>
  <c r="T258" i="1" a="1"/>
  <c r="T258" i="1" s="1"/>
  <c r="T259" i="1" a="1"/>
  <c r="T259" i="1" s="1"/>
  <c r="T260" i="1" a="1"/>
  <c r="T260" i="1" s="1"/>
  <c r="T261" i="1" a="1"/>
  <c r="T261" i="1" s="1"/>
  <c r="T262" i="1" a="1"/>
  <c r="T262" i="1" s="1"/>
  <c r="T263" i="1" a="1"/>
  <c r="T263" i="1" s="1"/>
  <c r="T264" i="1" a="1"/>
  <c r="T264" i="1" s="1"/>
  <c r="T265" i="1" a="1"/>
  <c r="T265" i="1" s="1"/>
  <c r="T266" i="1" a="1"/>
  <c r="T266" i="1" s="1"/>
  <c r="T267" i="1" a="1"/>
  <c r="T267" i="1" s="1"/>
  <c r="T268" i="1" a="1"/>
  <c r="T268" i="1" s="1"/>
  <c r="T269" i="1" a="1"/>
  <c r="T269" i="1" s="1"/>
  <c r="T270" i="1" a="1"/>
  <c r="T270" i="1" s="1"/>
  <c r="T271" i="1" a="1"/>
  <c r="T271" i="1" s="1"/>
  <c r="T272" i="1" a="1"/>
  <c r="T272" i="1" s="1"/>
  <c r="T273" i="1" a="1"/>
  <c r="T273" i="1" s="1"/>
  <c r="T274" i="1" a="1"/>
  <c r="T274" i="1" s="1"/>
  <c r="T275" i="1" a="1"/>
  <c r="T275" i="1" s="1"/>
  <c r="T276" i="1" a="1"/>
  <c r="T276" i="1" s="1"/>
  <c r="T277" i="1" a="1"/>
  <c r="T277" i="1" s="1"/>
  <c r="T278" i="1" a="1"/>
  <c r="T278" i="1" s="1"/>
  <c r="T279" i="1" a="1"/>
  <c r="T279" i="1" s="1"/>
  <c r="T280" i="1" a="1"/>
  <c r="T280" i="1" s="1"/>
  <c r="T281" i="1" a="1"/>
  <c r="T281" i="1" s="1"/>
  <c r="T282" i="1" a="1"/>
  <c r="T282" i="1" s="1"/>
  <c r="T283" i="1" a="1"/>
  <c r="T283" i="1" s="1"/>
  <c r="T284" i="1" a="1"/>
  <c r="T284" i="1" s="1"/>
  <c r="T285" i="1" a="1"/>
  <c r="T285" i="1" s="1"/>
  <c r="T286" i="1" a="1"/>
  <c r="T286" i="1" s="1"/>
  <c r="T287" i="1" a="1"/>
  <c r="T287" i="1" s="1"/>
  <c r="T288" i="1" a="1"/>
  <c r="T288" i="1" s="1"/>
  <c r="T289" i="1" a="1"/>
  <c r="T289" i="1" s="1"/>
  <c r="T290" i="1" a="1"/>
  <c r="T290" i="1" s="1"/>
  <c r="T291" i="1" a="1"/>
  <c r="T291" i="1" s="1"/>
  <c r="T292" i="1" a="1"/>
  <c r="T292" i="1" s="1"/>
  <c r="T293" i="1" a="1"/>
  <c r="T293" i="1" s="1"/>
  <c r="T294" i="1" a="1"/>
  <c r="T294" i="1" s="1"/>
  <c r="T295" i="1" a="1"/>
  <c r="T295" i="1" s="1"/>
  <c r="T296" i="1" a="1"/>
  <c r="T296" i="1" s="1"/>
  <c r="T297" i="1" a="1"/>
  <c r="T297" i="1" s="1"/>
  <c r="T298" i="1" a="1"/>
  <c r="T298" i="1" s="1"/>
  <c r="T299" i="1" a="1"/>
  <c r="T299" i="1" s="1"/>
  <c r="T300" i="1" a="1"/>
  <c r="T300" i="1" s="1"/>
  <c r="T301" i="1" a="1"/>
  <c r="T301" i="1" s="1"/>
  <c r="T302" i="1" a="1"/>
  <c r="T302" i="1" s="1"/>
  <c r="T303" i="1" a="1"/>
  <c r="T303" i="1" s="1"/>
  <c r="T304" i="1" a="1"/>
  <c r="T304" i="1" s="1"/>
  <c r="T305" i="1" a="1"/>
  <c r="T305" i="1" s="1"/>
  <c r="T306" i="1" a="1"/>
  <c r="T306" i="1" s="1"/>
  <c r="T307" i="1" a="1"/>
  <c r="T307" i="1" s="1"/>
  <c r="T308" i="1" a="1"/>
  <c r="T308" i="1" s="1"/>
  <c r="T309" i="1" a="1"/>
  <c r="T309" i="1" s="1"/>
  <c r="T310" i="1" a="1"/>
  <c r="T310" i="1" s="1"/>
  <c r="T311" i="1" a="1"/>
  <c r="T311" i="1" s="1"/>
  <c r="T312" i="1" a="1"/>
  <c r="T312" i="1" s="1"/>
  <c r="T313" i="1" a="1"/>
  <c r="T313" i="1" s="1"/>
  <c r="T314" i="1" a="1"/>
  <c r="T314" i="1" s="1"/>
  <c r="T315" i="1" a="1"/>
  <c r="T315" i="1" s="1"/>
  <c r="T316" i="1" a="1"/>
  <c r="T316" i="1" s="1"/>
  <c r="T317" i="1" a="1"/>
  <c r="T317" i="1" s="1"/>
  <c r="T318" i="1" a="1"/>
  <c r="T318" i="1" s="1"/>
  <c r="T319" i="1" a="1"/>
  <c r="T319" i="1" s="1"/>
  <c r="T320" i="1" a="1"/>
  <c r="T320" i="1" s="1"/>
  <c r="T321" i="1" a="1"/>
  <c r="T321" i="1" s="1"/>
  <c r="T322" i="1" a="1"/>
  <c r="T322" i="1" s="1"/>
  <c r="T323" i="1" a="1"/>
  <c r="T323" i="1" s="1"/>
  <c r="T324" i="1" a="1"/>
  <c r="T324" i="1" s="1"/>
  <c r="T325" i="1" a="1"/>
  <c r="T325" i="1" s="1"/>
  <c r="T326" i="1" a="1"/>
  <c r="T326" i="1" s="1"/>
  <c r="T327" i="1" a="1"/>
  <c r="T327" i="1" s="1"/>
  <c r="T328" i="1" a="1"/>
  <c r="T328" i="1" s="1"/>
  <c r="T329" i="1" a="1"/>
  <c r="T329" i="1" s="1"/>
  <c r="T330" i="1" a="1"/>
  <c r="T330" i="1" s="1"/>
  <c r="T331" i="1" a="1"/>
  <c r="T331" i="1" s="1"/>
  <c r="T332" i="1" a="1"/>
  <c r="T332" i="1" s="1"/>
  <c r="T333" i="1" a="1"/>
  <c r="T333" i="1" s="1"/>
  <c r="T334" i="1" a="1"/>
  <c r="T334" i="1" s="1"/>
  <c r="T335" i="1" a="1"/>
  <c r="T335" i="1" s="1"/>
  <c r="T336" i="1" a="1"/>
  <c r="T336" i="1" s="1"/>
  <c r="T337" i="1" a="1"/>
  <c r="T337" i="1" s="1"/>
  <c r="T338" i="1" a="1"/>
  <c r="T338" i="1" s="1"/>
  <c r="T339" i="1" a="1"/>
  <c r="T339" i="1" s="1"/>
  <c r="T340" i="1" a="1"/>
  <c r="T340" i="1" s="1"/>
  <c r="T341" i="1" a="1"/>
  <c r="T341" i="1" s="1"/>
  <c r="T342" i="1" a="1"/>
  <c r="T342" i="1" s="1"/>
  <c r="T343" i="1" a="1"/>
  <c r="T343" i="1" s="1"/>
  <c r="T344" i="1" a="1"/>
  <c r="T344" i="1" s="1"/>
  <c r="T345" i="1" a="1"/>
  <c r="T345" i="1" s="1"/>
  <c r="T346" i="1" a="1"/>
  <c r="T346" i="1" s="1"/>
  <c r="T347" i="1" a="1"/>
  <c r="T347" i="1" s="1"/>
  <c r="T348" i="1" a="1"/>
  <c r="T348" i="1" s="1"/>
  <c r="T349" i="1" a="1"/>
  <c r="T349" i="1" s="1"/>
  <c r="T350" i="1" a="1"/>
  <c r="T350" i="1" s="1"/>
  <c r="T351" i="1" a="1"/>
  <c r="T351" i="1" s="1"/>
  <c r="T352" i="1" a="1"/>
  <c r="T352" i="1" s="1"/>
  <c r="T353" i="1" a="1"/>
  <c r="T353" i="1" s="1"/>
  <c r="T354" i="1" a="1"/>
  <c r="T354" i="1" s="1"/>
  <c r="T355" i="1" a="1"/>
  <c r="T355" i="1" s="1"/>
  <c r="T356" i="1" a="1"/>
  <c r="T356" i="1" s="1"/>
  <c r="T357" i="1" a="1"/>
  <c r="T357" i="1" s="1"/>
  <c r="T358" i="1" a="1"/>
  <c r="T358" i="1" s="1"/>
  <c r="T359" i="1" a="1"/>
  <c r="T359" i="1" s="1"/>
  <c r="T360" i="1" a="1"/>
  <c r="T360" i="1" s="1"/>
  <c r="T361" i="1" a="1"/>
  <c r="T361" i="1" s="1"/>
  <c r="T362" i="1" a="1"/>
  <c r="T362" i="1" s="1"/>
  <c r="T363" i="1" a="1"/>
  <c r="T363" i="1" s="1"/>
  <c r="T364" i="1" a="1"/>
  <c r="T364" i="1" s="1"/>
  <c r="T365" i="1" a="1"/>
  <c r="T365" i="1" s="1"/>
  <c r="T366" i="1" a="1"/>
  <c r="T366" i="1" s="1"/>
  <c r="T367" i="1" a="1"/>
  <c r="T367" i="1" s="1"/>
  <c r="T368" i="1" a="1"/>
  <c r="T368" i="1" s="1"/>
  <c r="T369" i="1" a="1"/>
  <c r="T369" i="1" s="1"/>
  <c r="T370" i="1" a="1"/>
  <c r="T370" i="1" s="1"/>
  <c r="T371" i="1" a="1"/>
  <c r="T371" i="1" s="1"/>
  <c r="T372" i="1" a="1"/>
  <c r="T372" i="1" s="1"/>
  <c r="T373" i="1" a="1"/>
  <c r="T373" i="1" s="1"/>
  <c r="T374" i="1" a="1"/>
  <c r="T374" i="1" s="1"/>
  <c r="T375" i="1" a="1"/>
  <c r="T375" i="1" s="1"/>
  <c r="T376" i="1" a="1"/>
  <c r="T376" i="1" s="1"/>
  <c r="T377" i="1" a="1"/>
  <c r="T377" i="1" s="1"/>
  <c r="T378" i="1" a="1"/>
  <c r="T378" i="1" s="1"/>
  <c r="T379" i="1" a="1"/>
  <c r="T379" i="1" s="1"/>
  <c r="T380" i="1" a="1"/>
  <c r="T380" i="1" s="1"/>
  <c r="T381" i="1" a="1"/>
  <c r="T381" i="1" s="1"/>
  <c r="T382" i="1" a="1"/>
  <c r="T382" i="1" s="1"/>
  <c r="T383" i="1" a="1"/>
  <c r="T383" i="1" s="1"/>
  <c r="T384" i="1" a="1"/>
  <c r="T384" i="1" s="1"/>
  <c r="T385" i="1" a="1"/>
  <c r="T385" i="1" s="1"/>
  <c r="T386" i="1" a="1"/>
  <c r="T386" i="1" s="1"/>
  <c r="T387" i="1" a="1"/>
  <c r="T387" i="1" s="1"/>
  <c r="T388" i="1" a="1"/>
  <c r="T388" i="1" s="1"/>
  <c r="T389" i="1" a="1"/>
  <c r="T389" i="1" s="1"/>
  <c r="T390" i="1" a="1"/>
  <c r="T390" i="1" s="1"/>
  <c r="T391" i="1" a="1"/>
  <c r="T391" i="1" s="1"/>
  <c r="T392" i="1" a="1"/>
  <c r="T392" i="1" s="1"/>
  <c r="T393" i="1" a="1"/>
  <c r="T393" i="1" s="1"/>
  <c r="T394" i="1" a="1"/>
  <c r="T394" i="1" s="1"/>
  <c r="T395" i="1" a="1"/>
  <c r="T395" i="1" s="1"/>
  <c r="T396" i="1" a="1"/>
  <c r="T396" i="1" s="1"/>
  <c r="T397" i="1" a="1"/>
  <c r="T397" i="1" s="1"/>
  <c r="T398" i="1" a="1"/>
  <c r="T398" i="1" s="1"/>
  <c r="T399" i="1" a="1"/>
  <c r="T399" i="1" s="1"/>
  <c r="T400" i="1" a="1"/>
  <c r="T400" i="1" s="1"/>
  <c r="T401" i="1" a="1"/>
  <c r="T401" i="1" s="1"/>
  <c r="T402" i="1" a="1"/>
  <c r="T402" i="1" s="1"/>
  <c r="T403" i="1" a="1"/>
  <c r="T403" i="1" s="1"/>
  <c r="T404" i="1" a="1"/>
  <c r="T404" i="1" s="1"/>
  <c r="T405" i="1" a="1"/>
  <c r="T405" i="1" s="1"/>
  <c r="T406" i="1" a="1"/>
  <c r="T406" i="1" s="1"/>
  <c r="T407" i="1" a="1"/>
  <c r="T407" i="1" s="1"/>
  <c r="T408" i="1" a="1"/>
  <c r="T408" i="1" s="1"/>
  <c r="T409" i="1" a="1"/>
  <c r="T409" i="1" s="1"/>
  <c r="T410" i="1" a="1"/>
  <c r="T410" i="1" s="1"/>
  <c r="T411" i="1" a="1"/>
  <c r="T411" i="1" s="1"/>
  <c r="T412" i="1" a="1"/>
  <c r="T412" i="1" s="1"/>
  <c r="T413" i="1" a="1"/>
  <c r="T413" i="1" s="1"/>
  <c r="T414" i="1" a="1"/>
  <c r="T414" i="1" s="1"/>
  <c r="T415" i="1" a="1"/>
  <c r="T415" i="1" s="1"/>
  <c r="T416" i="1" a="1"/>
  <c r="T416" i="1" s="1"/>
  <c r="T417" i="1" a="1"/>
  <c r="T417" i="1" s="1"/>
  <c r="T418" i="1" a="1"/>
  <c r="T418" i="1" s="1"/>
  <c r="T419" i="1" a="1"/>
  <c r="T419" i="1" s="1"/>
  <c r="T420" i="1" a="1"/>
  <c r="T420" i="1" s="1"/>
  <c r="T421" i="1" a="1"/>
  <c r="T421" i="1" s="1"/>
  <c r="T422" i="1" a="1"/>
  <c r="T422" i="1" s="1"/>
  <c r="T423" i="1" a="1"/>
  <c r="T423" i="1" s="1"/>
  <c r="T424" i="1" a="1"/>
  <c r="T424" i="1" s="1"/>
  <c r="T425" i="1" a="1"/>
  <c r="T425" i="1" s="1"/>
  <c r="T426" i="1" a="1"/>
  <c r="T426" i="1" s="1"/>
  <c r="T427" i="1" a="1"/>
  <c r="T427" i="1" s="1"/>
  <c r="T428" i="1" a="1"/>
  <c r="T428" i="1" s="1"/>
  <c r="T429" i="1" a="1"/>
  <c r="T429" i="1" s="1"/>
  <c r="T430" i="1" a="1"/>
  <c r="T430" i="1" s="1"/>
  <c r="T431" i="1" a="1"/>
  <c r="T431" i="1" s="1"/>
  <c r="T432" i="1" a="1"/>
  <c r="T432" i="1" s="1"/>
  <c r="T433" i="1" a="1"/>
  <c r="T433" i="1" s="1"/>
  <c r="T434" i="1" a="1"/>
  <c r="T434" i="1" s="1"/>
  <c r="T435" i="1" a="1"/>
  <c r="T435" i="1" s="1"/>
  <c r="T436" i="1" a="1"/>
  <c r="T436" i="1" s="1"/>
  <c r="T437" i="1" a="1"/>
  <c r="T437" i="1" s="1"/>
  <c r="T438" i="1" a="1"/>
  <c r="T438" i="1" s="1"/>
  <c r="T439" i="1" a="1"/>
  <c r="T439" i="1" s="1"/>
  <c r="T440" i="1" a="1"/>
  <c r="T440" i="1" s="1"/>
  <c r="T441" i="1" a="1"/>
  <c r="T441" i="1" s="1"/>
  <c r="T442" i="1" a="1"/>
  <c r="T442" i="1" s="1"/>
  <c r="T443" i="1" a="1"/>
  <c r="T443" i="1" s="1"/>
  <c r="T444" i="1" a="1"/>
  <c r="T444" i="1" s="1"/>
  <c r="T445" i="1" a="1"/>
  <c r="T445" i="1" s="1"/>
  <c r="T446" i="1" a="1"/>
  <c r="T446" i="1" s="1"/>
  <c r="T447" i="1" a="1"/>
  <c r="T447" i="1" s="1"/>
  <c r="T448" i="1" a="1"/>
  <c r="T448" i="1" s="1"/>
  <c r="T449" i="1" a="1"/>
  <c r="T449" i="1" s="1"/>
  <c r="T450" i="1" a="1"/>
  <c r="T450" i="1" s="1"/>
  <c r="T451" i="1" a="1"/>
  <c r="T451" i="1" s="1"/>
  <c r="T452" i="1" a="1"/>
  <c r="T452" i="1" s="1"/>
  <c r="T453" i="1" a="1"/>
  <c r="T453" i="1" s="1"/>
  <c r="T454" i="1" a="1"/>
  <c r="T454" i="1" s="1"/>
  <c r="T455" i="1" a="1"/>
  <c r="T455" i="1" s="1"/>
  <c r="T456" i="1" a="1"/>
  <c r="T456" i="1" s="1"/>
  <c r="T457" i="1" a="1"/>
  <c r="T457" i="1" s="1"/>
  <c r="T458" i="1" a="1"/>
  <c r="T458" i="1" s="1"/>
  <c r="T459" i="1" a="1"/>
  <c r="T459" i="1" s="1"/>
  <c r="T460" i="1" a="1"/>
  <c r="T460" i="1" s="1"/>
  <c r="T461" i="1" a="1"/>
  <c r="T461" i="1" s="1"/>
  <c r="T462" i="1" a="1"/>
  <c r="T462" i="1" s="1"/>
  <c r="T463" i="1" a="1"/>
  <c r="T463" i="1" s="1"/>
  <c r="T464" i="1" a="1"/>
  <c r="T464" i="1" s="1"/>
  <c r="T465" i="1" a="1"/>
  <c r="T465" i="1" s="1"/>
  <c r="T466" i="1" a="1"/>
  <c r="T466" i="1" s="1"/>
  <c r="T467" i="1" a="1"/>
  <c r="T467" i="1" s="1"/>
  <c r="T468" i="1" a="1"/>
  <c r="T468" i="1" s="1"/>
  <c r="T469" i="1" a="1"/>
  <c r="T469" i="1" s="1"/>
  <c r="T470" i="1" a="1"/>
  <c r="T470" i="1" s="1"/>
  <c r="T471" i="1" a="1"/>
  <c r="T471" i="1" s="1"/>
  <c r="T472" i="1" a="1"/>
  <c r="T472" i="1" s="1"/>
  <c r="T473" i="1" a="1"/>
  <c r="T473" i="1" s="1"/>
  <c r="T474" i="1" a="1"/>
  <c r="T474" i="1" s="1"/>
  <c r="T475" i="1" a="1"/>
  <c r="T475" i="1" s="1"/>
  <c r="T476" i="1" a="1"/>
  <c r="T476" i="1" s="1"/>
  <c r="T477" i="1" a="1"/>
  <c r="T477" i="1" s="1"/>
  <c r="T478" i="1" a="1"/>
  <c r="T478" i="1" s="1"/>
  <c r="T479" i="1" a="1"/>
  <c r="T479" i="1" s="1"/>
  <c r="T480" i="1" a="1"/>
  <c r="T480" i="1" s="1"/>
  <c r="T481" i="1" a="1"/>
  <c r="T481" i="1" s="1"/>
  <c r="T482" i="1" a="1"/>
  <c r="T482" i="1" s="1"/>
  <c r="T483" i="1" a="1"/>
  <c r="T483" i="1" s="1"/>
  <c r="T484" i="1" a="1"/>
  <c r="T484" i="1" s="1"/>
  <c r="T485" i="1" a="1"/>
  <c r="T485" i="1" s="1"/>
  <c r="T486" i="1" a="1"/>
  <c r="T486" i="1" s="1"/>
  <c r="T487" i="1" a="1"/>
  <c r="T487" i="1" s="1"/>
  <c r="T488" i="1" a="1"/>
  <c r="T488" i="1" s="1"/>
  <c r="T489" i="1" a="1"/>
  <c r="T489" i="1" s="1"/>
  <c r="T490" i="1" a="1"/>
  <c r="T490" i="1" s="1"/>
  <c r="T491" i="1" a="1"/>
  <c r="T491" i="1" s="1"/>
  <c r="T492" i="1" a="1"/>
  <c r="T492" i="1" s="1"/>
  <c r="T493" i="1" a="1"/>
  <c r="T493" i="1" s="1"/>
  <c r="T494" i="1" a="1"/>
  <c r="T494" i="1" s="1"/>
  <c r="T495" i="1" a="1"/>
  <c r="T495" i="1" s="1"/>
  <c r="T496" i="1" a="1"/>
  <c r="T496" i="1" s="1"/>
  <c r="T497" i="1" a="1"/>
  <c r="T497" i="1" s="1"/>
  <c r="T498" i="1" a="1"/>
  <c r="T498" i="1" s="1"/>
  <c r="T499" i="1" a="1"/>
  <c r="T499" i="1" s="1"/>
  <c r="T500" i="1" a="1"/>
  <c r="T500" i="1" s="1"/>
  <c r="T501" i="1" a="1"/>
  <c r="T501" i="1" s="1"/>
  <c r="T502" i="1" a="1"/>
  <c r="T502" i="1" s="1"/>
  <c r="T503" i="1" a="1"/>
  <c r="T503" i="1" s="1"/>
  <c r="T504" i="1" a="1"/>
  <c r="T504" i="1" s="1"/>
  <c r="T505" i="1" a="1"/>
  <c r="T505" i="1" s="1"/>
  <c r="T506" i="1" a="1"/>
  <c r="T506" i="1" s="1"/>
  <c r="T507" i="1" a="1"/>
  <c r="T507" i="1" s="1"/>
  <c r="T508" i="1" a="1"/>
  <c r="T508" i="1" s="1"/>
  <c r="T509" i="1" a="1"/>
  <c r="T509" i="1" s="1"/>
  <c r="T510" i="1" a="1"/>
  <c r="T510" i="1" s="1"/>
  <c r="T511" i="1" a="1"/>
  <c r="T511" i="1" s="1"/>
  <c r="T512" i="1" a="1"/>
  <c r="T512" i="1" s="1"/>
  <c r="T513" i="1" a="1"/>
  <c r="T513" i="1" s="1"/>
  <c r="T514" i="1" a="1"/>
  <c r="T514" i="1" s="1"/>
  <c r="T515" i="1" a="1"/>
  <c r="T515" i="1" s="1"/>
  <c r="T516" i="1" a="1"/>
  <c r="T516" i="1" s="1"/>
  <c r="T517" i="1" a="1"/>
  <c r="T517" i="1" s="1"/>
  <c r="T518" i="1" a="1"/>
  <c r="T518" i="1" s="1"/>
  <c r="T519" i="1" a="1"/>
  <c r="T519" i="1" s="1"/>
  <c r="T520" i="1" a="1"/>
  <c r="T520" i="1" s="1"/>
  <c r="T521" i="1" a="1"/>
  <c r="T521" i="1" s="1"/>
  <c r="T522" i="1" a="1"/>
  <c r="T522" i="1" s="1"/>
  <c r="T523" i="1" a="1"/>
  <c r="T523" i="1" s="1"/>
  <c r="T524" i="1" a="1"/>
  <c r="T524" i="1" s="1"/>
  <c r="T525" i="1" a="1"/>
  <c r="T525" i="1" s="1"/>
  <c r="T526" i="1" a="1"/>
  <c r="T526" i="1" s="1"/>
  <c r="T527" i="1" a="1"/>
  <c r="T527" i="1" s="1"/>
  <c r="T528" i="1" a="1"/>
  <c r="T528" i="1" s="1"/>
  <c r="T529" i="1" a="1"/>
  <c r="T529" i="1" s="1"/>
  <c r="T530" i="1" a="1"/>
  <c r="T530" i="1" s="1"/>
  <c r="T531" i="1" a="1"/>
  <c r="T531" i="1" s="1"/>
  <c r="T532" i="1" a="1"/>
  <c r="T532" i="1" s="1"/>
  <c r="T533" i="1" a="1"/>
  <c r="T533" i="1" s="1"/>
  <c r="T534" i="1" a="1"/>
  <c r="T534" i="1" s="1"/>
  <c r="T535" i="1" a="1"/>
  <c r="T535" i="1" s="1"/>
  <c r="T536" i="1" a="1"/>
  <c r="T536" i="1" s="1"/>
  <c r="T537" i="1" a="1"/>
  <c r="T537" i="1" s="1"/>
  <c r="T538" i="1" a="1"/>
  <c r="T538" i="1" s="1"/>
  <c r="T539" i="1" a="1"/>
  <c r="T539" i="1" s="1"/>
  <c r="T540" i="1" a="1"/>
  <c r="T540" i="1" s="1"/>
  <c r="T541" i="1" a="1"/>
  <c r="T541" i="1" s="1"/>
  <c r="T542" i="1" a="1"/>
  <c r="T542" i="1" s="1"/>
  <c r="T543" i="1" a="1"/>
  <c r="T543" i="1" s="1"/>
  <c r="T544" i="1" a="1"/>
  <c r="T544" i="1" s="1"/>
  <c r="T545" i="1" a="1"/>
  <c r="T545" i="1" s="1"/>
  <c r="T546" i="1" a="1"/>
  <c r="T546" i="1" s="1"/>
  <c r="T547" i="1" a="1"/>
  <c r="T547" i="1" s="1"/>
  <c r="T548" i="1" a="1"/>
  <c r="T548" i="1" s="1"/>
  <c r="T549" i="1" a="1"/>
  <c r="T549" i="1" s="1"/>
  <c r="T550" i="1" a="1"/>
  <c r="T550" i="1" s="1"/>
  <c r="T551" i="1" a="1"/>
  <c r="T551" i="1" s="1"/>
  <c r="T552" i="1" a="1"/>
  <c r="T552" i="1" s="1"/>
  <c r="T553" i="1" a="1"/>
  <c r="T553" i="1" s="1"/>
  <c r="T554" i="1" a="1"/>
  <c r="T554" i="1" s="1"/>
  <c r="T555" i="1" a="1"/>
  <c r="T555" i="1" s="1"/>
  <c r="T556" i="1" a="1"/>
  <c r="T556" i="1" s="1"/>
  <c r="T557" i="1" a="1"/>
  <c r="T557" i="1" s="1"/>
  <c r="T558" i="1" a="1"/>
  <c r="T558" i="1" s="1"/>
  <c r="T559" i="1" a="1"/>
  <c r="T559" i="1" s="1"/>
  <c r="T560" i="1" a="1"/>
  <c r="T560" i="1" s="1"/>
  <c r="T561" i="1" a="1"/>
  <c r="T561" i="1" s="1"/>
  <c r="T562" i="1" a="1"/>
  <c r="T562" i="1" s="1"/>
  <c r="T563" i="1" a="1"/>
  <c r="T563" i="1" s="1"/>
  <c r="T564" i="1" a="1"/>
  <c r="T564" i="1" s="1"/>
  <c r="T565" i="1" a="1"/>
  <c r="T565" i="1" s="1"/>
  <c r="T566" i="1" a="1"/>
  <c r="T566" i="1" s="1"/>
  <c r="T567" i="1" a="1"/>
  <c r="T567" i="1" s="1"/>
  <c r="T568" i="1" a="1"/>
  <c r="T568" i="1" s="1"/>
  <c r="T569" i="1" a="1"/>
  <c r="T569" i="1" s="1"/>
  <c r="T570" i="1" a="1"/>
  <c r="T570" i="1" s="1"/>
  <c r="T571" i="1" a="1"/>
  <c r="T571" i="1" s="1"/>
  <c r="T572" i="1" a="1"/>
  <c r="T572" i="1" s="1"/>
  <c r="T573" i="1" a="1"/>
  <c r="T573" i="1" s="1"/>
  <c r="T574" i="1" a="1"/>
  <c r="T574" i="1" s="1"/>
  <c r="T575" i="1" a="1"/>
  <c r="T575" i="1" s="1"/>
  <c r="T576" i="1" a="1"/>
  <c r="T576" i="1" s="1"/>
  <c r="T577" i="1" a="1"/>
  <c r="T577" i="1" s="1"/>
  <c r="T578" i="1" a="1"/>
  <c r="T578" i="1" s="1"/>
  <c r="T579" i="1" a="1"/>
  <c r="T579" i="1" s="1"/>
  <c r="T580" i="1" a="1"/>
  <c r="T580" i="1" s="1"/>
  <c r="T581" i="1" a="1"/>
  <c r="T581" i="1" s="1"/>
  <c r="T582" i="1" a="1"/>
  <c r="T582" i="1" s="1"/>
  <c r="T583" i="1" a="1"/>
  <c r="T583" i="1" s="1"/>
  <c r="T584" i="1" a="1"/>
  <c r="T584" i="1" s="1"/>
  <c r="T585" i="1" a="1"/>
  <c r="T585" i="1" s="1"/>
  <c r="T586" i="1" a="1"/>
  <c r="T586" i="1" s="1"/>
  <c r="T587" i="1" a="1"/>
  <c r="T587" i="1" s="1"/>
  <c r="T588" i="1" a="1"/>
  <c r="T588" i="1" s="1"/>
  <c r="T589" i="1" a="1"/>
  <c r="T589" i="1" s="1"/>
  <c r="T590" i="1" a="1"/>
  <c r="T590" i="1" s="1"/>
  <c r="T591" i="1" a="1"/>
  <c r="T591" i="1" s="1"/>
  <c r="T592" i="1" a="1"/>
  <c r="T592" i="1" s="1"/>
  <c r="T593" i="1" a="1"/>
  <c r="T593" i="1" s="1"/>
  <c r="T594" i="1" a="1"/>
  <c r="T594" i="1" s="1"/>
  <c r="T595" i="1" a="1"/>
  <c r="T595" i="1" s="1"/>
  <c r="T596" i="1" a="1"/>
  <c r="T596" i="1" s="1"/>
  <c r="T597" i="1" a="1"/>
  <c r="T597" i="1" s="1"/>
  <c r="T598" i="1" a="1"/>
  <c r="T598" i="1" s="1"/>
  <c r="T599" i="1" a="1"/>
  <c r="T599" i="1" s="1"/>
  <c r="T600" i="1" a="1"/>
  <c r="T600" i="1" s="1"/>
  <c r="T601" i="1" a="1"/>
  <c r="T601" i="1" s="1"/>
  <c r="T602" i="1" a="1"/>
  <c r="T602" i="1" s="1"/>
  <c r="T603" i="1" a="1"/>
  <c r="T603" i="1" s="1"/>
  <c r="T604" i="1" a="1"/>
  <c r="T604" i="1" s="1"/>
  <c r="T605" i="1" a="1"/>
  <c r="T605" i="1" s="1"/>
  <c r="T606" i="1" a="1"/>
  <c r="T606" i="1" s="1"/>
  <c r="T607" i="1" a="1"/>
  <c r="T607" i="1" s="1"/>
  <c r="T608" i="1" a="1"/>
  <c r="T608" i="1" s="1"/>
  <c r="T609" i="1" a="1"/>
  <c r="T609" i="1" s="1"/>
  <c r="T610" i="1" a="1"/>
  <c r="T610" i="1" s="1"/>
  <c r="T611" i="1" a="1"/>
  <c r="T611" i="1" s="1"/>
  <c r="T612" i="1" a="1"/>
  <c r="T612" i="1" s="1"/>
  <c r="T613" i="1" a="1"/>
  <c r="T613" i="1" s="1"/>
  <c r="T614" i="1" a="1"/>
  <c r="T614" i="1" s="1"/>
  <c r="T615" i="1" a="1"/>
  <c r="T615" i="1" s="1"/>
  <c r="T616" i="1" a="1"/>
  <c r="T616" i="1" s="1"/>
  <c r="T617" i="1" a="1"/>
  <c r="T617" i="1" s="1"/>
  <c r="T618" i="1" a="1"/>
  <c r="T618" i="1" s="1"/>
  <c r="T619" i="1" a="1"/>
  <c r="T619" i="1" s="1"/>
  <c r="T620" i="1" a="1"/>
  <c r="T620" i="1" s="1"/>
  <c r="T621" i="1" a="1"/>
  <c r="T621" i="1" s="1"/>
  <c r="T622" i="1" a="1"/>
  <c r="T622" i="1" s="1"/>
  <c r="T623" i="1" a="1"/>
  <c r="T623" i="1" s="1"/>
  <c r="T624" i="1" a="1"/>
  <c r="T624" i="1" s="1"/>
  <c r="T625" i="1" a="1"/>
  <c r="T625" i="1" s="1"/>
  <c r="T626" i="1" a="1"/>
  <c r="T626" i="1" s="1"/>
  <c r="T627" i="1" a="1"/>
  <c r="T627" i="1" s="1"/>
  <c r="T628" i="1" a="1"/>
  <c r="T628" i="1" s="1"/>
  <c r="T629" i="1" a="1"/>
  <c r="T629" i="1" s="1"/>
  <c r="T630" i="1" a="1"/>
  <c r="T630" i="1" s="1"/>
  <c r="T631" i="1" a="1"/>
  <c r="T631" i="1" s="1"/>
  <c r="T632" i="1" a="1"/>
  <c r="T632" i="1" s="1"/>
  <c r="T633" i="1" a="1"/>
  <c r="T633" i="1" s="1"/>
  <c r="T634" i="1" a="1"/>
  <c r="T634" i="1" s="1"/>
  <c r="T635" i="1" a="1"/>
  <c r="T635" i="1" s="1"/>
  <c r="T636" i="1" a="1"/>
  <c r="T636" i="1" s="1"/>
  <c r="T637" i="1" a="1"/>
  <c r="T637" i="1" s="1"/>
  <c r="T638" i="1" a="1"/>
  <c r="T638" i="1" s="1"/>
  <c r="T639" i="1" a="1"/>
  <c r="T639" i="1" s="1"/>
  <c r="T640" i="1" a="1"/>
  <c r="T640" i="1" s="1"/>
  <c r="T641" i="1" a="1"/>
  <c r="T641" i="1" s="1"/>
  <c r="T642" i="1" a="1"/>
  <c r="T642" i="1" s="1"/>
  <c r="T643" i="1" a="1"/>
  <c r="T643" i="1" s="1"/>
  <c r="T644" i="1" a="1"/>
  <c r="T644" i="1" s="1"/>
  <c r="T645" i="1" a="1"/>
  <c r="T645" i="1" s="1"/>
  <c r="T646" i="1" a="1"/>
  <c r="T646" i="1" s="1"/>
  <c r="T647" i="1" a="1"/>
  <c r="T647" i="1" s="1"/>
  <c r="T648" i="1" a="1"/>
  <c r="T648" i="1" s="1"/>
  <c r="T649" i="1" a="1"/>
  <c r="T649" i="1" s="1"/>
  <c r="T650" i="1" a="1"/>
  <c r="T650" i="1" s="1"/>
  <c r="T651" i="1" a="1"/>
  <c r="T651" i="1" s="1"/>
  <c r="T652" i="1" a="1"/>
  <c r="T652" i="1" s="1"/>
  <c r="T653" i="1" a="1"/>
  <c r="T653" i="1" s="1"/>
  <c r="T654" i="1" a="1"/>
  <c r="T654" i="1" s="1"/>
  <c r="T655" i="1" a="1"/>
  <c r="T655" i="1" s="1"/>
  <c r="T656" i="1" a="1"/>
  <c r="T656" i="1" s="1"/>
  <c r="T657" i="1" a="1"/>
  <c r="T657" i="1" s="1"/>
  <c r="T658" i="1" a="1"/>
  <c r="T658" i="1" s="1"/>
  <c r="T659" i="1" a="1"/>
  <c r="T659" i="1" s="1"/>
  <c r="T660" i="1" a="1"/>
  <c r="T660" i="1" s="1"/>
  <c r="T661" i="1" a="1"/>
  <c r="T661" i="1" s="1"/>
  <c r="T662" i="1" a="1"/>
  <c r="T662" i="1" s="1"/>
  <c r="T663" i="1" a="1"/>
  <c r="T663" i="1" s="1"/>
  <c r="T664" i="1" a="1"/>
  <c r="T664" i="1" s="1"/>
  <c r="T665" i="1" a="1"/>
  <c r="T665" i="1" s="1"/>
  <c r="T666" i="1" a="1"/>
  <c r="T666" i="1" s="1"/>
  <c r="T667" i="1" a="1"/>
  <c r="T667" i="1" s="1"/>
  <c r="T668" i="1" a="1"/>
  <c r="T668" i="1" s="1"/>
  <c r="T669" i="1" a="1"/>
  <c r="T669" i="1" s="1"/>
  <c r="T670" i="1" a="1"/>
  <c r="T670" i="1" s="1"/>
  <c r="T671" i="1" a="1"/>
  <c r="T671" i="1" s="1"/>
  <c r="T672" i="1" a="1"/>
  <c r="T672" i="1" s="1"/>
  <c r="T673" i="1" a="1"/>
  <c r="T673" i="1" s="1"/>
  <c r="T674" i="1" a="1"/>
  <c r="T674" i="1" s="1"/>
  <c r="T675" i="1" a="1"/>
  <c r="T675" i="1" s="1"/>
  <c r="T676" i="1" a="1"/>
  <c r="T676" i="1" s="1"/>
  <c r="T677" i="1" a="1"/>
  <c r="T677" i="1" s="1"/>
  <c r="T678" i="1" a="1"/>
  <c r="T678" i="1" s="1"/>
  <c r="T679" i="1" a="1"/>
  <c r="T679" i="1" s="1"/>
  <c r="T680" i="1" a="1"/>
  <c r="T680" i="1" s="1"/>
  <c r="T681" i="1" a="1"/>
  <c r="T681" i="1" s="1"/>
  <c r="T682" i="1" a="1"/>
  <c r="T682" i="1" s="1"/>
  <c r="T683" i="1" a="1"/>
  <c r="T683" i="1" s="1"/>
  <c r="T684" i="1" a="1"/>
  <c r="T684" i="1" s="1"/>
  <c r="T685" i="1" a="1"/>
  <c r="T685" i="1" s="1"/>
  <c r="T686" i="1" a="1"/>
  <c r="T686" i="1" s="1"/>
  <c r="T687" i="1" a="1"/>
  <c r="T687" i="1" s="1"/>
  <c r="T688" i="1" a="1"/>
  <c r="T688" i="1" s="1"/>
  <c r="T689" i="1" a="1"/>
  <c r="T689" i="1" s="1"/>
  <c r="T690" i="1" a="1"/>
  <c r="T690" i="1" s="1"/>
  <c r="T691" i="1" a="1"/>
  <c r="T691" i="1" s="1"/>
  <c r="T692" i="1" a="1"/>
  <c r="T692" i="1" s="1"/>
  <c r="T693" i="1" a="1"/>
  <c r="T693" i="1" s="1"/>
  <c r="T694" i="1" a="1"/>
  <c r="T694" i="1" s="1"/>
  <c r="T695" i="1" a="1"/>
  <c r="T695" i="1" s="1"/>
  <c r="T696" i="1" a="1"/>
  <c r="T696" i="1" s="1"/>
  <c r="T697" i="1" a="1"/>
  <c r="T697" i="1" s="1"/>
  <c r="T698" i="1" a="1"/>
  <c r="T698" i="1" s="1"/>
  <c r="T699" i="1" a="1"/>
  <c r="T699" i="1" s="1"/>
  <c r="T700" i="1" a="1"/>
  <c r="T700" i="1" s="1"/>
  <c r="T701" i="1" a="1"/>
  <c r="T701" i="1" s="1"/>
  <c r="T702" i="1" a="1"/>
  <c r="T702" i="1" s="1"/>
  <c r="T703" i="1" a="1"/>
  <c r="T703" i="1" s="1"/>
  <c r="T704" i="1" a="1"/>
  <c r="T704" i="1" s="1"/>
  <c r="T705" i="1" a="1"/>
  <c r="T705" i="1" s="1"/>
  <c r="T706" i="1" a="1"/>
  <c r="T706" i="1" s="1"/>
  <c r="T707" i="1" a="1"/>
  <c r="T707" i="1" s="1"/>
  <c r="T708" i="1" a="1"/>
  <c r="T708" i="1" s="1"/>
  <c r="T709" i="1" a="1"/>
  <c r="T709" i="1" s="1"/>
  <c r="T710" i="1" a="1"/>
  <c r="T710" i="1" s="1"/>
  <c r="T711" i="1" a="1"/>
  <c r="T711" i="1" s="1"/>
  <c r="T712" i="1" a="1"/>
  <c r="T712" i="1" s="1"/>
  <c r="T713" i="1" a="1"/>
  <c r="T713" i="1" s="1"/>
  <c r="T714" i="1" a="1"/>
  <c r="T714" i="1" s="1"/>
  <c r="T715" i="1" a="1"/>
  <c r="T715" i="1" s="1"/>
  <c r="T716" i="1" a="1"/>
  <c r="T716" i="1" s="1"/>
  <c r="T717" i="1" a="1"/>
  <c r="T717" i="1" s="1"/>
  <c r="T718" i="1" a="1"/>
  <c r="T718" i="1" s="1"/>
  <c r="T719" i="1" a="1"/>
  <c r="T719" i="1" s="1"/>
  <c r="T720" i="1" a="1"/>
  <c r="T720" i="1" s="1"/>
  <c r="T721" i="1" a="1"/>
  <c r="T721" i="1" s="1"/>
  <c r="T722" i="1" a="1"/>
  <c r="T722" i="1" s="1"/>
  <c r="T723" i="1" a="1"/>
  <c r="T723" i="1" s="1"/>
  <c r="T724" i="1" a="1"/>
  <c r="T724" i="1" s="1"/>
  <c r="T725" i="1" a="1"/>
  <c r="T725" i="1" s="1"/>
  <c r="T726" i="1" a="1"/>
  <c r="T726" i="1" s="1"/>
  <c r="T727" i="1" a="1"/>
  <c r="T727" i="1" s="1"/>
  <c r="T728" i="1" a="1"/>
  <c r="T728" i="1" s="1"/>
  <c r="T729" i="1" a="1"/>
  <c r="T729" i="1" s="1"/>
  <c r="T730" i="1" a="1"/>
  <c r="T730" i="1" s="1"/>
  <c r="T731" i="1" a="1"/>
  <c r="T731" i="1" s="1"/>
  <c r="T732" i="1" a="1"/>
  <c r="T732" i="1" s="1"/>
  <c r="T733" i="1" a="1"/>
  <c r="T733" i="1" s="1"/>
  <c r="T734" i="1" a="1"/>
  <c r="T734" i="1" s="1"/>
  <c r="T735" i="1" a="1"/>
  <c r="T735" i="1" s="1"/>
  <c r="T736" i="1" a="1"/>
  <c r="T736" i="1" s="1"/>
  <c r="T737" i="1" a="1"/>
  <c r="T737" i="1" s="1"/>
  <c r="T738" i="1" a="1"/>
  <c r="T738" i="1" s="1"/>
  <c r="T739" i="1" a="1"/>
  <c r="T739" i="1" s="1"/>
  <c r="T740" i="1" a="1"/>
  <c r="T740" i="1" s="1"/>
  <c r="T741" i="1" a="1"/>
  <c r="T741" i="1" s="1"/>
  <c r="T742" i="1" a="1"/>
  <c r="T742" i="1" s="1"/>
  <c r="T743" i="1" a="1"/>
  <c r="T743" i="1" s="1"/>
  <c r="T744" i="1" a="1"/>
  <c r="T744" i="1" s="1"/>
  <c r="T745" i="1" a="1"/>
  <c r="T745" i="1" s="1"/>
  <c r="T746" i="1" a="1"/>
  <c r="T746" i="1" s="1"/>
  <c r="T747" i="1" a="1"/>
  <c r="T747" i="1" s="1"/>
  <c r="T748" i="1" a="1"/>
  <c r="T748" i="1" s="1"/>
  <c r="T749" i="1" a="1"/>
  <c r="T749" i="1" s="1"/>
  <c r="T750" i="1" a="1"/>
  <c r="T750" i="1" s="1"/>
  <c r="T751" i="1" a="1"/>
  <c r="T751" i="1" s="1"/>
  <c r="T752" i="1" a="1"/>
  <c r="T752" i="1" s="1"/>
  <c r="T753" i="1" a="1"/>
  <c r="T753" i="1" s="1"/>
  <c r="T754" i="1" a="1"/>
  <c r="T754" i="1" s="1"/>
  <c r="T755" i="1" a="1"/>
  <c r="T755" i="1" s="1"/>
  <c r="T756" i="1" a="1"/>
  <c r="T756" i="1" s="1"/>
  <c r="T757" i="1" a="1"/>
  <c r="T757" i="1" s="1"/>
  <c r="T758" i="1" a="1"/>
  <c r="T758" i="1" s="1"/>
  <c r="T759" i="1" a="1"/>
  <c r="T759" i="1" s="1"/>
  <c r="T760" i="1" a="1"/>
  <c r="T760" i="1" s="1"/>
  <c r="T761" i="1" a="1"/>
  <c r="T761" i="1" s="1"/>
  <c r="T762" i="1" a="1"/>
  <c r="T762" i="1" s="1"/>
  <c r="T763" i="1" a="1"/>
  <c r="T763" i="1" s="1"/>
  <c r="T764" i="1" a="1"/>
  <c r="T764" i="1" s="1"/>
  <c r="T765" i="1" a="1"/>
  <c r="T765" i="1" s="1"/>
  <c r="T766" i="1" a="1"/>
  <c r="T766" i="1" s="1"/>
  <c r="T767" i="1" a="1"/>
  <c r="T767" i="1" s="1"/>
  <c r="T768" i="1" a="1"/>
  <c r="T768" i="1" s="1"/>
  <c r="T769" i="1" a="1"/>
  <c r="T769" i="1" s="1"/>
  <c r="T770" i="1" a="1"/>
  <c r="T770" i="1" s="1"/>
  <c r="T771" i="1" a="1"/>
  <c r="T771" i="1" s="1"/>
  <c r="T772" i="1" a="1"/>
  <c r="T772" i="1" s="1"/>
  <c r="T773" i="1" a="1"/>
  <c r="T773" i="1" s="1"/>
  <c r="T774" i="1" a="1"/>
  <c r="T774" i="1" s="1"/>
  <c r="T775" i="1" a="1"/>
  <c r="T775" i="1" s="1"/>
  <c r="T776" i="1" a="1"/>
  <c r="T776" i="1" s="1"/>
  <c r="T777" i="1" a="1"/>
  <c r="T777" i="1" s="1"/>
  <c r="T778" i="1" a="1"/>
  <c r="T778" i="1" s="1"/>
  <c r="T779" i="1" a="1"/>
  <c r="T779" i="1" s="1"/>
  <c r="T780" i="1" a="1"/>
  <c r="T780" i="1" s="1"/>
  <c r="T781" i="1" a="1"/>
  <c r="T781" i="1" s="1"/>
  <c r="T782" i="1" a="1"/>
  <c r="T782" i="1" s="1"/>
  <c r="T783" i="1" a="1"/>
  <c r="T783" i="1" s="1"/>
  <c r="T784" i="1" a="1"/>
  <c r="T784" i="1" s="1"/>
  <c r="T785" i="1" a="1"/>
  <c r="T785" i="1" s="1"/>
  <c r="T786" i="1" a="1"/>
  <c r="T786" i="1" s="1"/>
  <c r="T787" i="1" a="1"/>
  <c r="T787" i="1" s="1"/>
  <c r="T788" i="1" a="1"/>
  <c r="T788" i="1" s="1"/>
  <c r="T789" i="1" a="1"/>
  <c r="T789" i="1" s="1"/>
  <c r="T790" i="1" a="1"/>
  <c r="T790" i="1" s="1"/>
  <c r="T791" i="1" a="1"/>
  <c r="T791" i="1" s="1"/>
  <c r="T792" i="1" a="1"/>
  <c r="T792" i="1" s="1"/>
  <c r="T793" i="1" a="1"/>
  <c r="T793" i="1" s="1"/>
  <c r="T794" i="1" a="1"/>
  <c r="T794" i="1" s="1"/>
  <c r="T795" i="1" a="1"/>
  <c r="T795" i="1" s="1"/>
  <c r="T796" i="1" a="1"/>
  <c r="T796" i="1" s="1"/>
  <c r="T797" i="1" a="1"/>
  <c r="T797" i="1" s="1"/>
  <c r="T798" i="1" a="1"/>
  <c r="T798" i="1" s="1"/>
  <c r="T799" i="1" a="1"/>
  <c r="T799" i="1" s="1"/>
  <c r="T800" i="1" a="1"/>
  <c r="T800" i="1" s="1"/>
  <c r="T801" i="1" a="1"/>
  <c r="T801" i="1" s="1"/>
  <c r="T802" i="1" a="1"/>
  <c r="T802" i="1" s="1"/>
  <c r="T803" i="1" a="1"/>
  <c r="T803" i="1" s="1"/>
  <c r="T804" i="1" a="1"/>
  <c r="T804" i="1" s="1"/>
  <c r="T805" i="1" a="1"/>
  <c r="T805" i="1" s="1"/>
  <c r="T806" i="1" a="1"/>
  <c r="T806" i="1" s="1"/>
  <c r="T807" i="1" a="1"/>
  <c r="T807" i="1" s="1"/>
  <c r="T808" i="1" a="1"/>
  <c r="T808" i="1" s="1"/>
  <c r="T809" i="1" a="1"/>
  <c r="T809" i="1" s="1"/>
  <c r="T810" i="1" a="1"/>
  <c r="T810" i="1" s="1"/>
  <c r="T811" i="1" a="1"/>
  <c r="T811" i="1" s="1"/>
  <c r="T812" i="1" a="1"/>
  <c r="T812" i="1" s="1"/>
  <c r="T813" i="1" a="1"/>
  <c r="T813" i="1" s="1"/>
  <c r="T814" i="1" a="1"/>
  <c r="T814" i="1" s="1"/>
  <c r="T815" i="1" a="1"/>
  <c r="T815" i="1" s="1"/>
  <c r="T816" i="1" a="1"/>
  <c r="T816" i="1" s="1"/>
  <c r="T817" i="1" a="1"/>
  <c r="T817" i="1" s="1"/>
  <c r="T818" i="1" a="1"/>
  <c r="T818" i="1" s="1"/>
  <c r="T819" i="1" a="1"/>
  <c r="T819" i="1" s="1"/>
  <c r="T820" i="1" a="1"/>
  <c r="T820" i="1" s="1"/>
  <c r="T821" i="1" a="1"/>
  <c r="T821" i="1" s="1"/>
  <c r="T822" i="1" a="1"/>
  <c r="T822" i="1" s="1"/>
  <c r="T823" i="1" a="1"/>
  <c r="T823" i="1" s="1"/>
  <c r="T824" i="1" a="1"/>
  <c r="T824" i="1" s="1"/>
  <c r="T825" i="1" a="1"/>
  <c r="T825" i="1" s="1"/>
  <c r="T826" i="1" a="1"/>
  <c r="T826" i="1" s="1"/>
  <c r="T827" i="1" a="1"/>
  <c r="T827" i="1" s="1"/>
  <c r="T828" i="1" a="1"/>
  <c r="T828" i="1" s="1"/>
  <c r="T829" i="1" a="1"/>
  <c r="T829" i="1" s="1"/>
  <c r="T830" i="1" a="1"/>
  <c r="T830" i="1" s="1"/>
  <c r="T831" i="1" a="1"/>
  <c r="T831" i="1" s="1"/>
  <c r="T832" i="1" a="1"/>
  <c r="T832" i="1" s="1"/>
  <c r="T833" i="1" a="1"/>
  <c r="T833" i="1" s="1"/>
  <c r="T834" i="1" a="1"/>
  <c r="T834" i="1" s="1"/>
  <c r="T835" i="1" a="1"/>
  <c r="T835" i="1" s="1"/>
  <c r="T836" i="1" a="1"/>
  <c r="T836" i="1" s="1"/>
  <c r="T837" i="1" a="1"/>
  <c r="T837" i="1" s="1"/>
  <c r="T838" i="1" a="1"/>
  <c r="T838" i="1" s="1"/>
  <c r="T839" i="1" a="1"/>
  <c r="T839" i="1" s="1"/>
  <c r="T840" i="1" a="1"/>
  <c r="T840" i="1" s="1"/>
  <c r="T841" i="1" a="1"/>
  <c r="T841" i="1" s="1"/>
  <c r="T842" i="1" a="1"/>
  <c r="T842" i="1" s="1"/>
  <c r="T843" i="1" a="1"/>
  <c r="T843" i="1" s="1"/>
  <c r="T844" i="1" a="1"/>
  <c r="T844" i="1" s="1"/>
  <c r="T845" i="1" a="1"/>
  <c r="T845" i="1" s="1"/>
  <c r="T846" i="1" a="1"/>
  <c r="T846" i="1" s="1"/>
  <c r="T847" i="1" a="1"/>
  <c r="T847" i="1" s="1"/>
  <c r="T848" i="1" a="1"/>
  <c r="T848" i="1" s="1"/>
  <c r="T849" i="1" a="1"/>
  <c r="T849" i="1" s="1"/>
  <c r="T850" i="1" a="1"/>
  <c r="T850" i="1" s="1"/>
  <c r="T851" i="1" a="1"/>
  <c r="T851" i="1" s="1"/>
  <c r="T852" i="1" a="1"/>
  <c r="T852" i="1" s="1"/>
  <c r="T853" i="1" a="1"/>
  <c r="T853" i="1" s="1"/>
  <c r="T854" i="1" a="1"/>
  <c r="T854" i="1" s="1"/>
  <c r="T855" i="1" a="1"/>
  <c r="T855" i="1" s="1"/>
  <c r="T856" i="1" a="1"/>
  <c r="T856" i="1" s="1"/>
  <c r="T857" i="1" a="1"/>
  <c r="T857" i="1" s="1"/>
  <c r="T858" i="1" a="1"/>
  <c r="T858" i="1" s="1"/>
  <c r="T859" i="1" a="1"/>
  <c r="T859" i="1" s="1"/>
  <c r="T860" i="1" a="1"/>
  <c r="T860" i="1" s="1"/>
  <c r="T861" i="1" a="1"/>
  <c r="T861" i="1" s="1"/>
  <c r="T862" i="1" a="1"/>
  <c r="T862" i="1" s="1"/>
  <c r="T863" i="1" a="1"/>
  <c r="T863" i="1" s="1"/>
  <c r="T864" i="1" a="1"/>
  <c r="T864" i="1" s="1"/>
  <c r="T865" i="1" a="1"/>
  <c r="T865" i="1" s="1"/>
  <c r="T866" i="1" a="1"/>
  <c r="T866" i="1" s="1"/>
  <c r="T867" i="1" a="1"/>
  <c r="T867" i="1" s="1"/>
  <c r="T868" i="1" a="1"/>
  <c r="T868" i="1" s="1"/>
  <c r="T869" i="1" a="1"/>
  <c r="T869" i="1" s="1"/>
  <c r="T870" i="1" a="1"/>
  <c r="T870" i="1" s="1"/>
  <c r="T871" i="1" a="1"/>
  <c r="T871" i="1" s="1"/>
  <c r="T872" i="1" a="1"/>
  <c r="T872" i="1" s="1"/>
  <c r="T873" i="1" a="1"/>
  <c r="T873" i="1" s="1"/>
  <c r="T874" i="1" a="1"/>
  <c r="T874" i="1" s="1"/>
  <c r="T875" i="1" a="1"/>
  <c r="T875" i="1" s="1"/>
  <c r="T876" i="1" a="1"/>
  <c r="T876" i="1" s="1"/>
  <c r="T877" i="1" a="1"/>
  <c r="T877" i="1" s="1"/>
  <c r="T878" i="1" a="1"/>
  <c r="T878" i="1" s="1"/>
  <c r="T879" i="1" a="1"/>
  <c r="T879" i="1" s="1"/>
  <c r="T880" i="1" a="1"/>
  <c r="T880" i="1" s="1"/>
  <c r="T881" i="1" a="1"/>
  <c r="T881" i="1" s="1"/>
  <c r="T882" i="1" a="1"/>
  <c r="T882" i="1" s="1"/>
  <c r="T883" i="1" a="1"/>
  <c r="T883" i="1" s="1"/>
  <c r="T884" i="1" a="1"/>
  <c r="T884" i="1" s="1"/>
  <c r="T885" i="1" a="1"/>
  <c r="T885" i="1" s="1"/>
  <c r="T886" i="1" a="1"/>
  <c r="T886" i="1" s="1"/>
  <c r="T887" i="1" a="1"/>
  <c r="T887" i="1" s="1"/>
  <c r="T888" i="1" a="1"/>
  <c r="T888" i="1" s="1"/>
  <c r="T889" i="1" a="1"/>
  <c r="T889" i="1" s="1"/>
  <c r="T890" i="1" a="1"/>
  <c r="T890" i="1" s="1"/>
  <c r="T891" i="1" a="1"/>
  <c r="T891" i="1" s="1"/>
  <c r="T892" i="1" a="1"/>
  <c r="T892" i="1" s="1"/>
  <c r="T893" i="1" a="1"/>
  <c r="T893" i="1" s="1"/>
  <c r="T894" i="1" a="1"/>
  <c r="T894" i="1" s="1"/>
  <c r="T895" i="1" a="1"/>
  <c r="T895" i="1" s="1"/>
  <c r="T896" i="1" a="1"/>
  <c r="T896" i="1" s="1"/>
  <c r="T897" i="1" a="1"/>
  <c r="T897" i="1" s="1"/>
  <c r="T898" i="1" a="1"/>
  <c r="T898" i="1" s="1"/>
  <c r="T899" i="1" a="1"/>
  <c r="T899" i="1" s="1"/>
  <c r="T900" i="1" a="1"/>
  <c r="T900" i="1" s="1"/>
  <c r="T901" i="1" a="1"/>
  <c r="T901" i="1" s="1"/>
  <c r="T902" i="1" a="1"/>
  <c r="T902" i="1" s="1"/>
  <c r="T903" i="1" a="1"/>
  <c r="T903" i="1" s="1"/>
  <c r="T904" i="1" a="1"/>
  <c r="T904" i="1" s="1"/>
  <c r="T905" i="1" a="1"/>
  <c r="T905" i="1" s="1"/>
  <c r="T906" i="1" a="1"/>
  <c r="T906" i="1" s="1"/>
  <c r="T907" i="1" a="1"/>
  <c r="T907" i="1" s="1"/>
  <c r="T908" i="1" a="1"/>
  <c r="T908" i="1" s="1"/>
  <c r="T909" i="1" a="1"/>
  <c r="T909" i="1" s="1"/>
  <c r="T910" i="1" a="1"/>
  <c r="T910" i="1" s="1"/>
  <c r="T911" i="1" a="1"/>
  <c r="T911" i="1" s="1"/>
  <c r="T912" i="1" a="1"/>
  <c r="T912" i="1" s="1"/>
  <c r="T913" i="1" a="1"/>
  <c r="T913" i="1" s="1"/>
  <c r="T914" i="1" a="1"/>
  <c r="T914" i="1" s="1"/>
  <c r="T915" i="1" a="1"/>
  <c r="T915" i="1" s="1"/>
  <c r="T916" i="1" a="1"/>
  <c r="T916" i="1" s="1"/>
  <c r="T917" i="1" a="1"/>
  <c r="T917" i="1" s="1"/>
  <c r="T918" i="1" a="1"/>
  <c r="T918" i="1" s="1"/>
  <c r="T919" i="1" a="1"/>
  <c r="T919" i="1" s="1"/>
  <c r="T920" i="1" a="1"/>
  <c r="T920" i="1" s="1"/>
  <c r="T921" i="1" a="1"/>
  <c r="T921" i="1" s="1"/>
  <c r="T922" i="1" a="1"/>
  <c r="T922" i="1" s="1"/>
  <c r="T923" i="1" a="1"/>
  <c r="T923" i="1" s="1"/>
  <c r="T924" i="1" a="1"/>
  <c r="T924" i="1" s="1"/>
  <c r="T925" i="1" a="1"/>
  <c r="T925" i="1" s="1"/>
  <c r="T926" i="1" a="1"/>
  <c r="T926" i="1" s="1"/>
  <c r="T927" i="1" a="1"/>
  <c r="T927" i="1" s="1"/>
  <c r="T928" i="1" a="1"/>
  <c r="T928" i="1" s="1"/>
  <c r="T929" i="1" a="1"/>
  <c r="T929" i="1" s="1"/>
  <c r="T930" i="1" a="1"/>
  <c r="T930" i="1" s="1"/>
  <c r="T931" i="1" a="1"/>
  <c r="T931" i="1" s="1"/>
  <c r="T932" i="1" a="1"/>
  <c r="T932" i="1" s="1"/>
  <c r="T933" i="1" a="1"/>
  <c r="T933" i="1" s="1"/>
  <c r="T934" i="1" a="1"/>
  <c r="T934" i="1" s="1"/>
  <c r="T935" i="1" a="1"/>
  <c r="T935" i="1" s="1"/>
  <c r="T936" i="1" a="1"/>
  <c r="T936" i="1" s="1"/>
  <c r="T937" i="1" a="1"/>
  <c r="T937" i="1" s="1"/>
  <c r="T938" i="1" a="1"/>
  <c r="T938" i="1" s="1"/>
  <c r="T939" i="1" a="1"/>
  <c r="T939" i="1" s="1"/>
  <c r="T940" i="1" a="1"/>
  <c r="T940" i="1" s="1"/>
  <c r="T941" i="1" a="1"/>
  <c r="T941" i="1" s="1"/>
  <c r="T942" i="1" a="1"/>
  <c r="T942" i="1" s="1"/>
  <c r="T943" i="1" a="1"/>
  <c r="T943" i="1" s="1"/>
  <c r="T944" i="1" a="1"/>
  <c r="T944" i="1" s="1"/>
  <c r="T945" i="1" a="1"/>
  <c r="T945" i="1" s="1"/>
  <c r="T946" i="1" a="1"/>
  <c r="T946" i="1" s="1"/>
  <c r="T947" i="1" a="1"/>
  <c r="T947" i="1" s="1"/>
  <c r="T948" i="1" a="1"/>
  <c r="T948" i="1" s="1"/>
  <c r="T949" i="1" a="1"/>
  <c r="T949" i="1" s="1"/>
  <c r="T950" i="1" a="1"/>
  <c r="T950" i="1" s="1"/>
  <c r="T951" i="1" a="1"/>
  <c r="T951" i="1" s="1"/>
  <c r="T952" i="1" a="1"/>
  <c r="T952" i="1" s="1"/>
  <c r="T953" i="1" a="1"/>
  <c r="T953" i="1" s="1"/>
  <c r="T954" i="1" a="1"/>
  <c r="T954" i="1" s="1"/>
  <c r="T2" i="1" a="1"/>
  <c r="T2" i="1" s="1"/>
  <c r="R3" i="1" a="1"/>
  <c r="R3" i="1" s="1"/>
  <c r="R4" i="1" a="1"/>
  <c r="R4" i="1" s="1"/>
  <c r="R5" i="1" a="1"/>
  <c r="R5" i="1" s="1"/>
  <c r="R6" i="1" a="1"/>
  <c r="R6" i="1"/>
  <c r="R7" i="1" a="1"/>
  <c r="R7" i="1" s="1"/>
  <c r="R8" i="1" a="1"/>
  <c r="R8" i="1" s="1"/>
  <c r="R9" i="1" a="1"/>
  <c r="R9" i="1" s="1"/>
  <c r="R10" i="1" a="1"/>
  <c r="R10" i="1" s="1"/>
  <c r="R11" i="1" a="1"/>
  <c r="R11" i="1" s="1"/>
  <c r="R12" i="1" a="1"/>
  <c r="R12" i="1" s="1"/>
  <c r="R13" i="1" a="1"/>
  <c r="R13" i="1" s="1"/>
  <c r="R14" i="1" a="1"/>
  <c r="R14" i="1" s="1"/>
  <c r="R15" i="1" a="1"/>
  <c r="R15" i="1" s="1"/>
  <c r="R16" i="1" a="1"/>
  <c r="R16" i="1" s="1"/>
  <c r="R17" i="1" a="1"/>
  <c r="R17" i="1" s="1"/>
  <c r="R18" i="1" a="1"/>
  <c r="R18" i="1" s="1"/>
  <c r="R19" i="1" a="1"/>
  <c r="R19" i="1" s="1"/>
  <c r="R20" i="1" a="1"/>
  <c r="R20" i="1" s="1"/>
  <c r="R21" i="1" a="1"/>
  <c r="R21" i="1" s="1"/>
  <c r="R22" i="1" a="1"/>
  <c r="R22" i="1" s="1"/>
  <c r="R23" i="1" a="1"/>
  <c r="R23" i="1" s="1"/>
  <c r="R24" i="1" a="1"/>
  <c r="R24" i="1" s="1"/>
  <c r="R25" i="1" a="1"/>
  <c r="R25" i="1" s="1"/>
  <c r="R26" i="1" a="1"/>
  <c r="R26" i="1"/>
  <c r="R27" i="1" a="1"/>
  <c r="R27" i="1" s="1"/>
  <c r="R28" i="1" a="1"/>
  <c r="R28" i="1" s="1"/>
  <c r="R29" i="1" a="1"/>
  <c r="R29" i="1" s="1"/>
  <c r="R30" i="1" a="1"/>
  <c r="R30" i="1" s="1"/>
  <c r="R31" i="1" a="1"/>
  <c r="R31" i="1" s="1"/>
  <c r="R32" i="1" a="1"/>
  <c r="R32" i="1" s="1"/>
  <c r="R33" i="1" a="1"/>
  <c r="R33" i="1" s="1"/>
  <c r="R34" i="1" a="1"/>
  <c r="R34" i="1" s="1"/>
  <c r="R35" i="1" a="1"/>
  <c r="R35" i="1" s="1"/>
  <c r="R36" i="1" a="1"/>
  <c r="R36" i="1" s="1"/>
  <c r="R37" i="1" a="1"/>
  <c r="R37" i="1" s="1"/>
  <c r="R38" i="1" a="1"/>
  <c r="R38" i="1" s="1"/>
  <c r="R39" i="1" a="1"/>
  <c r="R39" i="1" s="1"/>
  <c r="R40" i="1" a="1"/>
  <c r="R40" i="1" s="1"/>
  <c r="R41" i="1" a="1"/>
  <c r="R41" i="1" s="1"/>
  <c r="R42" i="1" a="1"/>
  <c r="R42" i="1" s="1"/>
  <c r="R43" i="1" a="1"/>
  <c r="R43" i="1" s="1"/>
  <c r="R44" i="1" a="1"/>
  <c r="R44" i="1" s="1"/>
  <c r="R45" i="1" a="1"/>
  <c r="R45" i="1" s="1"/>
  <c r="R46" i="1" a="1"/>
  <c r="R46" i="1" s="1"/>
  <c r="R47" i="1" a="1"/>
  <c r="R47" i="1" s="1"/>
  <c r="R48" i="1" a="1"/>
  <c r="R48" i="1" s="1"/>
  <c r="R49" i="1" a="1"/>
  <c r="R49" i="1" s="1"/>
  <c r="R50" i="1" a="1"/>
  <c r="R50" i="1" s="1"/>
  <c r="R51" i="1" a="1"/>
  <c r="R51" i="1" s="1"/>
  <c r="R52" i="1" a="1"/>
  <c r="R52" i="1" s="1"/>
  <c r="R53" i="1" a="1"/>
  <c r="R53" i="1" s="1"/>
  <c r="R54" i="1" a="1"/>
  <c r="R54" i="1" s="1"/>
  <c r="R55" i="1" a="1"/>
  <c r="R55" i="1" s="1"/>
  <c r="R56" i="1" a="1"/>
  <c r="R56" i="1" s="1"/>
  <c r="R57" i="1" a="1"/>
  <c r="R57" i="1" s="1"/>
  <c r="R58" i="1" a="1"/>
  <c r="R58" i="1"/>
  <c r="R59" i="1" a="1"/>
  <c r="R59" i="1" s="1"/>
  <c r="R60" i="1" a="1"/>
  <c r="R60" i="1" s="1"/>
  <c r="R61" i="1" a="1"/>
  <c r="R61" i="1" s="1"/>
  <c r="R62" i="1" a="1"/>
  <c r="R62" i="1" s="1"/>
  <c r="R63" i="1" a="1"/>
  <c r="R63" i="1" s="1"/>
  <c r="R64" i="1" a="1"/>
  <c r="R64" i="1" s="1"/>
  <c r="R65" i="1" a="1"/>
  <c r="R65" i="1" s="1"/>
  <c r="R66" i="1" a="1"/>
  <c r="R66" i="1" s="1"/>
  <c r="R67" i="1" a="1"/>
  <c r="R67" i="1" s="1"/>
  <c r="R68" i="1" a="1"/>
  <c r="R68" i="1" s="1"/>
  <c r="R69" i="1" a="1"/>
  <c r="R69" i="1" s="1"/>
  <c r="R70" i="1" a="1"/>
  <c r="R70" i="1" s="1"/>
  <c r="R71" i="1" a="1"/>
  <c r="R71" i="1" s="1"/>
  <c r="R72" i="1" a="1"/>
  <c r="R72" i="1" s="1"/>
  <c r="R73" i="1" a="1"/>
  <c r="R73" i="1" s="1"/>
  <c r="R74" i="1" a="1"/>
  <c r="R74" i="1" s="1"/>
  <c r="R75" i="1" a="1"/>
  <c r="R75" i="1" s="1"/>
  <c r="R76" i="1" a="1"/>
  <c r="R76" i="1" s="1"/>
  <c r="R77" i="1" a="1"/>
  <c r="R77" i="1" s="1"/>
  <c r="R78" i="1" a="1"/>
  <c r="R78" i="1" s="1"/>
  <c r="R79" i="1" a="1"/>
  <c r="R79" i="1" s="1"/>
  <c r="R80" i="1" a="1"/>
  <c r="R80" i="1" s="1"/>
  <c r="R81" i="1" a="1"/>
  <c r="R81" i="1" s="1"/>
  <c r="R82" i="1" a="1"/>
  <c r="R82" i="1" s="1"/>
  <c r="R83" i="1" a="1"/>
  <c r="R83" i="1" s="1"/>
  <c r="R84" i="1" a="1"/>
  <c r="R84" i="1" s="1"/>
  <c r="R85" i="1" a="1"/>
  <c r="R85" i="1" s="1"/>
  <c r="R86" i="1" a="1"/>
  <c r="R86" i="1" s="1"/>
  <c r="R87" i="1" a="1"/>
  <c r="R87" i="1" s="1"/>
  <c r="R88" i="1" a="1"/>
  <c r="R88" i="1" s="1"/>
  <c r="R89" i="1" a="1"/>
  <c r="R89" i="1" s="1"/>
  <c r="R90" i="1" a="1"/>
  <c r="R90" i="1"/>
  <c r="R91" i="1" a="1"/>
  <c r="R91" i="1" s="1"/>
  <c r="R92" i="1" a="1"/>
  <c r="R92" i="1"/>
  <c r="R93" i="1" a="1"/>
  <c r="R93" i="1" s="1"/>
  <c r="R94" i="1" a="1"/>
  <c r="R94" i="1" s="1"/>
  <c r="R95" i="1" a="1"/>
  <c r="R95" i="1" s="1"/>
  <c r="R96" i="1" a="1"/>
  <c r="R96" i="1" s="1"/>
  <c r="R97" i="1" a="1"/>
  <c r="R97" i="1" s="1"/>
  <c r="R98" i="1" a="1"/>
  <c r="R98" i="1" s="1"/>
  <c r="R99" i="1" a="1"/>
  <c r="R99" i="1" s="1"/>
  <c r="R100" i="1" a="1"/>
  <c r="R100" i="1" s="1"/>
  <c r="R101" i="1" a="1"/>
  <c r="R101" i="1" s="1"/>
  <c r="R102" i="1" a="1"/>
  <c r="R102" i="1" s="1"/>
  <c r="R103" i="1" a="1"/>
  <c r="R103" i="1" s="1"/>
  <c r="R104" i="1" a="1"/>
  <c r="R104" i="1" s="1"/>
  <c r="R105" i="1" a="1"/>
  <c r="R105" i="1" s="1"/>
  <c r="R106" i="1" a="1"/>
  <c r="R106" i="1" s="1"/>
  <c r="R107" i="1" a="1"/>
  <c r="R107" i="1" s="1"/>
  <c r="R108" i="1" a="1"/>
  <c r="R108" i="1" s="1"/>
  <c r="R109" i="1" a="1"/>
  <c r="R109" i="1" s="1"/>
  <c r="R110" i="1" a="1"/>
  <c r="R110" i="1" s="1"/>
  <c r="R111" i="1" a="1"/>
  <c r="R111" i="1" s="1"/>
  <c r="R112" i="1" a="1"/>
  <c r="R112" i="1" s="1"/>
  <c r="R113" i="1" a="1"/>
  <c r="R113" i="1" s="1"/>
  <c r="R114" i="1" a="1"/>
  <c r="R114" i="1" s="1"/>
  <c r="R115" i="1" a="1"/>
  <c r="R115" i="1" s="1"/>
  <c r="R116" i="1" a="1"/>
  <c r="R116" i="1" s="1"/>
  <c r="R117" i="1" a="1"/>
  <c r="R117" i="1" s="1"/>
  <c r="R118" i="1" a="1"/>
  <c r="R118" i="1" s="1"/>
  <c r="R119" i="1" a="1"/>
  <c r="R119" i="1" s="1"/>
  <c r="R120" i="1" a="1"/>
  <c r="R120" i="1" s="1"/>
  <c r="R121" i="1" a="1"/>
  <c r="R121" i="1" s="1"/>
  <c r="R122" i="1" a="1"/>
  <c r="R122" i="1"/>
  <c r="R123" i="1" a="1"/>
  <c r="R123" i="1" s="1"/>
  <c r="R124" i="1" a="1"/>
  <c r="R124" i="1" s="1"/>
  <c r="R125" i="1" a="1"/>
  <c r="R125" i="1" s="1"/>
  <c r="R126" i="1" a="1"/>
  <c r="R126" i="1" s="1"/>
  <c r="R127" i="1" a="1"/>
  <c r="R127" i="1" s="1"/>
  <c r="R128" i="1" a="1"/>
  <c r="R128" i="1" s="1"/>
  <c r="R129" i="1" a="1"/>
  <c r="R129" i="1" s="1"/>
  <c r="R130" i="1" a="1"/>
  <c r="R130" i="1" s="1"/>
  <c r="R131" i="1" a="1"/>
  <c r="R131" i="1" s="1"/>
  <c r="R132" i="1" a="1"/>
  <c r="R132" i="1" s="1"/>
  <c r="R133" i="1" a="1"/>
  <c r="R133" i="1" s="1"/>
  <c r="R134" i="1" a="1"/>
  <c r="R134" i="1" s="1"/>
  <c r="R135" i="1" a="1"/>
  <c r="R135" i="1" s="1"/>
  <c r="R136" i="1" a="1"/>
  <c r="R136" i="1" s="1"/>
  <c r="R137" i="1" a="1"/>
  <c r="R137" i="1" s="1"/>
  <c r="R138" i="1" a="1"/>
  <c r="R138" i="1" s="1"/>
  <c r="R139" i="1" a="1"/>
  <c r="R139" i="1" s="1"/>
  <c r="R140" i="1" a="1"/>
  <c r="R140" i="1" s="1"/>
  <c r="R141" i="1" a="1"/>
  <c r="R141" i="1" s="1"/>
  <c r="R142" i="1" a="1"/>
  <c r="R142" i="1" s="1"/>
  <c r="R143" i="1" a="1"/>
  <c r="R143" i="1" s="1"/>
  <c r="R144" i="1" a="1"/>
  <c r="R144" i="1" s="1"/>
  <c r="R145" i="1" a="1"/>
  <c r="R145" i="1" s="1"/>
  <c r="R146" i="1" a="1"/>
  <c r="R146" i="1" s="1"/>
  <c r="R147" i="1" a="1"/>
  <c r="R147" i="1" s="1"/>
  <c r="R148" i="1" a="1"/>
  <c r="R148" i="1" s="1"/>
  <c r="R149" i="1" a="1"/>
  <c r="R149" i="1" s="1"/>
  <c r="R150" i="1" a="1"/>
  <c r="R150" i="1" s="1"/>
  <c r="R151" i="1" a="1"/>
  <c r="R151" i="1" s="1"/>
  <c r="R152" i="1" a="1"/>
  <c r="R152" i="1" s="1"/>
  <c r="R153" i="1" a="1"/>
  <c r="R153" i="1" s="1"/>
  <c r="R154" i="1" a="1"/>
  <c r="R154" i="1"/>
  <c r="R155" i="1" a="1"/>
  <c r="R155" i="1" s="1"/>
  <c r="R156" i="1" a="1"/>
  <c r="R156" i="1"/>
  <c r="R157" i="1" a="1"/>
  <c r="R157" i="1" s="1"/>
  <c r="R158" i="1" a="1"/>
  <c r="R158" i="1" s="1"/>
  <c r="R159" i="1" a="1"/>
  <c r="R159" i="1" s="1"/>
  <c r="R160" i="1" a="1"/>
  <c r="R160" i="1" s="1"/>
  <c r="R161" i="1" a="1"/>
  <c r="R161" i="1" s="1"/>
  <c r="R162" i="1" a="1"/>
  <c r="R162" i="1" s="1"/>
  <c r="R163" i="1" a="1"/>
  <c r="R163" i="1" s="1"/>
  <c r="R164" i="1" a="1"/>
  <c r="R164" i="1" s="1"/>
  <c r="R165" i="1" a="1"/>
  <c r="R165" i="1" s="1"/>
  <c r="R166" i="1" a="1"/>
  <c r="R166" i="1" s="1"/>
  <c r="R167" i="1" a="1"/>
  <c r="R167" i="1" s="1"/>
  <c r="R168" i="1" a="1"/>
  <c r="R168" i="1" s="1"/>
  <c r="R169" i="1" a="1"/>
  <c r="R169" i="1" s="1"/>
  <c r="R170" i="1" a="1"/>
  <c r="R170" i="1" s="1"/>
  <c r="R171" i="1" a="1"/>
  <c r="R171" i="1" s="1"/>
  <c r="R172" i="1" a="1"/>
  <c r="R172" i="1" s="1"/>
  <c r="R173" i="1" a="1"/>
  <c r="R173" i="1" s="1"/>
  <c r="R174" i="1" a="1"/>
  <c r="R174" i="1" s="1"/>
  <c r="R175" i="1" a="1"/>
  <c r="R175" i="1" s="1"/>
  <c r="R176" i="1" a="1"/>
  <c r="R176" i="1" s="1"/>
  <c r="R177" i="1" a="1"/>
  <c r="R177" i="1" s="1"/>
  <c r="R178" i="1" a="1"/>
  <c r="R178" i="1"/>
  <c r="R179" i="1" a="1"/>
  <c r="R179" i="1" s="1"/>
  <c r="R180" i="1" a="1"/>
  <c r="R180" i="1" s="1"/>
  <c r="R181" i="1" a="1"/>
  <c r="R181" i="1" s="1"/>
  <c r="R182" i="1" a="1"/>
  <c r="R182" i="1" s="1"/>
  <c r="R183" i="1" a="1"/>
  <c r="R183" i="1" s="1"/>
  <c r="R184" i="1" a="1"/>
  <c r="R184" i="1" s="1"/>
  <c r="R185" i="1" a="1"/>
  <c r="R185" i="1" s="1"/>
  <c r="R186" i="1" a="1"/>
  <c r="R186" i="1" s="1"/>
  <c r="R187" i="1" a="1"/>
  <c r="R187" i="1" s="1"/>
  <c r="R188" i="1" a="1"/>
  <c r="R188" i="1" s="1"/>
  <c r="R189" i="1" a="1"/>
  <c r="R189" i="1" s="1"/>
  <c r="R190" i="1" a="1"/>
  <c r="R190" i="1" s="1"/>
  <c r="R191" i="1" a="1"/>
  <c r="R191" i="1" s="1"/>
  <c r="R192" i="1" a="1"/>
  <c r="R192" i="1" s="1"/>
  <c r="R193" i="1" a="1"/>
  <c r="R193" i="1" s="1"/>
  <c r="R194" i="1" a="1"/>
  <c r="R194" i="1"/>
  <c r="R195" i="1" a="1"/>
  <c r="R195" i="1" s="1"/>
  <c r="R196" i="1" a="1"/>
  <c r="R196" i="1" s="1"/>
  <c r="R197" i="1" a="1"/>
  <c r="R197" i="1" s="1"/>
  <c r="R198" i="1" a="1"/>
  <c r="R198" i="1" s="1"/>
  <c r="R199" i="1" a="1"/>
  <c r="R199" i="1" s="1"/>
  <c r="R200" i="1" a="1"/>
  <c r="R200" i="1" s="1"/>
  <c r="R201" i="1" a="1"/>
  <c r="R201" i="1" s="1"/>
  <c r="R202" i="1" a="1"/>
  <c r="R202" i="1" s="1"/>
  <c r="R203" i="1" a="1"/>
  <c r="R203" i="1" s="1"/>
  <c r="R204" i="1" a="1"/>
  <c r="R204" i="1" s="1"/>
  <c r="R205" i="1" a="1"/>
  <c r="R205" i="1" s="1"/>
  <c r="R206" i="1" a="1"/>
  <c r="R206" i="1" s="1"/>
  <c r="R207" i="1" a="1"/>
  <c r="R207" i="1" s="1"/>
  <c r="R208" i="1" a="1"/>
  <c r="R208" i="1" s="1"/>
  <c r="R209" i="1" a="1"/>
  <c r="R209" i="1" s="1"/>
  <c r="R210" i="1" a="1"/>
  <c r="R210" i="1" s="1"/>
  <c r="R211" i="1" a="1"/>
  <c r="R211" i="1" s="1"/>
  <c r="R212" i="1" a="1"/>
  <c r="R212" i="1" s="1"/>
  <c r="R213" i="1" a="1"/>
  <c r="R213" i="1" s="1"/>
  <c r="R214" i="1" a="1"/>
  <c r="R214" i="1" s="1"/>
  <c r="R215" i="1" a="1"/>
  <c r="R215" i="1" s="1"/>
  <c r="R216" i="1" a="1"/>
  <c r="R216" i="1" s="1"/>
  <c r="R217" i="1" a="1"/>
  <c r="R217" i="1" s="1"/>
  <c r="R218" i="1" a="1"/>
  <c r="R218" i="1" s="1"/>
  <c r="R219" i="1" a="1"/>
  <c r="R219" i="1" s="1"/>
  <c r="R220" i="1" a="1"/>
  <c r="R220" i="1" s="1"/>
  <c r="R221" i="1" a="1"/>
  <c r="R221" i="1" s="1"/>
  <c r="R222" i="1" a="1"/>
  <c r="R222" i="1" s="1"/>
  <c r="R223" i="1" a="1"/>
  <c r="R223" i="1" s="1"/>
  <c r="R224" i="1" a="1"/>
  <c r="R224" i="1" s="1"/>
  <c r="R225" i="1" a="1"/>
  <c r="R225" i="1" s="1"/>
  <c r="R226" i="1" a="1"/>
  <c r="R226" i="1" s="1"/>
  <c r="R227" i="1" a="1"/>
  <c r="R227" i="1" s="1"/>
  <c r="R228" i="1" a="1"/>
  <c r="R228" i="1" s="1"/>
  <c r="R229" i="1" a="1"/>
  <c r="R229" i="1" s="1"/>
  <c r="R230" i="1" a="1"/>
  <c r="R230" i="1" s="1"/>
  <c r="R231" i="1" a="1"/>
  <c r="R231" i="1" s="1"/>
  <c r="R232" i="1" a="1"/>
  <c r="R232" i="1" s="1"/>
  <c r="R233" i="1" a="1"/>
  <c r="R233" i="1" s="1"/>
  <c r="R234" i="1" a="1"/>
  <c r="R234" i="1" s="1"/>
  <c r="R235" i="1" a="1"/>
  <c r="R235" i="1" s="1"/>
  <c r="R236" i="1" a="1"/>
  <c r="R236" i="1" s="1"/>
  <c r="R237" i="1" a="1"/>
  <c r="R237" i="1" s="1"/>
  <c r="R238" i="1" a="1"/>
  <c r="R238" i="1" s="1"/>
  <c r="R239" i="1" a="1"/>
  <c r="R239" i="1" s="1"/>
  <c r="R240" i="1" a="1"/>
  <c r="R240" i="1" s="1"/>
  <c r="R241" i="1" a="1"/>
  <c r="R241" i="1" s="1"/>
  <c r="R242" i="1" a="1"/>
  <c r="R242" i="1" s="1"/>
  <c r="R243" i="1" a="1"/>
  <c r="R243" i="1" s="1"/>
  <c r="R244" i="1" a="1"/>
  <c r="R244" i="1" s="1"/>
  <c r="R245" i="1" a="1"/>
  <c r="R245" i="1" s="1"/>
  <c r="R246" i="1" a="1"/>
  <c r="R246" i="1" s="1"/>
  <c r="R247" i="1" a="1"/>
  <c r="R247" i="1" s="1"/>
  <c r="R248" i="1" a="1"/>
  <c r="R248" i="1" s="1"/>
  <c r="R249" i="1" a="1"/>
  <c r="R249" i="1" s="1"/>
  <c r="R250" i="1" a="1"/>
  <c r="R250" i="1" s="1"/>
  <c r="R251" i="1" a="1"/>
  <c r="R251" i="1" s="1"/>
  <c r="R252" i="1" a="1"/>
  <c r="R252" i="1" s="1"/>
  <c r="R253" i="1" a="1"/>
  <c r="R253" i="1" s="1"/>
  <c r="R254" i="1" a="1"/>
  <c r="R254" i="1" s="1"/>
  <c r="R255" i="1" a="1"/>
  <c r="R255" i="1" s="1"/>
  <c r="R256" i="1" a="1"/>
  <c r="R256" i="1" s="1"/>
  <c r="R257" i="1" a="1"/>
  <c r="R257" i="1" s="1"/>
  <c r="R258" i="1" a="1"/>
  <c r="R258" i="1" s="1"/>
  <c r="R259" i="1" a="1"/>
  <c r="R259" i="1" s="1"/>
  <c r="R260" i="1" a="1"/>
  <c r="R260" i="1" s="1"/>
  <c r="R261" i="1" a="1"/>
  <c r="R261" i="1" s="1"/>
  <c r="R262" i="1" a="1"/>
  <c r="R262" i="1" s="1"/>
  <c r="R263" i="1" a="1"/>
  <c r="R263" i="1" s="1"/>
  <c r="R264" i="1" a="1"/>
  <c r="R264" i="1" s="1"/>
  <c r="R265" i="1" a="1"/>
  <c r="R265" i="1" s="1"/>
  <c r="R266" i="1" a="1"/>
  <c r="R266" i="1" s="1"/>
  <c r="R267" i="1" a="1"/>
  <c r="R267" i="1" s="1"/>
  <c r="R268" i="1" a="1"/>
  <c r="R268" i="1" s="1"/>
  <c r="R269" i="1" a="1"/>
  <c r="R269" i="1" s="1"/>
  <c r="R270" i="1" a="1"/>
  <c r="R270" i="1" s="1"/>
  <c r="R271" i="1" a="1"/>
  <c r="R271" i="1" s="1"/>
  <c r="R272" i="1" a="1"/>
  <c r="R272" i="1" s="1"/>
  <c r="R273" i="1" a="1"/>
  <c r="R273" i="1" s="1"/>
  <c r="R274" i="1" a="1"/>
  <c r="R274" i="1" s="1"/>
  <c r="R275" i="1" a="1"/>
  <c r="R275" i="1" s="1"/>
  <c r="R276" i="1" a="1"/>
  <c r="R276" i="1" s="1"/>
  <c r="R277" i="1" a="1"/>
  <c r="R277" i="1" s="1"/>
  <c r="R278" i="1" a="1"/>
  <c r="R278" i="1" s="1"/>
  <c r="R279" i="1" a="1"/>
  <c r="R279" i="1" s="1"/>
  <c r="R280" i="1" a="1"/>
  <c r="R280" i="1" s="1"/>
  <c r="R281" i="1" a="1"/>
  <c r="R281" i="1" s="1"/>
  <c r="R282" i="1" a="1"/>
  <c r="R282" i="1" s="1"/>
  <c r="R283" i="1" a="1"/>
  <c r="R283" i="1" s="1"/>
  <c r="R284" i="1" a="1"/>
  <c r="R284" i="1" s="1"/>
  <c r="R285" i="1" a="1"/>
  <c r="R285" i="1" s="1"/>
  <c r="R286" i="1" a="1"/>
  <c r="R286" i="1" s="1"/>
  <c r="R287" i="1" a="1"/>
  <c r="R287" i="1" s="1"/>
  <c r="R288" i="1" a="1"/>
  <c r="R288" i="1" s="1"/>
  <c r="R289" i="1" a="1"/>
  <c r="R289" i="1" s="1"/>
  <c r="R290" i="1" a="1"/>
  <c r="R290" i="1" s="1"/>
  <c r="R291" i="1" a="1"/>
  <c r="R291" i="1" s="1"/>
  <c r="R292" i="1" a="1"/>
  <c r="R292" i="1" s="1"/>
  <c r="R293" i="1" a="1"/>
  <c r="R293" i="1" s="1"/>
  <c r="R294" i="1" a="1"/>
  <c r="R294" i="1" s="1"/>
  <c r="R295" i="1" a="1"/>
  <c r="R295" i="1" s="1"/>
  <c r="R296" i="1" a="1"/>
  <c r="R296" i="1" s="1"/>
  <c r="R297" i="1" a="1"/>
  <c r="R297" i="1" s="1"/>
  <c r="R298" i="1" a="1"/>
  <c r="R298" i="1" s="1"/>
  <c r="R299" i="1" a="1"/>
  <c r="R299" i="1" s="1"/>
  <c r="R300" i="1" a="1"/>
  <c r="R300" i="1" s="1"/>
  <c r="R301" i="1" a="1"/>
  <c r="R301" i="1" s="1"/>
  <c r="R302" i="1" a="1"/>
  <c r="R302" i="1" s="1"/>
  <c r="R303" i="1" a="1"/>
  <c r="R303" i="1" s="1"/>
  <c r="R304" i="1" a="1"/>
  <c r="R304" i="1" s="1"/>
  <c r="R305" i="1" a="1"/>
  <c r="R305" i="1" s="1"/>
  <c r="R306" i="1" a="1"/>
  <c r="R306" i="1" s="1"/>
  <c r="R307" i="1" a="1"/>
  <c r="R307" i="1" s="1"/>
  <c r="R308" i="1" a="1"/>
  <c r="R308" i="1" s="1"/>
  <c r="R309" i="1" a="1"/>
  <c r="R309" i="1" s="1"/>
  <c r="R310" i="1" a="1"/>
  <c r="R310" i="1" s="1"/>
  <c r="R311" i="1" a="1"/>
  <c r="R311" i="1" s="1"/>
  <c r="R312" i="1" a="1"/>
  <c r="R312" i="1" s="1"/>
  <c r="R313" i="1" a="1"/>
  <c r="R313" i="1" s="1"/>
  <c r="R314" i="1" a="1"/>
  <c r="R314" i="1" s="1"/>
  <c r="R315" i="1" a="1"/>
  <c r="R315" i="1" s="1"/>
  <c r="R316" i="1" a="1"/>
  <c r="R316" i="1" s="1"/>
  <c r="R317" i="1" a="1"/>
  <c r="R317" i="1" s="1"/>
  <c r="R318" i="1" a="1"/>
  <c r="R318" i="1" s="1"/>
  <c r="R319" i="1" a="1"/>
  <c r="R319" i="1" s="1"/>
  <c r="R320" i="1" a="1"/>
  <c r="R320" i="1"/>
  <c r="R321" i="1" a="1"/>
  <c r="R321" i="1" s="1"/>
  <c r="R322" i="1" a="1"/>
  <c r="R322" i="1" s="1"/>
  <c r="R323" i="1" a="1"/>
  <c r="R323" i="1" s="1"/>
  <c r="R324" i="1" a="1"/>
  <c r="R324" i="1" s="1"/>
  <c r="R325" i="1" a="1"/>
  <c r="R325" i="1" s="1"/>
  <c r="R326" i="1" a="1"/>
  <c r="R326" i="1" s="1"/>
  <c r="R327" i="1" a="1"/>
  <c r="R327" i="1" s="1"/>
  <c r="R328" i="1" a="1"/>
  <c r="R328" i="1" s="1"/>
  <c r="R329" i="1" a="1"/>
  <c r="R329" i="1" s="1"/>
  <c r="R330" i="1" a="1"/>
  <c r="R330" i="1" s="1"/>
  <c r="R331" i="1" a="1"/>
  <c r="R331" i="1" s="1"/>
  <c r="R332" i="1" a="1"/>
  <c r="R332" i="1" s="1"/>
  <c r="R333" i="1" a="1"/>
  <c r="R333" i="1" s="1"/>
  <c r="R334" i="1" a="1"/>
  <c r="R334" i="1" s="1"/>
  <c r="R335" i="1" a="1"/>
  <c r="R335" i="1" s="1"/>
  <c r="R336" i="1" a="1"/>
  <c r="R336" i="1"/>
  <c r="R337" i="1" a="1"/>
  <c r="R337" i="1" s="1"/>
  <c r="R338" i="1" a="1"/>
  <c r="R338" i="1" s="1"/>
  <c r="R339" i="1" a="1"/>
  <c r="R339" i="1" s="1"/>
  <c r="R340" i="1" a="1"/>
  <c r="R340" i="1" s="1"/>
  <c r="R341" i="1" a="1"/>
  <c r="R341" i="1" s="1"/>
  <c r="R342" i="1" a="1"/>
  <c r="R342" i="1" s="1"/>
  <c r="R343" i="1" a="1"/>
  <c r="R343" i="1" s="1"/>
  <c r="R344" i="1" a="1"/>
  <c r="R344" i="1" s="1"/>
  <c r="R345" i="1" a="1"/>
  <c r="R345" i="1" s="1"/>
  <c r="R346" i="1" a="1"/>
  <c r="R346" i="1" s="1"/>
  <c r="R347" i="1" a="1"/>
  <c r="R347" i="1" s="1"/>
  <c r="R348" i="1" a="1"/>
  <c r="R348" i="1" s="1"/>
  <c r="R349" i="1" a="1"/>
  <c r="R349" i="1" s="1"/>
  <c r="R350" i="1" a="1"/>
  <c r="R350" i="1" s="1"/>
  <c r="R351" i="1" a="1"/>
  <c r="R351" i="1" s="1"/>
  <c r="R352" i="1" a="1"/>
  <c r="R352" i="1" s="1"/>
  <c r="R353" i="1" a="1"/>
  <c r="R353" i="1" s="1"/>
  <c r="R354" i="1" a="1"/>
  <c r="R354" i="1" s="1"/>
  <c r="R355" i="1" a="1"/>
  <c r="R355" i="1" s="1"/>
  <c r="R356" i="1" a="1"/>
  <c r="R356" i="1" s="1"/>
  <c r="R357" i="1" a="1"/>
  <c r="R357" i="1" s="1"/>
  <c r="R358" i="1" a="1"/>
  <c r="R358" i="1" s="1"/>
  <c r="R359" i="1" a="1"/>
  <c r="R359" i="1" s="1"/>
  <c r="R360" i="1" a="1"/>
  <c r="R360" i="1" s="1"/>
  <c r="R361" i="1" a="1"/>
  <c r="R361" i="1" s="1"/>
  <c r="R362" i="1" a="1"/>
  <c r="R362" i="1"/>
  <c r="R363" i="1" a="1"/>
  <c r="R363" i="1" s="1"/>
  <c r="R364" i="1" a="1"/>
  <c r="R364" i="1" s="1"/>
  <c r="R365" i="1" a="1"/>
  <c r="R365" i="1" s="1"/>
  <c r="R366" i="1" a="1"/>
  <c r="R366" i="1" s="1"/>
  <c r="R367" i="1" a="1"/>
  <c r="R367" i="1" s="1"/>
  <c r="R368" i="1" a="1"/>
  <c r="R368" i="1" s="1"/>
  <c r="R369" i="1" a="1"/>
  <c r="R369" i="1" s="1"/>
  <c r="R370" i="1" a="1"/>
  <c r="R370" i="1" s="1"/>
  <c r="R371" i="1" a="1"/>
  <c r="R371" i="1" s="1"/>
  <c r="R372" i="1" a="1"/>
  <c r="R372" i="1" s="1"/>
  <c r="R373" i="1" a="1"/>
  <c r="R373" i="1" s="1"/>
  <c r="R374" i="1" a="1"/>
  <c r="R374" i="1" s="1"/>
  <c r="R375" i="1" a="1"/>
  <c r="R375" i="1" s="1"/>
  <c r="R376" i="1" a="1"/>
  <c r="R376" i="1" s="1"/>
  <c r="R377" i="1" a="1"/>
  <c r="R377" i="1" s="1"/>
  <c r="R378" i="1" a="1"/>
  <c r="R378" i="1" s="1"/>
  <c r="R379" i="1" a="1"/>
  <c r="R379" i="1" s="1"/>
  <c r="R380" i="1" a="1"/>
  <c r="R380" i="1" s="1"/>
  <c r="R381" i="1" a="1"/>
  <c r="R381" i="1" s="1"/>
  <c r="R382" i="1" a="1"/>
  <c r="R382" i="1"/>
  <c r="R383" i="1" a="1"/>
  <c r="R383" i="1" s="1"/>
  <c r="R384" i="1" a="1"/>
  <c r="R384" i="1" s="1"/>
  <c r="R385" i="1" a="1"/>
  <c r="R385" i="1" s="1"/>
  <c r="R386" i="1" a="1"/>
  <c r="R386" i="1" s="1"/>
  <c r="R387" i="1" a="1"/>
  <c r="R387" i="1" s="1"/>
  <c r="R388" i="1" a="1"/>
  <c r="R388" i="1"/>
  <c r="R389" i="1" a="1"/>
  <c r="R389" i="1" s="1"/>
  <c r="R390" i="1" a="1"/>
  <c r="R390" i="1" s="1"/>
  <c r="R391" i="1" a="1"/>
  <c r="R391" i="1" s="1"/>
  <c r="R392" i="1" a="1"/>
  <c r="R392" i="1" s="1"/>
  <c r="R393" i="1" a="1"/>
  <c r="R393" i="1" s="1"/>
  <c r="R394" i="1" a="1"/>
  <c r="R394" i="1" s="1"/>
  <c r="R395" i="1" a="1"/>
  <c r="R395" i="1" s="1"/>
  <c r="R396" i="1" a="1"/>
  <c r="R396" i="1" s="1"/>
  <c r="R397" i="1" a="1"/>
  <c r="R397" i="1" s="1"/>
  <c r="R398" i="1" a="1"/>
  <c r="R398" i="1" s="1"/>
  <c r="R399" i="1" a="1"/>
  <c r="R399" i="1" s="1"/>
  <c r="R400" i="1" a="1"/>
  <c r="R400" i="1" s="1"/>
  <c r="R401" i="1" a="1"/>
  <c r="R401" i="1" s="1"/>
  <c r="R402" i="1" a="1"/>
  <c r="R402" i="1" s="1"/>
  <c r="R403" i="1" a="1"/>
  <c r="R403" i="1" s="1"/>
  <c r="R404" i="1" a="1"/>
  <c r="R404" i="1" s="1"/>
  <c r="R405" i="1" a="1"/>
  <c r="R405" i="1" s="1"/>
  <c r="R406" i="1" a="1"/>
  <c r="R406" i="1" s="1"/>
  <c r="R407" i="1" a="1"/>
  <c r="R407" i="1" s="1"/>
  <c r="R408" i="1" a="1"/>
  <c r="R408" i="1" s="1"/>
  <c r="R409" i="1" a="1"/>
  <c r="R409" i="1" s="1"/>
  <c r="R410" i="1" a="1"/>
  <c r="R410" i="1" s="1"/>
  <c r="R411" i="1" a="1"/>
  <c r="R411" i="1" s="1"/>
  <c r="R412" i="1" a="1"/>
  <c r="R412" i="1" s="1"/>
  <c r="R413" i="1" a="1"/>
  <c r="R413" i="1" s="1"/>
  <c r="R414" i="1" a="1"/>
  <c r="R414" i="1" s="1"/>
  <c r="R415" i="1" a="1"/>
  <c r="R415" i="1" s="1"/>
  <c r="R416" i="1" a="1"/>
  <c r="R416" i="1" s="1"/>
  <c r="R417" i="1" a="1"/>
  <c r="R417" i="1" s="1"/>
  <c r="R418" i="1" a="1"/>
  <c r="R418" i="1" s="1"/>
  <c r="R419" i="1" a="1"/>
  <c r="R419" i="1" s="1"/>
  <c r="R420" i="1" a="1"/>
  <c r="R420" i="1" s="1"/>
  <c r="R421" i="1" a="1"/>
  <c r="R421" i="1" s="1"/>
  <c r="R422" i="1" a="1"/>
  <c r="R422" i="1" s="1"/>
  <c r="R423" i="1" a="1"/>
  <c r="R423" i="1" s="1"/>
  <c r="R424" i="1" a="1"/>
  <c r="R424" i="1" s="1"/>
  <c r="R425" i="1" a="1"/>
  <c r="R425" i="1" s="1"/>
  <c r="R426" i="1" a="1"/>
  <c r="R426" i="1"/>
  <c r="R427" i="1" a="1"/>
  <c r="R427" i="1" s="1"/>
  <c r="R428" i="1" a="1"/>
  <c r="R428" i="1" s="1"/>
  <c r="R429" i="1" a="1"/>
  <c r="R429" i="1" s="1"/>
  <c r="R430" i="1" a="1"/>
  <c r="R430" i="1" s="1"/>
  <c r="R431" i="1" a="1"/>
  <c r="R431" i="1" s="1"/>
  <c r="R432" i="1" a="1"/>
  <c r="R432" i="1" s="1"/>
  <c r="R433" i="1" a="1"/>
  <c r="R433" i="1" s="1"/>
  <c r="R434" i="1" a="1"/>
  <c r="R434" i="1" s="1"/>
  <c r="R435" i="1" a="1"/>
  <c r="R435" i="1" s="1"/>
  <c r="R436" i="1" a="1"/>
  <c r="R436" i="1" s="1"/>
  <c r="R437" i="1" a="1"/>
  <c r="R437" i="1" s="1"/>
  <c r="R438" i="1" a="1"/>
  <c r="R438" i="1" s="1"/>
  <c r="R439" i="1" a="1"/>
  <c r="R439" i="1" s="1"/>
  <c r="R440" i="1" a="1"/>
  <c r="R440" i="1" s="1"/>
  <c r="R441" i="1" a="1"/>
  <c r="R441" i="1" s="1"/>
  <c r="R442" i="1" a="1"/>
  <c r="R442" i="1" s="1"/>
  <c r="R443" i="1" a="1"/>
  <c r="R443" i="1" s="1"/>
  <c r="R444" i="1" a="1"/>
  <c r="R444" i="1" s="1"/>
  <c r="R445" i="1" a="1"/>
  <c r="R445" i="1" s="1"/>
  <c r="R446" i="1" a="1"/>
  <c r="R446" i="1" s="1"/>
  <c r="R447" i="1" a="1"/>
  <c r="R447" i="1" s="1"/>
  <c r="R448" i="1" a="1"/>
  <c r="R448" i="1" s="1"/>
  <c r="R449" i="1" a="1"/>
  <c r="R449" i="1" s="1"/>
  <c r="R450" i="1" a="1"/>
  <c r="R450" i="1" s="1"/>
  <c r="R451" i="1" a="1"/>
  <c r="R451" i="1" s="1"/>
  <c r="R452" i="1" a="1"/>
  <c r="R452" i="1" s="1"/>
  <c r="R453" i="1" a="1"/>
  <c r="R453" i="1" s="1"/>
  <c r="R454" i="1" a="1"/>
  <c r="R454" i="1" s="1"/>
  <c r="R455" i="1" a="1"/>
  <c r="R455" i="1" s="1"/>
  <c r="R456" i="1" a="1"/>
  <c r="R456" i="1" s="1"/>
  <c r="R457" i="1" a="1"/>
  <c r="R457" i="1" s="1"/>
  <c r="R458" i="1" a="1"/>
  <c r="R458" i="1"/>
  <c r="R459" i="1" a="1"/>
  <c r="R459" i="1" s="1"/>
  <c r="R460" i="1" a="1"/>
  <c r="R460" i="1" s="1"/>
  <c r="R461" i="1" a="1"/>
  <c r="R461" i="1" s="1"/>
  <c r="R462" i="1" a="1"/>
  <c r="R462" i="1" s="1"/>
  <c r="R463" i="1" a="1"/>
  <c r="R463" i="1" s="1"/>
  <c r="R464" i="1" a="1"/>
  <c r="R464" i="1" s="1"/>
  <c r="R465" i="1" a="1"/>
  <c r="R465" i="1" s="1"/>
  <c r="R466" i="1" a="1"/>
  <c r="R466" i="1" s="1"/>
  <c r="R467" i="1" a="1"/>
  <c r="R467" i="1" s="1"/>
  <c r="R468" i="1" a="1"/>
  <c r="R468" i="1" s="1"/>
  <c r="R469" i="1" a="1"/>
  <c r="R469" i="1" s="1"/>
  <c r="R470" i="1" a="1"/>
  <c r="R470" i="1" s="1"/>
  <c r="R471" i="1" a="1"/>
  <c r="R471" i="1" s="1"/>
  <c r="R472" i="1" a="1"/>
  <c r="R472" i="1" s="1"/>
  <c r="R473" i="1" a="1"/>
  <c r="R473" i="1" s="1"/>
  <c r="R474" i="1" a="1"/>
  <c r="R474" i="1" s="1"/>
  <c r="R475" i="1" a="1"/>
  <c r="R475" i="1" s="1"/>
  <c r="R476" i="1" a="1"/>
  <c r="R476" i="1" s="1"/>
  <c r="R477" i="1" a="1"/>
  <c r="R477" i="1" s="1"/>
  <c r="R478" i="1" a="1"/>
  <c r="R478" i="1" s="1"/>
  <c r="R479" i="1" a="1"/>
  <c r="R479" i="1" s="1"/>
  <c r="R480" i="1" a="1"/>
  <c r="R480" i="1" s="1"/>
  <c r="R481" i="1" a="1"/>
  <c r="R481" i="1" s="1"/>
  <c r="R482" i="1" a="1"/>
  <c r="R482" i="1" s="1"/>
  <c r="R483" i="1" a="1"/>
  <c r="R483" i="1" s="1"/>
  <c r="R484" i="1" a="1"/>
  <c r="R484" i="1" s="1"/>
  <c r="R485" i="1" a="1"/>
  <c r="R485" i="1" s="1"/>
  <c r="R486" i="1" a="1"/>
  <c r="R486" i="1" s="1"/>
  <c r="R487" i="1" a="1"/>
  <c r="R487" i="1" s="1"/>
  <c r="R488" i="1" a="1"/>
  <c r="R488" i="1" s="1"/>
  <c r="R489" i="1" a="1"/>
  <c r="R489" i="1" s="1"/>
  <c r="R490" i="1" a="1"/>
  <c r="R490" i="1"/>
  <c r="R491" i="1" a="1"/>
  <c r="R491" i="1" s="1"/>
  <c r="R492" i="1" a="1"/>
  <c r="R492" i="1" s="1"/>
  <c r="R493" i="1" a="1"/>
  <c r="R493" i="1" s="1"/>
  <c r="R494" i="1" a="1"/>
  <c r="R494" i="1" s="1"/>
  <c r="R495" i="1" a="1"/>
  <c r="R495" i="1" s="1"/>
  <c r="R496" i="1" a="1"/>
  <c r="R496" i="1" s="1"/>
  <c r="R497" i="1" a="1"/>
  <c r="R497" i="1" s="1"/>
  <c r="R498" i="1" a="1"/>
  <c r="R498" i="1" s="1"/>
  <c r="R499" i="1" a="1"/>
  <c r="R499" i="1" s="1"/>
  <c r="R500" i="1" a="1"/>
  <c r="R500" i="1" s="1"/>
  <c r="R501" i="1" a="1"/>
  <c r="R501" i="1" s="1"/>
  <c r="R502" i="1" a="1"/>
  <c r="R502" i="1" s="1"/>
  <c r="R503" i="1" a="1"/>
  <c r="R503" i="1" s="1"/>
  <c r="R504" i="1" a="1"/>
  <c r="R504" i="1" s="1"/>
  <c r="R505" i="1" a="1"/>
  <c r="R505" i="1" s="1"/>
  <c r="R506" i="1" a="1"/>
  <c r="R506" i="1" s="1"/>
  <c r="R507" i="1" a="1"/>
  <c r="R507" i="1" s="1"/>
  <c r="R508" i="1" a="1"/>
  <c r="R508" i="1" s="1"/>
  <c r="R509" i="1" a="1"/>
  <c r="R509" i="1" s="1"/>
  <c r="R510" i="1" a="1"/>
  <c r="R510" i="1" s="1"/>
  <c r="R511" i="1" a="1"/>
  <c r="R511" i="1" s="1"/>
  <c r="R512" i="1" a="1"/>
  <c r="R512" i="1" s="1"/>
  <c r="R513" i="1" a="1"/>
  <c r="R513" i="1" s="1"/>
  <c r="R514" i="1" a="1"/>
  <c r="R514" i="1" s="1"/>
  <c r="R515" i="1" a="1"/>
  <c r="R515" i="1" s="1"/>
  <c r="R516" i="1" a="1"/>
  <c r="R516" i="1" s="1"/>
  <c r="R517" i="1" a="1"/>
  <c r="R517" i="1" s="1"/>
  <c r="R518" i="1" a="1"/>
  <c r="R518" i="1" s="1"/>
  <c r="R519" i="1" a="1"/>
  <c r="R519" i="1" s="1"/>
  <c r="R520" i="1" a="1"/>
  <c r="R520" i="1" s="1"/>
  <c r="R521" i="1" a="1"/>
  <c r="R521" i="1" s="1"/>
  <c r="R522" i="1" a="1"/>
  <c r="R522" i="1"/>
  <c r="R523" i="1" a="1"/>
  <c r="R523" i="1" s="1"/>
  <c r="R524" i="1" a="1"/>
  <c r="R524" i="1" s="1"/>
  <c r="R525" i="1" a="1"/>
  <c r="R525" i="1" s="1"/>
  <c r="R526" i="1" a="1"/>
  <c r="R526" i="1" s="1"/>
  <c r="R527" i="1" a="1"/>
  <c r="R527" i="1" s="1"/>
  <c r="R528" i="1" a="1"/>
  <c r="R528" i="1" s="1"/>
  <c r="R529" i="1" a="1"/>
  <c r="R529" i="1" s="1"/>
  <c r="R530" i="1" a="1"/>
  <c r="R530" i="1" s="1"/>
  <c r="R531" i="1" a="1"/>
  <c r="R531" i="1" s="1"/>
  <c r="R532" i="1" a="1"/>
  <c r="R532" i="1" s="1"/>
  <c r="R533" i="1" a="1"/>
  <c r="R533" i="1" s="1"/>
  <c r="R534" i="1" a="1"/>
  <c r="R534" i="1" s="1"/>
  <c r="R535" i="1" a="1"/>
  <c r="R535" i="1" s="1"/>
  <c r="R536" i="1" a="1"/>
  <c r="R536" i="1" s="1"/>
  <c r="R537" i="1" a="1"/>
  <c r="R537" i="1" s="1"/>
  <c r="R538" i="1" a="1"/>
  <c r="R538" i="1" s="1"/>
  <c r="R539" i="1" a="1"/>
  <c r="R539" i="1" s="1"/>
  <c r="R540" i="1" a="1"/>
  <c r="R540" i="1" s="1"/>
  <c r="R541" i="1" a="1"/>
  <c r="R541" i="1" s="1"/>
  <c r="R542" i="1" a="1"/>
  <c r="R542" i="1" s="1"/>
  <c r="R543" i="1" a="1"/>
  <c r="R543" i="1" s="1"/>
  <c r="R544" i="1" a="1"/>
  <c r="R544" i="1" s="1"/>
  <c r="R545" i="1" a="1"/>
  <c r="R545" i="1" s="1"/>
  <c r="R546" i="1" a="1"/>
  <c r="R546" i="1" s="1"/>
  <c r="R547" i="1" a="1"/>
  <c r="R547" i="1" s="1"/>
  <c r="R548" i="1" a="1"/>
  <c r="R548" i="1" s="1"/>
  <c r="R549" i="1" a="1"/>
  <c r="R549" i="1" s="1"/>
  <c r="R550" i="1" a="1"/>
  <c r="R550" i="1" s="1"/>
  <c r="R551" i="1" a="1"/>
  <c r="R551" i="1" s="1"/>
  <c r="R552" i="1" a="1"/>
  <c r="R552" i="1" s="1"/>
  <c r="R553" i="1" a="1"/>
  <c r="R553" i="1" s="1"/>
  <c r="R554" i="1" a="1"/>
  <c r="R554" i="1"/>
  <c r="R555" i="1" a="1"/>
  <c r="R555" i="1" s="1"/>
  <c r="R556" i="1" a="1"/>
  <c r="R556" i="1" s="1"/>
  <c r="R557" i="1" a="1"/>
  <c r="R557" i="1" s="1"/>
  <c r="R558" i="1" a="1"/>
  <c r="R558" i="1" s="1"/>
  <c r="R559" i="1" a="1"/>
  <c r="R559" i="1" s="1"/>
  <c r="R560" i="1" a="1"/>
  <c r="R560" i="1" s="1"/>
  <c r="R561" i="1" a="1"/>
  <c r="R561" i="1" s="1"/>
  <c r="R562" i="1" a="1"/>
  <c r="R562" i="1" s="1"/>
  <c r="R563" i="1" a="1"/>
  <c r="R563" i="1" s="1"/>
  <c r="R564" i="1" a="1"/>
  <c r="R564" i="1" s="1"/>
  <c r="R565" i="1" a="1"/>
  <c r="R565" i="1" s="1"/>
  <c r="R566" i="1" a="1"/>
  <c r="R566" i="1" s="1"/>
  <c r="R567" i="1" a="1"/>
  <c r="R567" i="1" s="1"/>
  <c r="R568" i="1" a="1"/>
  <c r="R568" i="1" s="1"/>
  <c r="R569" i="1" a="1"/>
  <c r="R569" i="1" s="1"/>
  <c r="R570" i="1" a="1"/>
  <c r="R570" i="1" s="1"/>
  <c r="R571" i="1" a="1"/>
  <c r="R571" i="1" s="1"/>
  <c r="R572" i="1" a="1"/>
  <c r="R572" i="1" s="1"/>
  <c r="R573" i="1" a="1"/>
  <c r="R573" i="1" s="1"/>
  <c r="R574" i="1" a="1"/>
  <c r="R574" i="1" s="1"/>
  <c r="R575" i="1" a="1"/>
  <c r="R575" i="1" s="1"/>
  <c r="R576" i="1" a="1"/>
  <c r="R576" i="1" s="1"/>
  <c r="R577" i="1" a="1"/>
  <c r="R577" i="1" s="1"/>
  <c r="R578" i="1" a="1"/>
  <c r="R578" i="1" s="1"/>
  <c r="R579" i="1" a="1"/>
  <c r="R579" i="1" s="1"/>
  <c r="R580" i="1" a="1"/>
  <c r="R580" i="1" s="1"/>
  <c r="R581" i="1" a="1"/>
  <c r="R581" i="1" s="1"/>
  <c r="R582" i="1" a="1"/>
  <c r="R582" i="1" s="1"/>
  <c r="R583" i="1" a="1"/>
  <c r="R583" i="1" s="1"/>
  <c r="R584" i="1" a="1"/>
  <c r="R584" i="1" s="1"/>
  <c r="R585" i="1" a="1"/>
  <c r="R585" i="1" s="1"/>
  <c r="R586" i="1" a="1"/>
  <c r="R586" i="1"/>
  <c r="R587" i="1" a="1"/>
  <c r="R587" i="1" s="1"/>
  <c r="R588" i="1" a="1"/>
  <c r="R588" i="1" s="1"/>
  <c r="R589" i="1" a="1"/>
  <c r="R589" i="1" s="1"/>
  <c r="R590" i="1" a="1"/>
  <c r="R590" i="1" s="1"/>
  <c r="R591" i="1" a="1"/>
  <c r="R591" i="1" s="1"/>
  <c r="R592" i="1" a="1"/>
  <c r="R592" i="1" s="1"/>
  <c r="R593" i="1" a="1"/>
  <c r="R593" i="1" s="1"/>
  <c r="R594" i="1" a="1"/>
  <c r="R594" i="1" s="1"/>
  <c r="R595" i="1" a="1"/>
  <c r="R595" i="1" s="1"/>
  <c r="R596" i="1" a="1"/>
  <c r="R596" i="1" s="1"/>
  <c r="R597" i="1" a="1"/>
  <c r="R597" i="1" s="1"/>
  <c r="R598" i="1" a="1"/>
  <c r="R598" i="1" s="1"/>
  <c r="R599" i="1" a="1"/>
  <c r="R599" i="1" s="1"/>
  <c r="R600" i="1" a="1"/>
  <c r="R600" i="1" s="1"/>
  <c r="R601" i="1" a="1"/>
  <c r="R601" i="1" s="1"/>
  <c r="R602" i="1" a="1"/>
  <c r="R602" i="1" s="1"/>
  <c r="R603" i="1" a="1"/>
  <c r="R603" i="1" s="1"/>
  <c r="R604" i="1" a="1"/>
  <c r="R604" i="1" s="1"/>
  <c r="R605" i="1" a="1"/>
  <c r="R605" i="1" s="1"/>
  <c r="R606" i="1" a="1"/>
  <c r="R606" i="1" s="1"/>
  <c r="R607" i="1" a="1"/>
  <c r="R607" i="1" s="1"/>
  <c r="R608" i="1" a="1"/>
  <c r="R608" i="1" s="1"/>
  <c r="R609" i="1" a="1"/>
  <c r="R609" i="1" s="1"/>
  <c r="R610" i="1" a="1"/>
  <c r="R610" i="1" s="1"/>
  <c r="R611" i="1" a="1"/>
  <c r="R611" i="1" s="1"/>
  <c r="R612" i="1" a="1"/>
  <c r="R612" i="1" s="1"/>
  <c r="R613" i="1" a="1"/>
  <c r="R613" i="1" s="1"/>
  <c r="R614" i="1" a="1"/>
  <c r="R614" i="1" s="1"/>
  <c r="R615" i="1" a="1"/>
  <c r="R615" i="1" s="1"/>
  <c r="R616" i="1" a="1"/>
  <c r="R616" i="1" s="1"/>
  <c r="R617" i="1" a="1"/>
  <c r="R617" i="1" s="1"/>
  <c r="R618" i="1" a="1"/>
  <c r="R618" i="1"/>
  <c r="R619" i="1" a="1"/>
  <c r="R619" i="1" s="1"/>
  <c r="R620" i="1" a="1"/>
  <c r="R620" i="1" s="1"/>
  <c r="R621" i="1" a="1"/>
  <c r="R621" i="1" s="1"/>
  <c r="R622" i="1" a="1"/>
  <c r="R622" i="1" s="1"/>
  <c r="R623" i="1" a="1"/>
  <c r="R623" i="1" s="1"/>
  <c r="R624" i="1" a="1"/>
  <c r="R624" i="1" s="1"/>
  <c r="R625" i="1" a="1"/>
  <c r="R625" i="1" s="1"/>
  <c r="R626" i="1" a="1"/>
  <c r="R626" i="1" s="1"/>
  <c r="R627" i="1" a="1"/>
  <c r="R627" i="1" s="1"/>
  <c r="R628" i="1" a="1"/>
  <c r="R628" i="1" s="1"/>
  <c r="R629" i="1" a="1"/>
  <c r="R629" i="1" s="1"/>
  <c r="R630" i="1" a="1"/>
  <c r="R630" i="1" s="1"/>
  <c r="R631" i="1" a="1"/>
  <c r="R631" i="1" s="1"/>
  <c r="R632" i="1" a="1"/>
  <c r="R632" i="1" s="1"/>
  <c r="R633" i="1" a="1"/>
  <c r="R633" i="1" s="1"/>
  <c r="R634" i="1" a="1"/>
  <c r="R634" i="1" s="1"/>
  <c r="R635" i="1" a="1"/>
  <c r="R635" i="1" s="1"/>
  <c r="R636" i="1" a="1"/>
  <c r="R636" i="1" s="1"/>
  <c r="R637" i="1" a="1"/>
  <c r="R637" i="1" s="1"/>
  <c r="R638" i="1" a="1"/>
  <c r="R638" i="1" s="1"/>
  <c r="R639" i="1" a="1"/>
  <c r="R639" i="1" s="1"/>
  <c r="R640" i="1" a="1"/>
  <c r="R640" i="1" s="1"/>
  <c r="R641" i="1" a="1"/>
  <c r="R641" i="1" s="1"/>
  <c r="R642" i="1" a="1"/>
  <c r="R642" i="1" s="1"/>
  <c r="R643" i="1" a="1"/>
  <c r="R643" i="1" s="1"/>
  <c r="R644" i="1" a="1"/>
  <c r="R644" i="1" s="1"/>
  <c r="R645" i="1" a="1"/>
  <c r="R645" i="1" s="1"/>
  <c r="R646" i="1" a="1"/>
  <c r="R646" i="1" s="1"/>
  <c r="R647" i="1" a="1"/>
  <c r="R647" i="1" s="1"/>
  <c r="R648" i="1" a="1"/>
  <c r="R648" i="1" s="1"/>
  <c r="R649" i="1" a="1"/>
  <c r="R649" i="1" s="1"/>
  <c r="R650" i="1" a="1"/>
  <c r="R650" i="1" s="1"/>
  <c r="R651" i="1" a="1"/>
  <c r="R651" i="1" s="1"/>
  <c r="R652" i="1" a="1"/>
  <c r="R652" i="1" s="1"/>
  <c r="R653" i="1" a="1"/>
  <c r="R653" i="1" s="1"/>
  <c r="R654" i="1" a="1"/>
  <c r="R654" i="1" s="1"/>
  <c r="R655" i="1" a="1"/>
  <c r="R655" i="1" s="1"/>
  <c r="R656" i="1" a="1"/>
  <c r="R656" i="1" s="1"/>
  <c r="R657" i="1" a="1"/>
  <c r="R657" i="1" s="1"/>
  <c r="R658" i="1" a="1"/>
  <c r="R658" i="1" s="1"/>
  <c r="R659" i="1" a="1"/>
  <c r="R659" i="1" s="1"/>
  <c r="R660" i="1" a="1"/>
  <c r="R660" i="1" s="1"/>
  <c r="R661" i="1" a="1"/>
  <c r="R661" i="1" s="1"/>
  <c r="R662" i="1" a="1"/>
  <c r="R662" i="1" s="1"/>
  <c r="R663" i="1" a="1"/>
  <c r="R663" i="1"/>
  <c r="R664" i="1" a="1"/>
  <c r="R664" i="1" s="1"/>
  <c r="R665" i="1" a="1"/>
  <c r="R665" i="1" s="1"/>
  <c r="R666" i="1" a="1"/>
  <c r="R666" i="1" s="1"/>
  <c r="R667" i="1" a="1"/>
  <c r="R667" i="1" s="1"/>
  <c r="R668" i="1" a="1"/>
  <c r="R668" i="1" s="1"/>
  <c r="R669" i="1" a="1"/>
  <c r="R669" i="1" s="1"/>
  <c r="R670" i="1" a="1"/>
  <c r="R670" i="1" s="1"/>
  <c r="R671" i="1" a="1"/>
  <c r="R671" i="1" s="1"/>
  <c r="R672" i="1" a="1"/>
  <c r="R672" i="1" s="1"/>
  <c r="R673" i="1" a="1"/>
  <c r="R673" i="1" s="1"/>
  <c r="R674" i="1" a="1"/>
  <c r="R674" i="1" s="1"/>
  <c r="R675" i="1" a="1"/>
  <c r="R675" i="1" s="1"/>
  <c r="R676" i="1" a="1"/>
  <c r="R676" i="1" s="1"/>
  <c r="R677" i="1" a="1"/>
  <c r="R677" i="1" s="1"/>
  <c r="R678" i="1" a="1"/>
  <c r="R678" i="1" s="1"/>
  <c r="R679" i="1" a="1"/>
  <c r="R679" i="1"/>
  <c r="R680" i="1" a="1"/>
  <c r="R680" i="1" s="1"/>
  <c r="R681" i="1" a="1"/>
  <c r="R681" i="1" s="1"/>
  <c r="R682" i="1" a="1"/>
  <c r="R682" i="1" s="1"/>
  <c r="R683" i="1" a="1"/>
  <c r="R683" i="1" s="1"/>
  <c r="R684" i="1" a="1"/>
  <c r="R684" i="1" s="1"/>
  <c r="R685" i="1" a="1"/>
  <c r="R685" i="1" s="1"/>
  <c r="R686" i="1" a="1"/>
  <c r="R686" i="1" s="1"/>
  <c r="R687" i="1" a="1"/>
  <c r="R687" i="1" s="1"/>
  <c r="R688" i="1" a="1"/>
  <c r="R688" i="1" s="1"/>
  <c r="R689" i="1" a="1"/>
  <c r="R689" i="1" s="1"/>
  <c r="R690" i="1" a="1"/>
  <c r="R690" i="1" s="1"/>
  <c r="R691" i="1" a="1"/>
  <c r="R691" i="1" s="1"/>
  <c r="R692" i="1" a="1"/>
  <c r="R692" i="1" s="1"/>
  <c r="R693" i="1" a="1"/>
  <c r="R693" i="1" s="1"/>
  <c r="R694" i="1" a="1"/>
  <c r="R694" i="1" s="1"/>
  <c r="R695" i="1" a="1"/>
  <c r="R695" i="1"/>
  <c r="R696" i="1" a="1"/>
  <c r="R696" i="1" s="1"/>
  <c r="R697" i="1" a="1"/>
  <c r="R697" i="1" s="1"/>
  <c r="R698" i="1" a="1"/>
  <c r="R698" i="1" s="1"/>
  <c r="R699" i="1" a="1"/>
  <c r="R699" i="1" s="1"/>
  <c r="R700" i="1" a="1"/>
  <c r="R700" i="1" s="1"/>
  <c r="R701" i="1" a="1"/>
  <c r="R701" i="1" s="1"/>
  <c r="R702" i="1" a="1"/>
  <c r="R702" i="1" s="1"/>
  <c r="R703" i="1" a="1"/>
  <c r="R703" i="1" s="1"/>
  <c r="R704" i="1" a="1"/>
  <c r="R704" i="1" s="1"/>
  <c r="R705" i="1" a="1"/>
  <c r="R705" i="1" s="1"/>
  <c r="R706" i="1" a="1"/>
  <c r="R706" i="1" s="1"/>
  <c r="R707" i="1" a="1"/>
  <c r="R707" i="1" s="1"/>
  <c r="R708" i="1" a="1"/>
  <c r="R708" i="1" s="1"/>
  <c r="R709" i="1" a="1"/>
  <c r="R709" i="1" s="1"/>
  <c r="R710" i="1" a="1"/>
  <c r="R710" i="1" s="1"/>
  <c r="R711" i="1" a="1"/>
  <c r="R711" i="1"/>
  <c r="R712" i="1" a="1"/>
  <c r="R712" i="1" s="1"/>
  <c r="R713" i="1" a="1"/>
  <c r="R713" i="1" s="1"/>
  <c r="R714" i="1" a="1"/>
  <c r="R714" i="1" s="1"/>
  <c r="R715" i="1" a="1"/>
  <c r="R715" i="1" s="1"/>
  <c r="R716" i="1" a="1"/>
  <c r="R716" i="1" s="1"/>
  <c r="R717" i="1" a="1"/>
  <c r="R717" i="1" s="1"/>
  <c r="R718" i="1" a="1"/>
  <c r="R718" i="1" s="1"/>
  <c r="R719" i="1" a="1"/>
  <c r="R719" i="1" s="1"/>
  <c r="R720" i="1" a="1"/>
  <c r="R720" i="1" s="1"/>
  <c r="R721" i="1" a="1"/>
  <c r="R721" i="1" s="1"/>
  <c r="R722" i="1" a="1"/>
  <c r="R722" i="1" s="1"/>
  <c r="R723" i="1" a="1"/>
  <c r="R723" i="1" s="1"/>
  <c r="R724" i="1" a="1"/>
  <c r="R724" i="1" s="1"/>
  <c r="R725" i="1" a="1"/>
  <c r="R725" i="1" s="1"/>
  <c r="R726" i="1" a="1"/>
  <c r="R726" i="1" s="1"/>
  <c r="R727" i="1" a="1"/>
  <c r="R727" i="1" s="1"/>
  <c r="R728" i="1" a="1"/>
  <c r="R728" i="1" s="1"/>
  <c r="R729" i="1" a="1"/>
  <c r="R729" i="1" s="1"/>
  <c r="R730" i="1" a="1"/>
  <c r="R730" i="1" s="1"/>
  <c r="R731" i="1" a="1"/>
  <c r="R731" i="1" s="1"/>
  <c r="R732" i="1" a="1"/>
  <c r="R732" i="1" s="1"/>
  <c r="R733" i="1" a="1"/>
  <c r="R733" i="1" s="1"/>
  <c r="R734" i="1" a="1"/>
  <c r="R734" i="1" s="1"/>
  <c r="R735" i="1" a="1"/>
  <c r="R735" i="1" s="1"/>
  <c r="R736" i="1" a="1"/>
  <c r="R736" i="1" s="1"/>
  <c r="R737" i="1" a="1"/>
  <c r="R737" i="1" s="1"/>
  <c r="R738" i="1" a="1"/>
  <c r="R738" i="1" s="1"/>
  <c r="R739" i="1" a="1"/>
  <c r="R739" i="1" s="1"/>
  <c r="R740" i="1" a="1"/>
  <c r="R740" i="1" s="1"/>
  <c r="R741" i="1" a="1"/>
  <c r="R741" i="1" s="1"/>
  <c r="R742" i="1" a="1"/>
  <c r="R742" i="1" s="1"/>
  <c r="R743" i="1" a="1"/>
  <c r="R743" i="1" s="1"/>
  <c r="R744" i="1" a="1"/>
  <c r="R744" i="1" s="1"/>
  <c r="R745" i="1" a="1"/>
  <c r="R745" i="1" s="1"/>
  <c r="R746" i="1" a="1"/>
  <c r="R746" i="1" s="1"/>
  <c r="R747" i="1" a="1"/>
  <c r="R747" i="1" s="1"/>
  <c r="R748" i="1" a="1"/>
  <c r="R748" i="1" s="1"/>
  <c r="R749" i="1" a="1"/>
  <c r="R749" i="1" s="1"/>
  <c r="R750" i="1" a="1"/>
  <c r="R750" i="1" s="1"/>
  <c r="R751" i="1" a="1"/>
  <c r="R751" i="1" s="1"/>
  <c r="R752" i="1" a="1"/>
  <c r="R752" i="1" s="1"/>
  <c r="R753" i="1" a="1"/>
  <c r="R753" i="1" s="1"/>
  <c r="R754" i="1" a="1"/>
  <c r="R754" i="1" s="1"/>
  <c r="R755" i="1" a="1"/>
  <c r="R755" i="1" s="1"/>
  <c r="R756" i="1" a="1"/>
  <c r="R756" i="1" s="1"/>
  <c r="R757" i="1" a="1"/>
  <c r="R757" i="1" s="1"/>
  <c r="R758" i="1" a="1"/>
  <c r="R758" i="1" s="1"/>
  <c r="R759" i="1" a="1"/>
  <c r="R759" i="1" s="1"/>
  <c r="R760" i="1" a="1"/>
  <c r="R760" i="1" s="1"/>
  <c r="R761" i="1" a="1"/>
  <c r="R761" i="1" s="1"/>
  <c r="R762" i="1" a="1"/>
  <c r="R762" i="1" s="1"/>
  <c r="R763" i="1" a="1"/>
  <c r="R763" i="1" s="1"/>
  <c r="R764" i="1" a="1"/>
  <c r="R764" i="1" s="1"/>
  <c r="R765" i="1" a="1"/>
  <c r="R765" i="1" s="1"/>
  <c r="R766" i="1" a="1"/>
  <c r="R766" i="1" s="1"/>
  <c r="R767" i="1" a="1"/>
  <c r="R767" i="1" s="1"/>
  <c r="R768" i="1" a="1"/>
  <c r="R768" i="1" s="1"/>
  <c r="R769" i="1" a="1"/>
  <c r="R769" i="1" s="1"/>
  <c r="R770" i="1" a="1"/>
  <c r="R770" i="1" s="1"/>
  <c r="R771" i="1" a="1"/>
  <c r="R771" i="1" s="1"/>
  <c r="R772" i="1" a="1"/>
  <c r="R772" i="1" s="1"/>
  <c r="R773" i="1" a="1"/>
  <c r="R773" i="1" s="1"/>
  <c r="R774" i="1" a="1"/>
  <c r="R774" i="1" s="1"/>
  <c r="R775" i="1" a="1"/>
  <c r="R775" i="1" s="1"/>
  <c r="R776" i="1" a="1"/>
  <c r="R776" i="1" s="1"/>
  <c r="R777" i="1" a="1"/>
  <c r="R777" i="1" s="1"/>
  <c r="R778" i="1" a="1"/>
  <c r="R778" i="1" s="1"/>
  <c r="R779" i="1" a="1"/>
  <c r="R779" i="1" s="1"/>
  <c r="R780" i="1" a="1"/>
  <c r="R780" i="1" s="1"/>
  <c r="R781" i="1" a="1"/>
  <c r="R781" i="1" s="1"/>
  <c r="R782" i="1" a="1"/>
  <c r="R782" i="1" s="1"/>
  <c r="R783" i="1" a="1"/>
  <c r="R783" i="1" s="1"/>
  <c r="R784" i="1" a="1"/>
  <c r="R784" i="1" s="1"/>
  <c r="R785" i="1" a="1"/>
  <c r="R785" i="1" s="1"/>
  <c r="R786" i="1" a="1"/>
  <c r="R786" i="1" s="1"/>
  <c r="R787" i="1" a="1"/>
  <c r="R787" i="1" s="1"/>
  <c r="R788" i="1" a="1"/>
  <c r="R788" i="1" s="1"/>
  <c r="R789" i="1" a="1"/>
  <c r="R789" i="1" s="1"/>
  <c r="R790" i="1" a="1"/>
  <c r="R790" i="1" s="1"/>
  <c r="R791" i="1" a="1"/>
  <c r="R791" i="1" s="1"/>
  <c r="R792" i="1" a="1"/>
  <c r="R792" i="1" s="1"/>
  <c r="R793" i="1" a="1"/>
  <c r="R793" i="1" s="1"/>
  <c r="R794" i="1" a="1"/>
  <c r="R794" i="1" s="1"/>
  <c r="R795" i="1" a="1"/>
  <c r="R795" i="1" s="1"/>
  <c r="R796" i="1" a="1"/>
  <c r="R796" i="1" s="1"/>
  <c r="R797" i="1" a="1"/>
  <c r="R797" i="1" s="1"/>
  <c r="R798" i="1" a="1"/>
  <c r="R798" i="1" s="1"/>
  <c r="R799" i="1" a="1"/>
  <c r="R799" i="1" s="1"/>
  <c r="R800" i="1" a="1"/>
  <c r="R800" i="1" s="1"/>
  <c r="R801" i="1" a="1"/>
  <c r="R801" i="1" s="1"/>
  <c r="R802" i="1" a="1"/>
  <c r="R802" i="1" s="1"/>
  <c r="R803" i="1" a="1"/>
  <c r="R803" i="1" s="1"/>
  <c r="R804" i="1" a="1"/>
  <c r="R804" i="1" s="1"/>
  <c r="R805" i="1" a="1"/>
  <c r="R805" i="1" s="1"/>
  <c r="R806" i="1" a="1"/>
  <c r="R806" i="1" s="1"/>
  <c r="R807" i="1" a="1"/>
  <c r="R807" i="1" s="1"/>
  <c r="R808" i="1" a="1"/>
  <c r="R808" i="1" s="1"/>
  <c r="R809" i="1" a="1"/>
  <c r="R809" i="1" s="1"/>
  <c r="R810" i="1" a="1"/>
  <c r="R810" i="1" s="1"/>
  <c r="R811" i="1" a="1"/>
  <c r="R811" i="1" s="1"/>
  <c r="R812" i="1" a="1"/>
  <c r="R812" i="1" s="1"/>
  <c r="R813" i="1" a="1"/>
  <c r="R813" i="1" s="1"/>
  <c r="R814" i="1" a="1"/>
  <c r="R814" i="1" s="1"/>
  <c r="R815" i="1" a="1"/>
  <c r="R815" i="1" s="1"/>
  <c r="R816" i="1" a="1"/>
  <c r="R816" i="1" s="1"/>
  <c r="R817" i="1" a="1"/>
  <c r="R817" i="1" s="1"/>
  <c r="R818" i="1" a="1"/>
  <c r="R818" i="1" s="1"/>
  <c r="R819" i="1" a="1"/>
  <c r="R819" i="1" s="1"/>
  <c r="R820" i="1" a="1"/>
  <c r="R820" i="1" s="1"/>
  <c r="R821" i="1" a="1"/>
  <c r="R821" i="1" s="1"/>
  <c r="R822" i="1" a="1"/>
  <c r="R822" i="1" s="1"/>
  <c r="R823" i="1" a="1"/>
  <c r="R823" i="1" s="1"/>
  <c r="R824" i="1" a="1"/>
  <c r="R824" i="1" s="1"/>
  <c r="R825" i="1" a="1"/>
  <c r="R825" i="1" s="1"/>
  <c r="R826" i="1" a="1"/>
  <c r="R826" i="1" s="1"/>
  <c r="R827" i="1" a="1"/>
  <c r="R827" i="1" s="1"/>
  <c r="R828" i="1" a="1"/>
  <c r="R828" i="1" s="1"/>
  <c r="R829" i="1" a="1"/>
  <c r="R829" i="1" s="1"/>
  <c r="R830" i="1" a="1"/>
  <c r="R830" i="1" s="1"/>
  <c r="R831" i="1" a="1"/>
  <c r="R831" i="1" s="1"/>
  <c r="R832" i="1" a="1"/>
  <c r="R832" i="1" s="1"/>
  <c r="R833" i="1" a="1"/>
  <c r="R833" i="1" s="1"/>
  <c r="R834" i="1" a="1"/>
  <c r="R834" i="1" s="1"/>
  <c r="R835" i="1" a="1"/>
  <c r="R835" i="1" s="1"/>
  <c r="R836" i="1" a="1"/>
  <c r="R836" i="1" s="1"/>
  <c r="R837" i="1" a="1"/>
  <c r="R837" i="1" s="1"/>
  <c r="R838" i="1" a="1"/>
  <c r="R838" i="1" s="1"/>
  <c r="R839" i="1" a="1"/>
  <c r="R839" i="1" s="1"/>
  <c r="R840" i="1" a="1"/>
  <c r="R840" i="1" s="1"/>
  <c r="R841" i="1" a="1"/>
  <c r="R841" i="1" s="1"/>
  <c r="R842" i="1" a="1"/>
  <c r="R842" i="1" s="1"/>
  <c r="R843" i="1" a="1"/>
  <c r="R843" i="1" s="1"/>
  <c r="R844" i="1" a="1"/>
  <c r="R844" i="1" s="1"/>
  <c r="R845" i="1" a="1"/>
  <c r="R845" i="1" s="1"/>
  <c r="R846" i="1" a="1"/>
  <c r="R846" i="1" s="1"/>
  <c r="R847" i="1" a="1"/>
  <c r="R847" i="1" s="1"/>
  <c r="R848" i="1" a="1"/>
  <c r="R848" i="1" s="1"/>
  <c r="R849" i="1" a="1"/>
  <c r="R849" i="1" s="1"/>
  <c r="R850" i="1" a="1"/>
  <c r="R850" i="1" s="1"/>
  <c r="R851" i="1" a="1"/>
  <c r="R851" i="1" s="1"/>
  <c r="R852" i="1" a="1"/>
  <c r="R852" i="1" s="1"/>
  <c r="R853" i="1" a="1"/>
  <c r="R853" i="1" s="1"/>
  <c r="R854" i="1" a="1"/>
  <c r="R854" i="1" s="1"/>
  <c r="R855" i="1" a="1"/>
  <c r="R855" i="1" s="1"/>
  <c r="R856" i="1" a="1"/>
  <c r="R856" i="1" s="1"/>
  <c r="R857" i="1" a="1"/>
  <c r="R857" i="1" s="1"/>
  <c r="R858" i="1" a="1"/>
  <c r="R858" i="1" s="1"/>
  <c r="R859" i="1" a="1"/>
  <c r="R859" i="1" s="1"/>
  <c r="R860" i="1" a="1"/>
  <c r="R860" i="1" s="1"/>
  <c r="R861" i="1" a="1"/>
  <c r="R861" i="1" s="1"/>
  <c r="R862" i="1" a="1"/>
  <c r="R862" i="1" s="1"/>
  <c r="R863" i="1" a="1"/>
  <c r="R863" i="1" s="1"/>
  <c r="R864" i="1" a="1"/>
  <c r="R864" i="1" s="1"/>
  <c r="R865" i="1" a="1"/>
  <c r="R865" i="1" s="1"/>
  <c r="R866" i="1" a="1"/>
  <c r="R866" i="1" s="1"/>
  <c r="R867" i="1" a="1"/>
  <c r="R867" i="1" s="1"/>
  <c r="R868" i="1" a="1"/>
  <c r="R868" i="1" s="1"/>
  <c r="R869" i="1" a="1"/>
  <c r="R869" i="1" s="1"/>
  <c r="R870" i="1" a="1"/>
  <c r="R870" i="1" s="1"/>
  <c r="R871" i="1" a="1"/>
  <c r="R871" i="1" s="1"/>
  <c r="R872" i="1" a="1"/>
  <c r="R872" i="1" s="1"/>
  <c r="R873" i="1" a="1"/>
  <c r="R873" i="1" s="1"/>
  <c r="R874" i="1" a="1"/>
  <c r="R874" i="1" s="1"/>
  <c r="R875" i="1" a="1"/>
  <c r="R875" i="1" s="1"/>
  <c r="R876" i="1" a="1"/>
  <c r="R876" i="1" s="1"/>
  <c r="R877" i="1" a="1"/>
  <c r="R877" i="1" s="1"/>
  <c r="R878" i="1" a="1"/>
  <c r="R878" i="1" s="1"/>
  <c r="R879" i="1" a="1"/>
  <c r="R879" i="1" s="1"/>
  <c r="R880" i="1" a="1"/>
  <c r="R880" i="1" s="1"/>
  <c r="R881" i="1" a="1"/>
  <c r="R881" i="1" s="1"/>
  <c r="R882" i="1" a="1"/>
  <c r="R882" i="1" s="1"/>
  <c r="R883" i="1" a="1"/>
  <c r="R883" i="1" s="1"/>
  <c r="R884" i="1" a="1"/>
  <c r="R884" i="1" s="1"/>
  <c r="R885" i="1" a="1"/>
  <c r="R885" i="1"/>
  <c r="R886" i="1" a="1"/>
  <c r="R886" i="1" s="1"/>
  <c r="R887" i="1" a="1"/>
  <c r="R887" i="1" s="1"/>
  <c r="R888" i="1" a="1"/>
  <c r="R888" i="1" s="1"/>
  <c r="R889" i="1" a="1"/>
  <c r="R889" i="1" s="1"/>
  <c r="R890" i="1" a="1"/>
  <c r="R890" i="1" s="1"/>
  <c r="R891" i="1" a="1"/>
  <c r="R891" i="1" s="1"/>
  <c r="R892" i="1" a="1"/>
  <c r="R892" i="1" s="1"/>
  <c r="R893" i="1" a="1"/>
  <c r="R893" i="1" s="1"/>
  <c r="R894" i="1" a="1"/>
  <c r="R894" i="1" s="1"/>
  <c r="R895" i="1" a="1"/>
  <c r="R895" i="1" s="1"/>
  <c r="R896" i="1" a="1"/>
  <c r="R896" i="1" s="1"/>
  <c r="R897" i="1" a="1"/>
  <c r="R897" i="1"/>
  <c r="R898" i="1" a="1"/>
  <c r="R898" i="1" s="1"/>
  <c r="R899" i="1" a="1"/>
  <c r="R899" i="1" s="1"/>
  <c r="R900" i="1" a="1"/>
  <c r="R900" i="1" s="1"/>
  <c r="R901" i="1" a="1"/>
  <c r="R901" i="1" s="1"/>
  <c r="R902" i="1" a="1"/>
  <c r="R902" i="1" s="1"/>
  <c r="R903" i="1" a="1"/>
  <c r="R903" i="1" s="1"/>
  <c r="R904" i="1" a="1"/>
  <c r="R904" i="1" s="1"/>
  <c r="R905" i="1" a="1"/>
  <c r="R905" i="1" s="1"/>
  <c r="R906" i="1" a="1"/>
  <c r="R906" i="1" s="1"/>
  <c r="R907" i="1" a="1"/>
  <c r="R907" i="1" s="1"/>
  <c r="R908" i="1" a="1"/>
  <c r="R908" i="1" s="1"/>
  <c r="R909" i="1" a="1"/>
  <c r="R909" i="1" s="1"/>
  <c r="R910" i="1" a="1"/>
  <c r="R910" i="1" s="1"/>
  <c r="R911" i="1" a="1"/>
  <c r="R911" i="1" s="1"/>
  <c r="R912" i="1" a="1"/>
  <c r="R912" i="1" s="1"/>
  <c r="R913" i="1" a="1"/>
  <c r="R913" i="1" s="1"/>
  <c r="R914" i="1" a="1"/>
  <c r="R914" i="1" s="1"/>
  <c r="R915" i="1" a="1"/>
  <c r="R915" i="1" s="1"/>
  <c r="R916" i="1" a="1"/>
  <c r="R916" i="1" s="1"/>
  <c r="R917" i="1" a="1"/>
  <c r="R917" i="1" s="1"/>
  <c r="R918" i="1" a="1"/>
  <c r="R918" i="1" s="1"/>
  <c r="R919" i="1" a="1"/>
  <c r="R919" i="1" s="1"/>
  <c r="R920" i="1" a="1"/>
  <c r="R920" i="1" s="1"/>
  <c r="R921" i="1" a="1"/>
  <c r="R921" i="1" s="1"/>
  <c r="R922" i="1" a="1"/>
  <c r="R922" i="1" s="1"/>
  <c r="R923" i="1" a="1"/>
  <c r="R923" i="1" s="1"/>
  <c r="R924" i="1" a="1"/>
  <c r="R924" i="1" s="1"/>
  <c r="R925" i="1" a="1"/>
  <c r="R925" i="1" s="1"/>
  <c r="R926" i="1" a="1"/>
  <c r="R926" i="1" s="1"/>
  <c r="R927" i="1" a="1"/>
  <c r="R927" i="1" s="1"/>
  <c r="R928" i="1" a="1"/>
  <c r="R928" i="1" s="1"/>
  <c r="R929" i="1" a="1"/>
  <c r="R929" i="1"/>
  <c r="R930" i="1" a="1"/>
  <c r="R930" i="1" s="1"/>
  <c r="R931" i="1" a="1"/>
  <c r="R931" i="1" s="1"/>
  <c r="R932" i="1" a="1"/>
  <c r="R932" i="1" s="1"/>
  <c r="R933" i="1" a="1"/>
  <c r="R933" i="1" s="1"/>
  <c r="R934" i="1" a="1"/>
  <c r="R934" i="1" s="1"/>
  <c r="R935" i="1" a="1"/>
  <c r="R935" i="1" s="1"/>
  <c r="R936" i="1" a="1"/>
  <c r="R936" i="1" s="1"/>
  <c r="R937" i="1" a="1"/>
  <c r="R937" i="1" s="1"/>
  <c r="R938" i="1" a="1"/>
  <c r="R938" i="1" s="1"/>
  <c r="R939" i="1" a="1"/>
  <c r="R939" i="1" s="1"/>
  <c r="R940" i="1" a="1"/>
  <c r="R940" i="1" s="1"/>
  <c r="R941" i="1" a="1"/>
  <c r="R941" i="1" s="1"/>
  <c r="R942" i="1" a="1"/>
  <c r="R942" i="1" s="1"/>
  <c r="R943" i="1" a="1"/>
  <c r="R943" i="1" s="1"/>
  <c r="R944" i="1" a="1"/>
  <c r="R944" i="1" s="1"/>
  <c r="R945" i="1" a="1"/>
  <c r="R945" i="1" s="1"/>
  <c r="R946" i="1" a="1"/>
  <c r="R946" i="1" s="1"/>
  <c r="R947" i="1" a="1"/>
  <c r="R947" i="1" s="1"/>
  <c r="R948" i="1" a="1"/>
  <c r="R948" i="1" s="1"/>
  <c r="R949" i="1" a="1"/>
  <c r="R949" i="1"/>
  <c r="R950" i="1" a="1"/>
  <c r="R950" i="1" s="1"/>
  <c r="R951" i="1" a="1"/>
  <c r="R951" i="1" s="1"/>
  <c r="R952" i="1" a="1"/>
  <c r="R952" i="1" s="1"/>
  <c r="R953" i="1" a="1"/>
  <c r="R953" i="1" s="1"/>
  <c r="R954" i="1" a="1"/>
  <c r="R954" i="1" s="1"/>
  <c r="R2" i="1" a="1"/>
  <c r="R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<sst xmlns="http://schemas.openxmlformats.org/spreadsheetml/2006/main" count="3978" uniqueCount="1660">
  <si>
    <t>track_name</t>
  </si>
  <si>
    <t>artists_name</t>
  </si>
  <si>
    <t>num_artists</t>
  </si>
  <si>
    <t>release_date</t>
  </si>
  <si>
    <t>in_spotify_playlists</t>
  </si>
  <si>
    <t>in_spotify_charts</t>
  </si>
  <si>
    <t>in_apple_playlists</t>
  </si>
  <si>
    <t>in_apple_charts</t>
  </si>
  <si>
    <t>in_deezer_playlists</t>
  </si>
  <si>
    <t>in_deezer_charts</t>
  </si>
  <si>
    <t>in_shazam_charts</t>
  </si>
  <si>
    <t>streams</t>
  </si>
  <si>
    <t>bpm</t>
  </si>
  <si>
    <t>key</t>
  </si>
  <si>
    <t>mode</t>
  </si>
  <si>
    <t>danceability_%</t>
  </si>
  <si>
    <t>valence_%</t>
  </si>
  <si>
    <t>Mood</t>
  </si>
  <si>
    <t>energy_%</t>
  </si>
  <si>
    <t>Energy Level</t>
  </si>
  <si>
    <t>acousticness_%</t>
  </si>
  <si>
    <t>instrumentalness_%</t>
  </si>
  <si>
    <t>liveness_%</t>
  </si>
  <si>
    <t>speechiness_%</t>
  </si>
  <si>
    <t>Random</t>
  </si>
  <si>
    <t>Seven (feat. Latto) (Explicit Ver.)</t>
  </si>
  <si>
    <t>Latto, Jung Kook</t>
  </si>
  <si>
    <t>B</t>
  </si>
  <si>
    <t>Major</t>
  </si>
  <si>
    <t>LALA</t>
  </si>
  <si>
    <t>Myke Towers</t>
  </si>
  <si>
    <t>C#</t>
  </si>
  <si>
    <t>vampire</t>
  </si>
  <si>
    <t>Olivia Rodrigo</t>
  </si>
  <si>
    <t>F</t>
  </si>
  <si>
    <t>Cruel Summer</t>
  </si>
  <si>
    <t>Taylor Swift</t>
  </si>
  <si>
    <t>A</t>
  </si>
  <si>
    <t>Row Labels</t>
  </si>
  <si>
    <t>Liveness (%)</t>
  </si>
  <si>
    <t>Danceability (%)</t>
  </si>
  <si>
    <t>Acousticness (%)</t>
  </si>
  <si>
    <t>Sum of Random</t>
  </si>
  <si>
    <t>WHERE SHE GOES</t>
  </si>
  <si>
    <t>Bad Bunny</t>
  </si>
  <si>
    <t>Minor</t>
  </si>
  <si>
    <t>About Damn Time</t>
  </si>
  <si>
    <t>Sprinter</t>
  </si>
  <si>
    <t>Dave, Central Cee</t>
  </si>
  <si>
    <t>Leave The Door Open</t>
  </si>
  <si>
    <t>Ella Baila Sola</t>
  </si>
  <si>
    <t>Eslabon Armado, Peso Pluma</t>
  </si>
  <si>
    <t>Shivers</t>
  </si>
  <si>
    <t>Columbia</t>
  </si>
  <si>
    <t>Quevedo</t>
  </si>
  <si>
    <t>Zona De Perigo</t>
  </si>
  <si>
    <t>fukumean</t>
  </si>
  <si>
    <t>Gunna</t>
  </si>
  <si>
    <t>Last Christmas</t>
  </si>
  <si>
    <t>La Bebe - Remix</t>
  </si>
  <si>
    <t>Peso Pluma, Yng Lvcas</t>
  </si>
  <si>
    <t>D</t>
  </si>
  <si>
    <t>Smells Like Teen Spirit - Remastered 2021</t>
  </si>
  <si>
    <t>un x100to</t>
  </si>
  <si>
    <t>Bad Bunny, Grupo Frontera</t>
  </si>
  <si>
    <t>F#</t>
  </si>
  <si>
    <t>Obsessed</t>
  </si>
  <si>
    <t>Super Shy</t>
  </si>
  <si>
    <t>NewJeans</t>
  </si>
  <si>
    <t>Popular (with Playboi Carti &amp; Madonna) - The Idol Vol. 1 (Music from the HBO Original Series)</t>
  </si>
  <si>
    <t>Flowers</t>
  </si>
  <si>
    <t>Miley Cyrus</t>
  </si>
  <si>
    <t>Danza Kuduro</t>
  </si>
  <si>
    <t>Daylight</t>
  </si>
  <si>
    <t>David Kushner</t>
  </si>
  <si>
    <t>Believer</t>
  </si>
  <si>
    <t>As It Was</t>
  </si>
  <si>
    <t>Harry Styles</t>
  </si>
  <si>
    <t>Gatita</t>
  </si>
  <si>
    <t>Kill Bill</t>
  </si>
  <si>
    <t>SZA</t>
  </si>
  <si>
    <t>G#</t>
  </si>
  <si>
    <t>Smokin Out The Window</t>
  </si>
  <si>
    <t>Cupid - Twin Ver.</t>
  </si>
  <si>
    <t>Fifty Fifty</t>
  </si>
  <si>
    <t>Ch y la Pizza</t>
  </si>
  <si>
    <t>What Was I Made For? [From The Motion Picture "Barbie"]</t>
  </si>
  <si>
    <t>Billie Eilish</t>
  </si>
  <si>
    <t>The Heart Part 5</t>
  </si>
  <si>
    <t>Classy 101</t>
  </si>
  <si>
    <t>Feid, Young Miko</t>
  </si>
  <si>
    <t>IDGAF (with blackbear)</t>
  </si>
  <si>
    <t>Like Crazy</t>
  </si>
  <si>
    <t>Jimin</t>
  </si>
  <si>
    <t>G</t>
  </si>
  <si>
    <t>Run Rudolph Run - Single Version</t>
  </si>
  <si>
    <t>LADY GAGA</t>
  </si>
  <si>
    <t>Gabito Ballesteros, Junior H, Peso Pluma</t>
  </si>
  <si>
    <t>Se√Ø¬ø¬Ω√Ø¬ø¬Ωo</t>
  </si>
  <si>
    <t xml:space="preserve">I Can See You (Taylor√Ø¬ø¬Ω√Ø¬ø¬Ω√Ø¬ø¬Ωs Version) (From The </t>
  </si>
  <si>
    <t>Doja</t>
  </si>
  <si>
    <t>I Wanna Be Yours</t>
  </si>
  <si>
    <t>Arctic Monkeys</t>
  </si>
  <si>
    <t>Igualito a Mi Ap√Ø¬ø</t>
  </si>
  <si>
    <t>Peso Pluma: Bzrp Music Sessions, Vol. 55</t>
  </si>
  <si>
    <t>Bizarrap, Peso Pluma</t>
  </si>
  <si>
    <t>BABY HELLO</t>
  </si>
  <si>
    <t>The Weeknd, Madonna, Playboi Carti</t>
  </si>
  <si>
    <t>25k jacket (feat. Lil Baby)</t>
  </si>
  <si>
    <t>SABOR FRESA</t>
  </si>
  <si>
    <t>Fuerza Regida</t>
  </si>
  <si>
    <t>Hype Boy</t>
  </si>
  <si>
    <t>Calm Down (with Selena Gomez)</t>
  </si>
  <si>
    <t>R√Ø¬ø¬Ω√Ø¬ø¬Ωma, Selena G</t>
  </si>
  <si>
    <t>Stay With Me (with Justin Timberlake, Halsey, &amp; Pharrell)</t>
  </si>
  <si>
    <t>MOJABI GHOST</t>
  </si>
  <si>
    <t>Tainy, Bad Bunny</t>
  </si>
  <si>
    <t>Used (feat. Don Toliver)</t>
  </si>
  <si>
    <t>Last Night</t>
  </si>
  <si>
    <t>Morgan Wallen</t>
  </si>
  <si>
    <t>En El Radio Un Cochinero</t>
  </si>
  <si>
    <t>Dance The Night (From Barbie The Album)</t>
  </si>
  <si>
    <t>Dua Lipa</t>
  </si>
  <si>
    <t>Jordan</t>
  </si>
  <si>
    <t>Rush</t>
  </si>
  <si>
    <t>Troye Sivan</t>
  </si>
  <si>
    <t>Di Que Si</t>
  </si>
  <si>
    <t>TULUM</t>
  </si>
  <si>
    <t>Peso Pluma, Grupo Frontera</t>
  </si>
  <si>
    <t>BREAK MY SOUL</t>
  </si>
  <si>
    <t>Creepin'</t>
  </si>
  <si>
    <t>The Weeknd, 21 Savage, Metro Boomin</t>
  </si>
  <si>
    <t>Pink Venom</t>
  </si>
  <si>
    <t>Anti-Hero</t>
  </si>
  <si>
    <t>E</t>
  </si>
  <si>
    <t>Late Night Talking</t>
  </si>
  <si>
    <t>TQG</t>
  </si>
  <si>
    <t>Karol G, Shakira</t>
  </si>
  <si>
    <t>I Wrote The Book</t>
  </si>
  <si>
    <t>Los del Espacio</t>
  </si>
  <si>
    <t>Big One, Duki, Lit Killah, Maria Becerra, FMK, Rusherking, Emilia, Tiago pzk</t>
  </si>
  <si>
    <t>MERCHO</t>
  </si>
  <si>
    <t>Fr√Ø¬ø¬Ω√Ø¬ø¬Ωgil (feat. Grupo Front</t>
  </si>
  <si>
    <t>Yahritza Y Su Esencia, Grupo Frontera</t>
  </si>
  <si>
    <t>MAMIII</t>
  </si>
  <si>
    <t>Blank Space</t>
  </si>
  <si>
    <t>Dijeron Que No La Iba Lograr</t>
  </si>
  <si>
    <t>Style</t>
  </si>
  <si>
    <t>Mujeriego</t>
  </si>
  <si>
    <t>TQM</t>
  </si>
  <si>
    <t>Every Summertime</t>
  </si>
  <si>
    <t>El Azul</t>
  </si>
  <si>
    <t>Junior H, Peso Pluma</t>
  </si>
  <si>
    <t>Super Freaky Girl</t>
  </si>
  <si>
    <t>Sunflower - Spider-Man: Into the Spider-Verse</t>
  </si>
  <si>
    <t>Post Malone, Swae Lee</t>
  </si>
  <si>
    <t>LUNA</t>
  </si>
  <si>
    <t>I'm Good (Blue)</t>
  </si>
  <si>
    <t>Bebe Rexha, David Guetta</t>
  </si>
  <si>
    <t>See You Again</t>
  </si>
  <si>
    <t>Tyler, The Creator, Kali Uchis</t>
  </si>
  <si>
    <t>Marisola - Remix</t>
  </si>
  <si>
    <t>Barbie World (with Aqua) [From Barbie The Album]</t>
  </si>
  <si>
    <t>Nicki Minaj, Aqua, Ice Spice</t>
  </si>
  <si>
    <t>California Love - Original Version (Explicit)</t>
  </si>
  <si>
    <t>Angels Like You</t>
  </si>
  <si>
    <t>Kiss Me More (feat. SZA)</t>
  </si>
  <si>
    <t>I Ain't Worried</t>
  </si>
  <si>
    <t>OneRepublic</t>
  </si>
  <si>
    <t>Que Vuelvas</t>
  </si>
  <si>
    <t>Die For You</t>
  </si>
  <si>
    <t>The Weeknd</t>
  </si>
  <si>
    <t>Made You Look</t>
  </si>
  <si>
    <t>Starboy</t>
  </si>
  <si>
    <t>The Weeknd, Daft Punk</t>
  </si>
  <si>
    <t>Volv√Ø¬ø</t>
  </si>
  <si>
    <t>Die For You - Remix</t>
  </si>
  <si>
    <t>Ariana Grande, The Weeknd</t>
  </si>
  <si>
    <t>Bussin</t>
  </si>
  <si>
    <t>El Cielo</t>
  </si>
  <si>
    <t>Feid, Myke Towers, Sky Rompiendo</t>
  </si>
  <si>
    <t>A#</t>
  </si>
  <si>
    <t>Potion (with Dua Lipa &amp; Young Thug)</t>
  </si>
  <si>
    <t>Baby Don't Hurt Me</t>
  </si>
  <si>
    <t>David Guetta, Anne-Marie, Coi Leray</t>
  </si>
  <si>
    <t>2 Be Loved (Am I Ready)</t>
  </si>
  <si>
    <t>AMARGURA</t>
  </si>
  <si>
    <t>Karol G</t>
  </si>
  <si>
    <t>Nobody Like U - From "Turning Red"</t>
  </si>
  <si>
    <t>(It Goes Like) Nanana - Edit</t>
  </si>
  <si>
    <t>Peggy Gou</t>
  </si>
  <si>
    <t>Have You Ever Seen The Rain?</t>
  </si>
  <si>
    <t>Another Love</t>
  </si>
  <si>
    <t>Tom Odell</t>
  </si>
  <si>
    <t>Get Into It (Yuh)</t>
  </si>
  <si>
    <t>Blinding Lights</t>
  </si>
  <si>
    <t>Notice Me</t>
  </si>
  <si>
    <t>Moonlight</t>
  </si>
  <si>
    <t>Kali Uchis</t>
  </si>
  <si>
    <t>ANTIFRAGILE</t>
  </si>
  <si>
    <t>La Bachata</t>
  </si>
  <si>
    <t>Manuel Turizo</t>
  </si>
  <si>
    <t>Rara Vez</t>
  </si>
  <si>
    <t>S91</t>
  </si>
  <si>
    <t>Qu√Ø¬ø¬Ω√Ø¬ø¬Ω Ago</t>
  </si>
  <si>
    <t>cardigan</t>
  </si>
  <si>
    <t>T√Ø¬ø¬Ω√Ø¬ø</t>
  </si>
  <si>
    <t>dennis, MC Kevin o Chris</t>
  </si>
  <si>
    <t>Bombonzinho - Ao Vivo</t>
  </si>
  <si>
    <t>Boy's a liar Pt. 2</t>
  </si>
  <si>
    <t>PinkPantheress, Ice Spice</t>
  </si>
  <si>
    <t>Haegeum</t>
  </si>
  <si>
    <t>Left and Right (Feat. Jung Kook of BTS)</t>
  </si>
  <si>
    <t>Charlie Puth, BTS, Jung Kook</t>
  </si>
  <si>
    <t>El Gordo Trae El Mando</t>
  </si>
  <si>
    <t>BESO</t>
  </si>
  <si>
    <t>Rauw Alejandro, ROSAL√Ø¬ø¬Ω</t>
  </si>
  <si>
    <t>Mistletoe</t>
  </si>
  <si>
    <t>Hey Mor</t>
  </si>
  <si>
    <t>Ozuna, Feid</t>
  </si>
  <si>
    <t>Un Finde | CROSSOVER #2</t>
  </si>
  <si>
    <t>Yellow</t>
  </si>
  <si>
    <t>Chris Molitor</t>
  </si>
  <si>
    <t>Friday (feat. Mufasa &amp; Hypeman) - Dopamine Re-Edit</t>
  </si>
  <si>
    <t>Karma</t>
  </si>
  <si>
    <t>The Real Slim Shady</t>
  </si>
  <si>
    <t>People</t>
  </si>
  <si>
    <t>Libianca</t>
  </si>
  <si>
    <t>La Zona</t>
  </si>
  <si>
    <t>Overdrive</t>
  </si>
  <si>
    <t>Post Malone</t>
  </si>
  <si>
    <t>AMG</t>
  </si>
  <si>
    <t>Enchanted (Taylor's Version)</t>
  </si>
  <si>
    <t>Rauw Alejandro, Bizarrap</t>
  </si>
  <si>
    <t>Grapejuice</t>
  </si>
  <si>
    <t>Heat Waves</t>
  </si>
  <si>
    <t>Glass Animals</t>
  </si>
  <si>
    <t>OMG</t>
  </si>
  <si>
    <t>golden hour</t>
  </si>
  <si>
    <t>JVKE</t>
  </si>
  <si>
    <t>Why'd You Only Call Me When You're High?</t>
  </si>
  <si>
    <t>Sweater Weather</t>
  </si>
  <si>
    <t>The Neighbourhood</t>
  </si>
  <si>
    <t>Quevedo: Bzrp Music Sessions, Vol. 52</t>
  </si>
  <si>
    <t>Bizarrap, Quevedo</t>
  </si>
  <si>
    <t>Levitating</t>
  </si>
  <si>
    <t>Viva La Vida</t>
  </si>
  <si>
    <t>Coldplay</t>
  </si>
  <si>
    <t>La Loto</t>
  </si>
  <si>
    <t>Here With Me</t>
  </si>
  <si>
    <t>d4vd</t>
  </si>
  <si>
    <t>Get Lucky - Radio Edit</t>
  </si>
  <si>
    <t>Unholy (feat. Kim Petras)</t>
  </si>
  <si>
    <t>Sam Smith, Kim Petras</t>
  </si>
  <si>
    <t>I'm Not Here To Make Friends</t>
  </si>
  <si>
    <t>Yandel 150</t>
  </si>
  <si>
    <t>Yandel, Feid</t>
  </si>
  <si>
    <t>Gasolina</t>
  </si>
  <si>
    <t>CORAZ√Ø¬ø¬Ω√Ø¬ø¬ΩN VA</t>
  </si>
  <si>
    <t>Maria Becerra</t>
  </si>
  <si>
    <t>Riptide</t>
  </si>
  <si>
    <t>Vance Joy</t>
  </si>
  <si>
    <t>Bad Decisions (with BTS &amp; Snoop Dogg)</t>
  </si>
  <si>
    <t>Until I Found You (with Em Beihold) - Em Beihold Version</t>
  </si>
  <si>
    <t>Em Beihold, Stephen Sanchez</t>
  </si>
  <si>
    <t>Pass The Dutchie</t>
  </si>
  <si>
    <t>Novidade na √Ø¬ø¬Ω√Ø¬ø</t>
  </si>
  <si>
    <t>Mc Livinho, DJ Matt D</t>
  </si>
  <si>
    <t>Wonderful Christmastime - Edited Version / Remastered 2011</t>
  </si>
  <si>
    <t>Back To December (Taylor's Version)</t>
  </si>
  <si>
    <t>STAY (with Justin Bieber)</t>
  </si>
  <si>
    <t>Justin Bieber, The Kid Laroi</t>
  </si>
  <si>
    <t>Levitating (feat. DaBaby)</t>
  </si>
  <si>
    <t>El Merengue</t>
  </si>
  <si>
    <t>Marshmello, Manuel Turizo</t>
  </si>
  <si>
    <t>Someone You Loved</t>
  </si>
  <si>
    <t>Lewis Capaldi</t>
  </si>
  <si>
    <t>on the street (with J. Cole)</t>
  </si>
  <si>
    <t>Me Porto Bonito</t>
  </si>
  <si>
    <t>Chencho Corleone, Bad Bunny</t>
  </si>
  <si>
    <t>In Da Club</t>
  </si>
  <si>
    <t>Makeba</t>
  </si>
  <si>
    <t>Jain</t>
  </si>
  <si>
    <t>Cay√Ø¬ø¬Ω√Ø¬ø¬Ω La Noche (feat. Cruz Cafun√Ø¬ø¬Ω√Ø¬ø¬Ω, Abhir Hathi, Bejo, EL IMA)</t>
  </si>
  <si>
    <t>MONTAGEM - FR PUNK</t>
  </si>
  <si>
    <t>Ayparia, unxbected</t>
  </si>
  <si>
    <t>Fast Car</t>
  </si>
  <si>
    <t>Luke Combs</t>
  </si>
  <si>
    <t>Can't Hold Us (feat. Ray Dalton)</t>
  </si>
  <si>
    <t>What It Is (Solo Version)</t>
  </si>
  <si>
    <t>Doechii</t>
  </si>
  <si>
    <t>S√Ø¬ø¬Ω√Ø¬ø¬Ω</t>
  </si>
  <si>
    <t>Coco Chanel</t>
  </si>
  <si>
    <t>Bad Bunny, Eladio Carrion</t>
  </si>
  <si>
    <t>Dark Red</t>
  </si>
  <si>
    <t>Don√Ø¬ø¬Ω√Ø¬ø¬Ω√Ø¬ø¬Ωt Bl</t>
  </si>
  <si>
    <t>Shape of You</t>
  </si>
  <si>
    <t>Still With You</t>
  </si>
  <si>
    <t>Jung Kook</t>
  </si>
  <si>
    <t>QUEMA</t>
  </si>
  <si>
    <t>All My Life (feat. J. Cole)</t>
  </si>
  <si>
    <t>J. Cole, Lil Durk</t>
  </si>
  <si>
    <t>D#</t>
  </si>
  <si>
    <t>Cupid √Ø¬ø¬Ω√Ø¬ø¬Ω√Ø¬ø¬Ω Twin Ver. (FIFTY FIFTY) √Ø¬ø¬Ω√Ø¬ø¬Ω√Ø¬ø¬Ω Spe</t>
  </si>
  <si>
    <t>Say Yes To Heaven</t>
  </si>
  <si>
    <t>Lana Del Rey</t>
  </si>
  <si>
    <t>Merry Christmas Everyone</t>
  </si>
  <si>
    <t>Snooze</t>
  </si>
  <si>
    <t>A Tu Merced</t>
  </si>
  <si>
    <t>Summertime Sadness</t>
  </si>
  <si>
    <t>jealousy, jealousy</t>
  </si>
  <si>
    <t>Take Two</t>
  </si>
  <si>
    <t>BTS</t>
  </si>
  <si>
    <t>I Heard You're Married (feat. Lil Wayne)</t>
  </si>
  <si>
    <t>Lover</t>
  </si>
  <si>
    <t>Too Many Nights (feat. Don Toliver &amp; with Future)</t>
  </si>
  <si>
    <t>Future, Metro Boomin, Don Toliver</t>
  </si>
  <si>
    <t>Contection</t>
  </si>
  <si>
    <t>Chemical</t>
  </si>
  <si>
    <t>Las Morras</t>
  </si>
  <si>
    <t>Mockingbird</t>
  </si>
  <si>
    <t>Eminem</t>
  </si>
  <si>
    <t>New Jeans</t>
  </si>
  <si>
    <t>Lady Mi Amor</t>
  </si>
  <si>
    <t>Primera Cita</t>
  </si>
  <si>
    <t>Carin Leon</t>
  </si>
  <si>
    <t>Cold Heart - PNAU Remix</t>
  </si>
  <si>
    <t>Dua Lipa, Elton John, Pnau</t>
  </si>
  <si>
    <t>DANCE CRIP</t>
  </si>
  <si>
    <t>Dandelions</t>
  </si>
  <si>
    <t>Ruth B.</t>
  </si>
  <si>
    <t>Mu√Ø¬ø¬Ω√Ø¬ø¬Ω</t>
  </si>
  <si>
    <t>Bones</t>
  </si>
  <si>
    <t>Imagine Dragons</t>
  </si>
  <si>
    <t>Vegas (From the Original Motion Picture Soundtrack ELVIS)</t>
  </si>
  <si>
    <t>Set Fire to the Rain</t>
  </si>
  <si>
    <t>Adele</t>
  </si>
  <si>
    <t>Calm Down</t>
  </si>
  <si>
    <t>Money Trees</t>
  </si>
  <si>
    <t>Kendrick Lamar, Jay Rock</t>
  </si>
  <si>
    <t>There's Nothing Holdin' Me Back</t>
  </si>
  <si>
    <t>Tak Segampang Itu</t>
  </si>
  <si>
    <t>Anggi Marito</t>
  </si>
  <si>
    <t>Mi√Ø¬ø¬Ω√Ø¬ø¬Ωn</t>
  </si>
  <si>
    <t>LAGUNAS</t>
  </si>
  <si>
    <t>Jasiel Nu√Ø¬ø¬Ω√Ø¬ø¬Ωez, Peso P</t>
  </si>
  <si>
    <t>Hey, Mickey!</t>
  </si>
  <si>
    <t>Mine (Taylor's Version)</t>
  </si>
  <si>
    <t>KU LO SA - A COLORS SHOW</t>
  </si>
  <si>
    <t>Everybody Wants To Rule The World</t>
  </si>
  <si>
    <t>Tears For Fears</t>
  </si>
  <si>
    <t>Bamba (feat. Aitch &amp; BIA)</t>
  </si>
  <si>
    <t>No Role Modelz</t>
  </si>
  <si>
    <t>J. Cole</t>
  </si>
  <si>
    <t>Tattoo</t>
  </si>
  <si>
    <t>Loreen</t>
  </si>
  <si>
    <t>Yo No Soy Celoso</t>
  </si>
  <si>
    <t>Taiu, Milo j</t>
  </si>
  <si>
    <t>OUT OUT (feat. Charli XCX &amp; Saweetie)</t>
  </si>
  <si>
    <t>VAGABUNDO</t>
  </si>
  <si>
    <t>Sebastian Yatra, Manuel Turizo, Be√Ø¬ø¬Ω√Ø</t>
  </si>
  <si>
    <t>Una Noche en Medell√Ø¬ø¬Ω</t>
  </si>
  <si>
    <t>august</t>
  </si>
  <si>
    <t>Take On Me</t>
  </si>
  <si>
    <t>Miracle (with Ellie Goulding)</t>
  </si>
  <si>
    <t>Calvin Harris, Ellie Goulding</t>
  </si>
  <si>
    <t>Un Coco</t>
  </si>
  <si>
    <t>Nonsense</t>
  </si>
  <si>
    <t>Sabrina Carpenter</t>
  </si>
  <si>
    <t>Sleigh Ride</t>
  </si>
  <si>
    <t>Carin Leon, Grupo Frontera</t>
  </si>
  <si>
    <t>Pipoco</t>
  </si>
  <si>
    <t>Por las Noches</t>
  </si>
  <si>
    <t>Peso Pluma</t>
  </si>
  <si>
    <t>One Right Now (with The Weeknd)</t>
  </si>
  <si>
    <t>Feliz Cumplea√Ø¬ø¬Ω√Ø¬ø¬Ωos Fe</t>
  </si>
  <si>
    <t>Feid</t>
  </si>
  <si>
    <t>Arc√Ø¬ø¬Ω√Ø¬ø¬Ωngel: Bzrp Music Sessions, Vol</t>
  </si>
  <si>
    <t>Ray Dalton, Ryan Lewis, Macklemore</t>
  </si>
  <si>
    <t>Malvada</t>
  </si>
  <si>
    <t>Watermelon Sugar</t>
  </si>
  <si>
    <t>Ai Preto</t>
  </si>
  <si>
    <t>lovely - Bonus Track</t>
  </si>
  <si>
    <t>Billie Eilish, Khalid</t>
  </si>
  <si>
    <t>JGL</t>
  </si>
  <si>
    <t>Rauw Alejandro: Bzrp Music Sessions, Vol. 56</t>
  </si>
  <si>
    <t>DOGTOOTH</t>
  </si>
  <si>
    <t>Queencard</t>
  </si>
  <si>
    <t>(G)I-DLE</t>
  </si>
  <si>
    <t>Somebody That I Used To Know</t>
  </si>
  <si>
    <t>Radio</t>
  </si>
  <si>
    <t>Shakira: Bzrp Music Sessions, Vol. 53</t>
  </si>
  <si>
    <t>Shakira, Bizarrap</t>
  </si>
  <si>
    <t>Tiago PZK: Bzrp Music Sessions, Vol. 48</t>
  </si>
  <si>
    <t>Cinema</t>
  </si>
  <si>
    <t>Calling (Spider-Man: Across the Spider-Verse) (Metro Boomin &amp; Swae Lee, NAV, feat. A Boogie Wit da Hoodie)</t>
  </si>
  <si>
    <t>Swae Lee, A Boogie Wit da Hoodie, Metro Boomin, NAV</t>
  </si>
  <si>
    <t>It's the Most Wonderful Time of the Year</t>
  </si>
  <si>
    <t>Trance (with Travis Scott &amp; Young Thug)</t>
  </si>
  <si>
    <t>Travis Scott, Young Thug, Metro Boomin</t>
  </si>
  <si>
    <t>Sunroof</t>
  </si>
  <si>
    <t>Tere Vaaste (From "Zara Hatke Zara Bachke")</t>
  </si>
  <si>
    <t>Sachin-Jigar, Shadab Faridi, Altamash Faridi, Amitabh Bhattacharya, Varun Jain</t>
  </si>
  <si>
    <t>B.O.T.A. (Baddest Of Them All) - Edit</t>
  </si>
  <si>
    <t>Perfect</t>
  </si>
  <si>
    <t>Ed Sheeran</t>
  </si>
  <si>
    <t>Sacrifice</t>
  </si>
  <si>
    <t>Romantic Homicide</t>
  </si>
  <si>
    <t>Monoton√Ø¬ø¬Ω</t>
  </si>
  <si>
    <t>Sugar Rush Ride</t>
  </si>
  <si>
    <t>Novo Balan√Ø¬ø¬Ω</t>
  </si>
  <si>
    <t>Veigh, Bvga Beatz, Supernova Ent, Prod Malax</t>
  </si>
  <si>
    <t>√Ω√Ω√Ω√Ω√Ω√Ω√Ω√Ω√Ω√Ω√Ω√Ω</t>
  </si>
  <si>
    <t>Gol Bolinha, Gol Quadrado 2</t>
  </si>
  <si>
    <t>Mc Pedrinho, DJ 900</t>
  </si>
  <si>
    <t>Without Me</t>
  </si>
  <si>
    <t>INDUSTRY BABY (feat. Jack Harlow)</t>
  </si>
  <si>
    <t>Sog, Ryan Castro, Peso Pluma</t>
  </si>
  <si>
    <t>Mood (feat. Iann Dior)</t>
  </si>
  <si>
    <t>Stargirl Interlude</t>
  </si>
  <si>
    <t>The Weeknd, Lana Del Rey</t>
  </si>
  <si>
    <t>Locked Out Of Heaven</t>
  </si>
  <si>
    <t>Ojitos Lindos</t>
  </si>
  <si>
    <t>Bomba Est√Ø¬ø¬Ω√Ø¬ø¬Ωreo, Bad B</t>
  </si>
  <si>
    <t>Medallo</t>
  </si>
  <si>
    <t>Somewhere Only We Know</t>
  </si>
  <si>
    <t>Keane</t>
  </si>
  <si>
    <t>MANIAC</t>
  </si>
  <si>
    <t>Those Eyes</t>
  </si>
  <si>
    <t>New West</t>
  </si>
  <si>
    <t>Bebe Dame</t>
  </si>
  <si>
    <t>Chino Pacas</t>
  </si>
  <si>
    <t>Qu√Ø¬ø¬Ω√Ø¬ø¬Ω M√Ø¬ø¬Ω√Ø¬ø</t>
  </si>
  <si>
    <t>Mi Bello Angel</t>
  </si>
  <si>
    <t>Natanael Cano</t>
  </si>
  <si>
    <t>Bye</t>
  </si>
  <si>
    <t>Light Switch</t>
  </si>
  <si>
    <t>Don Omar, Lucenzo</t>
  </si>
  <si>
    <t>Le√Ø¬ø¬Ω</t>
  </si>
  <si>
    <t>Nosso Quadro</t>
  </si>
  <si>
    <t>Ana Castela, AgroPlay</t>
  </si>
  <si>
    <t>Silent Hill</t>
  </si>
  <si>
    <t>Bruno Mars</t>
  </si>
  <si>
    <t xml:space="preserve">Ens√Ø¬ø¬Ω√Ø¬ø¬Ω√Ø¬ø¬Ω√Ø¬ø¬Ωame </t>
  </si>
  <si>
    <t>Big One, FMK, Ke personajes</t>
  </si>
  <si>
    <t>Rosa Pastel</t>
  </si>
  <si>
    <t>Jimmy Cooks (feat. 21 Savage)</t>
  </si>
  <si>
    <t>Drake, 21 Savage</t>
  </si>
  <si>
    <t>Woman</t>
  </si>
  <si>
    <t>Counting Stars</t>
  </si>
  <si>
    <t>Ghost</t>
  </si>
  <si>
    <t>Justin Bieber</t>
  </si>
  <si>
    <t>Under The Influence</t>
  </si>
  <si>
    <t>Chris Brown</t>
  </si>
  <si>
    <t>One Thing At A Time</t>
  </si>
  <si>
    <t>PRC</t>
  </si>
  <si>
    <t>Natanael Cano, Peso Pluma</t>
  </si>
  <si>
    <t>Slut Me Out</t>
  </si>
  <si>
    <t>Daddy Yankee</t>
  </si>
  <si>
    <t>Out of Time</t>
  </si>
  <si>
    <t>One Dance</t>
  </si>
  <si>
    <t>Drake, WizKid, Kyla</t>
  </si>
  <si>
    <t>Antidepresan</t>
  </si>
  <si>
    <t>Enchanted</t>
  </si>
  <si>
    <t>You Make It Feel Like Christmas (feat. Blake Shelton)</t>
  </si>
  <si>
    <t>Save Your Tears</t>
  </si>
  <si>
    <t>Agosto</t>
  </si>
  <si>
    <t>Sure Thing</t>
  </si>
  <si>
    <t>Miguel</t>
  </si>
  <si>
    <t>Cupid</t>
  </si>
  <si>
    <t>Every Breath You Take - Remastered 2003</t>
  </si>
  <si>
    <t>The Police</t>
  </si>
  <si>
    <t>Everything I Love</t>
  </si>
  <si>
    <t>The Night We Met</t>
  </si>
  <si>
    <t>Lord Huron</t>
  </si>
  <si>
    <t>Siempre Pendientes</t>
  </si>
  <si>
    <t>We Found Love</t>
  </si>
  <si>
    <t>Rihanna, Calvin Harris</t>
  </si>
  <si>
    <t>Princess Diana (with Nicki Minaj)</t>
  </si>
  <si>
    <t>When I Was Your Man</t>
  </si>
  <si>
    <t>Honest (feat. Don Toliver)</t>
  </si>
  <si>
    <t>Let Me Down Slowly</t>
  </si>
  <si>
    <t>Alec Benjamin</t>
  </si>
  <si>
    <t>If We Ever Broke Up</t>
  </si>
  <si>
    <t>Am I Dreaming (Metro Boomin &amp; A$AP Rocky, Roisee)</t>
  </si>
  <si>
    <t>A$AP Rocky, Metro Boomin, Roisee</t>
  </si>
  <si>
    <t>Shake It Off</t>
  </si>
  <si>
    <t>Do I Wanna Know?</t>
  </si>
  <si>
    <t>Me Arrepent√Ø¬ø</t>
  </si>
  <si>
    <t>Demons</t>
  </si>
  <si>
    <t>Talk that Talk</t>
  </si>
  <si>
    <t>YOASOBI</t>
  </si>
  <si>
    <t>Daydreaming</t>
  </si>
  <si>
    <t>Reminder</t>
  </si>
  <si>
    <t>Bam Bam (feat. Ed Sheeran)</t>
  </si>
  <si>
    <t>WANDA</t>
  </si>
  <si>
    <t>AM Remix</t>
  </si>
  <si>
    <t>SNAP</t>
  </si>
  <si>
    <t>Rosa Linn</t>
  </si>
  <si>
    <t>Ojos Marrones</t>
  </si>
  <si>
    <t>Night Changes</t>
  </si>
  <si>
    <t>One Direction</t>
  </si>
  <si>
    <t>SUPERMODEL</t>
  </si>
  <si>
    <t>Fin de Semana</t>
  </si>
  <si>
    <t>Oscar Maydon, Junior H</t>
  </si>
  <si>
    <t>Creep</t>
  </si>
  <si>
    <t>Radiohead</t>
  </si>
  <si>
    <t>Tacones Rojos</t>
  </si>
  <si>
    <t>Car's Outside</t>
  </si>
  <si>
    <t>James Arthur</t>
  </si>
  <si>
    <t>Boy With Luv (feat. Halsey)</t>
  </si>
  <si>
    <t>Apocalypse</t>
  </si>
  <si>
    <t>Cigarettes After Sex</t>
  </si>
  <si>
    <t>THE SHADE</t>
  </si>
  <si>
    <t>Cheques</t>
  </si>
  <si>
    <t>Shubh</t>
  </si>
  <si>
    <t>RUMBAT√Ø¬ø¬Ω</t>
  </si>
  <si>
    <t>Pink + White</t>
  </si>
  <si>
    <t>Frank Ocean</t>
  </si>
  <si>
    <t>Forget Me</t>
  </si>
  <si>
    <t>Circles</t>
  </si>
  <si>
    <t>Just The Way You Are</t>
  </si>
  <si>
    <t>Boy's a liar</t>
  </si>
  <si>
    <t>Take Me To Church</t>
  </si>
  <si>
    <t>Hozier</t>
  </si>
  <si>
    <t>Purple Hearts</t>
  </si>
  <si>
    <t>Fuerza Regida, Grupo Frontera</t>
  </si>
  <si>
    <t>I WANNA BE YOUR SLAVE</t>
  </si>
  <si>
    <t>You Belong With Me (Taylor√Ø¬ø¬Ω√Ø¬ø¬Ω√Ø¬ø¬Ωs Ve</t>
  </si>
  <si>
    <t>REMIX EXCLUSIVO</t>
  </si>
  <si>
    <t>Titi Me Pregunt√Ø¬ø</t>
  </si>
  <si>
    <t>Love Grows (Where My Rosemary Goes)</t>
  </si>
  <si>
    <t>Better Than Revenge (Taylor's Version)</t>
  </si>
  <si>
    <t>MONTERO (Call Me By Your Name)</t>
  </si>
  <si>
    <t>Shut up My Moms Calling</t>
  </si>
  <si>
    <t>Hotel Ugly</t>
  </si>
  <si>
    <t>Creedence Clearwater Revival</t>
  </si>
  <si>
    <t>Es un Secreto</t>
  </si>
  <si>
    <t>Plan B</t>
  </si>
  <si>
    <t>A Veces (feat. Feid)</t>
  </si>
  <si>
    <t>POLARIS - Remix</t>
  </si>
  <si>
    <t>Feid, Mora, Saiko, Quevedo</t>
  </si>
  <si>
    <t>After LIKE</t>
  </si>
  <si>
    <t>Ditto</t>
  </si>
  <si>
    <t>Salimo de Noche</t>
  </si>
  <si>
    <t>a-ha</t>
  </si>
  <si>
    <t>Annihilate (Spider-Man: Across the Spider-Verse) (Metro Boomin &amp; Swae Lee, Lil Wayne, Offset)</t>
  </si>
  <si>
    <t>Swae Lee, Lil Wayne, Offset, Metro Boomin</t>
  </si>
  <si>
    <t>Dynamite</t>
  </si>
  <si>
    <t>Angel Pt 1 (feat. Jimin of BTS, JVKE &amp; Muni Long)</t>
  </si>
  <si>
    <t>Kodak Black, NLE Choppa, Muni Long, JVKE, Jimin</t>
  </si>
  <si>
    <t>That That (prod. &amp; feat. SUGA of BTS)</t>
  </si>
  <si>
    <t>Acr√Ø¬ø¬Ω√Ø¬ø¬Ωs</t>
  </si>
  <si>
    <t>Shakira</t>
  </si>
  <si>
    <t>Sin Se√Ø¬ø¬Ω√Ø</t>
  </si>
  <si>
    <t>Natanael Cano, Gabito Ballesteros, Peso Pluma</t>
  </si>
  <si>
    <t>Phir Aur Kya Chahiye (From "Zara Hatke Zara Bachke")</t>
  </si>
  <si>
    <t>Arijit Singh, Sachin-Jigar, Amitabha Bhattacharya</t>
  </si>
  <si>
    <t>The Feels</t>
  </si>
  <si>
    <t>S-Class</t>
  </si>
  <si>
    <t>Stray Kids</t>
  </si>
  <si>
    <t>Hits Different</t>
  </si>
  <si>
    <t>Driving Home for Christmas - 2019 Remaster</t>
  </si>
  <si>
    <t>Chanel</t>
  </si>
  <si>
    <t>Becky G, Peso Pluma</t>
  </si>
  <si>
    <t>La Llevo Al Cielo (Ft. √Ø¬ø¬Ω√Ø¬ø¬Ωengo F</t>
  </si>
  <si>
    <t>Self Love (Spider-Man: Across the Spider-Verse) (Metro Boomin &amp; Coi Leray)</t>
  </si>
  <si>
    <t>Metro Boomin, Coi Leray</t>
  </si>
  <si>
    <t>Feliz Navidad</t>
  </si>
  <si>
    <t>Area Codes</t>
  </si>
  <si>
    <t>Kaliii, Kaliii</t>
  </si>
  <si>
    <t>Seu Brilho Sumiu - Ao Vivo</t>
  </si>
  <si>
    <t>Abcdario</t>
  </si>
  <si>
    <t>Junior H, Eden Mu√Ø¬ø¬Ω√Ø</t>
  </si>
  <si>
    <t>DESPECH√Ø¬ø</t>
  </si>
  <si>
    <t>Abhijay Sharma, Riar Saab</t>
  </si>
  <si>
    <t>Pi√Ø¬ø¬Ω√Ø¬ø¬Ωman De√Ø¬ø</t>
  </si>
  <si>
    <t xml:space="preserve">Semicenk, Do√Ø¬ø¬Ω√Ø¬ø¬Ωu </t>
  </si>
  <si>
    <t>FLOWER</t>
  </si>
  <si>
    <t>JISOO</t>
  </si>
  <si>
    <t>All The Way Live (Spider-Man: Across the Spider-Verse) (Metro Boomin &amp; Future, Lil Uzi Vert)</t>
  </si>
  <si>
    <t>Future, Lil Uzi Vert, Metro Boomin</t>
  </si>
  <si>
    <t>Eyes Closed</t>
  </si>
  <si>
    <t>Escapism.</t>
  </si>
  <si>
    <t>RAYE, 070 Shake</t>
  </si>
  <si>
    <t>La Jumpa</t>
  </si>
  <si>
    <t>Arcangel, Bad Bunny</t>
  </si>
  <si>
    <t>Karma (feat. Ice Spice)</t>
  </si>
  <si>
    <t>Taylor Swift, Ice Spice</t>
  </si>
  <si>
    <t>Superhero (Heroes &amp; Villains) [with Future &amp; Chris Brown]</t>
  </si>
  <si>
    <t>Future, Chris Brown, Metro Boomin</t>
  </si>
  <si>
    <t>BLESSD, Peso Pluma</t>
  </si>
  <si>
    <t>CHORRITO PA LAS ANIMAS</t>
  </si>
  <si>
    <t>Fuerza Regida, Natanael Cano</t>
  </si>
  <si>
    <t>Snow On The Beach (feat. More Lana Del Rey)</t>
  </si>
  <si>
    <t>Lana Del Rey, Taylor Swift</t>
  </si>
  <si>
    <t>Players</t>
  </si>
  <si>
    <t>Coi Leray</t>
  </si>
  <si>
    <t>Bite Me</t>
  </si>
  <si>
    <t>ENHYPEN</t>
  </si>
  <si>
    <t>Stand By Me (feat. Morgan Wallen)</t>
  </si>
  <si>
    <t>Lil Durk, Morgan Wallen</t>
  </si>
  <si>
    <t>Normal</t>
  </si>
  <si>
    <t>Hummingbird (Metro Boomin &amp; James Blake)</t>
  </si>
  <si>
    <t>James Blake, Metro Boomin</t>
  </si>
  <si>
    <t>Israel &amp; Rodolffo, Mari Fernandez</t>
  </si>
  <si>
    <t>Bad Habit</t>
  </si>
  <si>
    <t>Steve Lacy</t>
  </si>
  <si>
    <t>CUFF IT</t>
  </si>
  <si>
    <t>Beyonc√Ø¬ø</t>
  </si>
  <si>
    <t>Lilith (feat. SUGA of BTS) (Diablo IV Anthem)</t>
  </si>
  <si>
    <t>Halsey, Suga</t>
  </si>
  <si>
    <t>Nicky Jam, Feid</t>
  </si>
  <si>
    <t>Ni√Ø¬ø¬Ω√Ø¬ø¬Ωa Bo</t>
  </si>
  <si>
    <t>Sean Paul, Feid</t>
  </si>
  <si>
    <t>Search &amp; Rescue</t>
  </si>
  <si>
    <t>Drake</t>
  </si>
  <si>
    <t>AMERICA HAS A PROBLEM (feat. Kendrick Lamar)</t>
  </si>
  <si>
    <t>Kendrick Lamar, Beyonc√Ø¬ø</t>
  </si>
  <si>
    <t>Lavender Haze</t>
  </si>
  <si>
    <t>Link Up (Metro Boomin &amp; Don Toliver, Wizkid feat. BEAM &amp; Toian) - Spider-Verse Remix (Spider-Man: Across the Spider-Verse )</t>
  </si>
  <si>
    <t>WizKid, Toian, Metro Boomin, Don Toliver, Beam</t>
  </si>
  <si>
    <t>Efecto</t>
  </si>
  <si>
    <t>Erro Gostoso - Ao Vivo</t>
  </si>
  <si>
    <t>Simone Mendes</t>
  </si>
  <si>
    <t>Cupido</t>
  </si>
  <si>
    <t>Tini</t>
  </si>
  <si>
    <t>Just Wanna Rock</t>
  </si>
  <si>
    <t>Lil Uzi Vert</t>
  </si>
  <si>
    <t>Unstoppable</t>
  </si>
  <si>
    <t>Sia</t>
  </si>
  <si>
    <t>Until I Found You</t>
  </si>
  <si>
    <t>Stephen Sanchez</t>
  </si>
  <si>
    <t>Rich Flex</t>
  </si>
  <si>
    <t>Easy On Me</t>
  </si>
  <si>
    <t>Cart√Ø¬ø¬Ω√Ø¬ø¬Ωo B</t>
  </si>
  <si>
    <t>MC Caverinha, KayBlack</t>
  </si>
  <si>
    <t>Danger (Spider) (Offset &amp; JID)</t>
  </si>
  <si>
    <t>Offset, JID</t>
  </si>
  <si>
    <t>Oi Balde - Ao Vivo</t>
  </si>
  <si>
    <t>Z√Ø¬ø¬Ω√Ø¬ø¬Ω Neto &amp; Crist</t>
  </si>
  <si>
    <t>Migrantes, LiL CaKe, Nico Valdi</t>
  </si>
  <si>
    <t>The Color Violet</t>
  </si>
  <si>
    <t>Tory Lanez</t>
  </si>
  <si>
    <t>Glimpse of Us</t>
  </si>
  <si>
    <t>Joji</t>
  </si>
  <si>
    <t>Mejor Que Yo</t>
  </si>
  <si>
    <t>Mambo Kingz, DJ Luian, Anuel Aa</t>
  </si>
  <si>
    <t>Curtains</t>
  </si>
  <si>
    <t>UNFORGIVEN (feat. Nile Rodgers)</t>
  </si>
  <si>
    <t>Nile Rodgers, LE SSERAFIM</t>
  </si>
  <si>
    <t>Agust D</t>
  </si>
  <si>
    <t xml:space="preserve">Conex√Ø¬ø¬Ω√Ø¬ø¬Ωes de M√Ø¬ø¬Ω√Ø¬ø¬Ωfia (feat. Rich </t>
  </si>
  <si>
    <t>Rich The Kid, Matu√Ø¬ø</t>
  </si>
  <si>
    <t>MIENTRAS ME CURO DEL CORA</t>
  </si>
  <si>
    <t>Never Felt So Alone</t>
  </si>
  <si>
    <t>Labrinth</t>
  </si>
  <si>
    <t>X SI VOLVEMOS</t>
  </si>
  <si>
    <t>Karol G, Romeo Santos</t>
  </si>
  <si>
    <t>ceilings</t>
  </si>
  <si>
    <t>Lizzy McAlpine</t>
  </si>
  <si>
    <t>I AM</t>
  </si>
  <si>
    <t>IVE</t>
  </si>
  <si>
    <t>sped up 8282</t>
  </si>
  <si>
    <t>Shorty Party</t>
  </si>
  <si>
    <t>Cartel De Santa, La Kelly</t>
  </si>
  <si>
    <t>Super</t>
  </si>
  <si>
    <t>SEVENTEEN</t>
  </si>
  <si>
    <t>NLE Choppa</t>
  </si>
  <si>
    <t>Double Fantasy (with Future)</t>
  </si>
  <si>
    <t>The Weeknd, Future</t>
  </si>
  <si>
    <t>All Of The Girls You Loved Before</t>
  </si>
  <si>
    <t>PROVENZA</t>
  </si>
  <si>
    <t>Nicki Minaj, Ice Spice</t>
  </si>
  <si>
    <t>Grupo Marca Registrada, Grupo Frontera</t>
  </si>
  <si>
    <t>Fuerza Regida, Peso Pluma</t>
  </si>
  <si>
    <t>Shoong! (feat. LISA of BLACKPINK)</t>
  </si>
  <si>
    <t>TAEYANG, Lisa</t>
  </si>
  <si>
    <t>Komang</t>
  </si>
  <si>
    <t>Raim Laode</t>
  </si>
  <si>
    <t>ROSAL√Ø¬ø¬Ω</t>
  </si>
  <si>
    <t>Meghan Trainor</t>
  </si>
  <si>
    <t>Watch This - ARIZONATEARS Pluggnb Remix</t>
  </si>
  <si>
    <t>sped up nightcore, ARIZONATEARS, Lil Uzi Vert</t>
  </si>
  <si>
    <t>No Se Va</t>
  </si>
  <si>
    <t>Grupo Frontera</t>
  </si>
  <si>
    <t>Punto G</t>
  </si>
  <si>
    <t>Lovers Rock</t>
  </si>
  <si>
    <t>TV Girl</t>
  </si>
  <si>
    <t>METAMORPHOSIS</t>
  </si>
  <si>
    <t>INTERWORLD</t>
  </si>
  <si>
    <t>Mami Chula</t>
  </si>
  <si>
    <t>Quevedo, Jhayco</t>
  </si>
  <si>
    <t>En Paris</t>
  </si>
  <si>
    <t>El Chachito, Junior H</t>
  </si>
  <si>
    <t>Set Me Free Pt.2</t>
  </si>
  <si>
    <t>I Was Never There</t>
  </si>
  <si>
    <t>The Weeknd, Gesaffelstein</t>
  </si>
  <si>
    <t>Don't ever say love me (feat. RM of BTS)</t>
  </si>
  <si>
    <t>RM, Colde</t>
  </si>
  <si>
    <t>Shut Down</t>
  </si>
  <si>
    <t>BLACKPINK</t>
  </si>
  <si>
    <t>Gato de Noche</t>
  </si>
  <si>
    <t>Nengo Flow, Bad Bunny</t>
  </si>
  <si>
    <t>Call Out My Name</t>
  </si>
  <si>
    <t>Like Crazy (English Version)</t>
  </si>
  <si>
    <t>Nicky Youre, Dazy</t>
  </si>
  <si>
    <t>Lose Yourself - Soundtrack Version</t>
  </si>
  <si>
    <t>Superman</t>
  </si>
  <si>
    <t>Eminem, Dina Rae</t>
  </si>
  <si>
    <t>Mas Rica Que Ayer</t>
  </si>
  <si>
    <t>People Pt.2 (feat. IU)</t>
  </si>
  <si>
    <t>IU, Agust D</t>
  </si>
  <si>
    <t>Arcangel, Bizarrap</t>
  </si>
  <si>
    <t>Tyler, The Creator</t>
  </si>
  <si>
    <t>Ti√Ø¬ø¬Ω√Ø¬ø¬Ωsto, Tate M</t>
  </si>
  <si>
    <t>SORRY NOT SORRY</t>
  </si>
  <si>
    <t>HAPPY</t>
  </si>
  <si>
    <t>NF</t>
  </si>
  <si>
    <t>La Bebe</t>
  </si>
  <si>
    <t>Yng Lvcas</t>
  </si>
  <si>
    <t>I Know - PR1SVX Edit</t>
  </si>
  <si>
    <t>Kanii, PR1ISVX</t>
  </si>
  <si>
    <t>Mar√Ø¬ø¬Ω√Ø¬ø¬Ωlia Mendo</t>
  </si>
  <si>
    <t>Save Your Tears (with Ariana Grande) (Remix)</t>
  </si>
  <si>
    <t>Something in the Orange</t>
  </si>
  <si>
    <t>Zach Bryan</t>
  </si>
  <si>
    <t>VOID</t>
  </si>
  <si>
    <t>Melanie Martinez</t>
  </si>
  <si>
    <t>Fuerza Regida, Chino Pacas</t>
  </si>
  <si>
    <t>Midnight Rain</t>
  </si>
  <si>
    <t>Mae Stephens</t>
  </si>
  <si>
    <t>You Proof</t>
  </si>
  <si>
    <t>LA INOCENTE</t>
  </si>
  <si>
    <t>Feid, Mora</t>
  </si>
  <si>
    <t>Malas Decisiones</t>
  </si>
  <si>
    <t>Kenia OS</t>
  </si>
  <si>
    <t>Murder In My Mind</t>
  </si>
  <si>
    <t>Kordhell</t>
  </si>
  <si>
    <t>Gangsta's Paradise</t>
  </si>
  <si>
    <t>Coolio, L.V.</t>
  </si>
  <si>
    <t>CAIRO</t>
  </si>
  <si>
    <t>Karol G, Ovy On The Drums</t>
  </si>
  <si>
    <t>I Love You So</t>
  </si>
  <si>
    <t>The Walters</t>
  </si>
  <si>
    <t>Say You Won't Let Go</t>
  </si>
  <si>
    <t>The Hills</t>
  </si>
  <si>
    <t>Heart To Heart</t>
  </si>
  <si>
    <t>Mac DeMarco</t>
  </si>
  <si>
    <t>Peaches (from The Super Mario Bros. Movie)</t>
  </si>
  <si>
    <t>Jack Black</t>
  </si>
  <si>
    <t>Duki, NICKI NICOLE, Cris Mj, Standly, Stars Music Chile</t>
  </si>
  <si>
    <t>LOKERA</t>
  </si>
  <si>
    <t>Brray, Rauw Alejandro, Lyanno</t>
  </si>
  <si>
    <t>Low</t>
  </si>
  <si>
    <t>Numb</t>
  </si>
  <si>
    <t>Linkin Park</t>
  </si>
  <si>
    <t>Tormenta (feat. Bad Bunny)</t>
  </si>
  <si>
    <t>Gorillaz, Bad Bunny</t>
  </si>
  <si>
    <t>j-hope, J. Cole</t>
  </si>
  <si>
    <t>Miss You</t>
  </si>
  <si>
    <t>Robin Schulz, Oliver Tree</t>
  </si>
  <si>
    <t>Ain√Ø¬ø¬Ω√Ø¬ø¬Ω√Ø¬ø¬Ωt Tha</t>
  </si>
  <si>
    <t>Thinkin√Ø¬ø¬Ω√Ø¬ø¬Ω√Ø¬ø¬Ω B</t>
  </si>
  <si>
    <t>Private Landing (feat. Justin Bieber &amp; Future)</t>
  </si>
  <si>
    <t>Don Toliver, Future, Justin Bieber</t>
  </si>
  <si>
    <t>Heaven</t>
  </si>
  <si>
    <t>Niall Horan</t>
  </si>
  <si>
    <t>LET GO</t>
  </si>
  <si>
    <t>Central Cee</t>
  </si>
  <si>
    <t>Sial</t>
  </si>
  <si>
    <t>Mahalini</t>
  </si>
  <si>
    <t>Apna Bana Le (From "Bhediya")</t>
  </si>
  <si>
    <t>Arijit Singh, Sachin-Jigar</t>
  </si>
  <si>
    <t>SPIT IN MY FACE!</t>
  </si>
  <si>
    <t>ThxSoMch</t>
  </si>
  <si>
    <t>PLAYA DEL INGL√Ø¬ø¬Ω</t>
  </si>
  <si>
    <t>Myke Towers, Quevedo</t>
  </si>
  <si>
    <t>Man Made A Bar (feat. Eric Church)</t>
  </si>
  <si>
    <t>Morgan Wallen, Eric Church</t>
  </si>
  <si>
    <t>Red Ruby Da Sleeze</t>
  </si>
  <si>
    <t>Nicki Minaj</t>
  </si>
  <si>
    <t>Kahani Suno 2.0</t>
  </si>
  <si>
    <t>Kaifi Khalil</t>
  </si>
  <si>
    <t>Nobody Gets Me</t>
  </si>
  <si>
    <t>PERO T√Ø¬ø</t>
  </si>
  <si>
    <t>Karol G, Quevedo</t>
  </si>
  <si>
    <t>Bloody Mary</t>
  </si>
  <si>
    <t>Lady Gaga</t>
  </si>
  <si>
    <t>Ozuna, Shakira</t>
  </si>
  <si>
    <t>√Ω√Ω√Ω98 Braves</t>
  </si>
  <si>
    <t>Thought You Should Know</t>
  </si>
  <si>
    <t>In The End</t>
  </si>
  <si>
    <t>Leo Santana</t>
  </si>
  <si>
    <t>Lovezinho</t>
  </si>
  <si>
    <t>Treyce</t>
  </si>
  <si>
    <t>I Like You (A Happier Song) (with Doja Cat)</t>
  </si>
  <si>
    <t>Post Malone, Doja Cat</t>
  </si>
  <si>
    <t>Neverita</t>
  </si>
  <si>
    <t>Vista Al Mar</t>
  </si>
  <si>
    <t xml:space="preserve">Sem Alian√Ø¬ø¬Ω√Ø¬ø¬Ωa no </t>
  </si>
  <si>
    <t>MC Xenon, Os Gemeos da Putaria</t>
  </si>
  <si>
    <t>Enemy (with JID) - from the series Arcane League of Legends</t>
  </si>
  <si>
    <t>Imagine Dragons, League of Legends, JID, Arcane</t>
  </si>
  <si>
    <t>Revenge</t>
  </si>
  <si>
    <t>XXXTENTACION</t>
  </si>
  <si>
    <t>Israel &amp; Rodolffo, Ana Castela</t>
  </si>
  <si>
    <t>LA CANCI√Ø¬ø¬Ω</t>
  </si>
  <si>
    <t>J Balvin, Bad Bunny</t>
  </si>
  <si>
    <t>Yuridia, Angela Aguilar</t>
  </si>
  <si>
    <t>Love Again</t>
  </si>
  <si>
    <t>The Kid Laroi</t>
  </si>
  <si>
    <t>After Hours</t>
  </si>
  <si>
    <t>Lizzo</t>
  </si>
  <si>
    <t>Born With A Beer In My Hand</t>
  </si>
  <si>
    <t>√Ω√Ω√Ω√Ω√Ω√Ω√Ω√Ω√Ω√Ω√Ω√Ω√Ω√Ω√Ω√Ω√Ω√Ω√Ω√Ω√Ω</t>
  </si>
  <si>
    <t>Fujii Kaze</t>
  </si>
  <si>
    <t>Besos Moja2</t>
  </si>
  <si>
    <t>Wisin &amp; Yandel, ROSAL√Ø¬ø¬Ω</t>
  </si>
  <si>
    <t>Maan Meri Jaan</t>
  </si>
  <si>
    <t>King</t>
  </si>
  <si>
    <t>Moscow Mule</t>
  </si>
  <si>
    <t>My Universe</t>
  </si>
  <si>
    <t>Coldplay, BTS</t>
  </si>
  <si>
    <t>Devil Don√Ø¬ø¬Ω√Ø¬ø¬Ω√Ø¬ø¬Ω</t>
  </si>
  <si>
    <t>LLYLM</t>
  </si>
  <si>
    <t>Sam Smith, Calvin Harris, Jessie Reyez</t>
  </si>
  <si>
    <t>TRUSTFALL</t>
  </si>
  <si>
    <t>P!nk</t>
  </si>
  <si>
    <t>LE SSERAFIM</t>
  </si>
  <si>
    <t>PinkPantheress</t>
  </si>
  <si>
    <t>VIBE (feat. Jimin of BTS)</t>
  </si>
  <si>
    <t>TAEYANG, Jimin</t>
  </si>
  <si>
    <t>Shirt</t>
  </si>
  <si>
    <t>Lift Me Up - From Black Panther: Wakanda Forever - Music From and Inspired By</t>
  </si>
  <si>
    <t>Rihanna</t>
  </si>
  <si>
    <t>STAR WALKIN' (League of Legends Worlds Anthem)</t>
  </si>
  <si>
    <t>Lil Nas X</t>
  </si>
  <si>
    <t>Sex, Drugs, Etc.</t>
  </si>
  <si>
    <t>Beach Weather</t>
  </si>
  <si>
    <t>Halsey, BTS</t>
  </si>
  <si>
    <t>Baby Tate</t>
  </si>
  <si>
    <t>R√Ø¬ø¬Ω√Ø</t>
  </si>
  <si>
    <t>Jhoome Jo Pathaan</t>
  </si>
  <si>
    <t>Arijit Singh, Vishal Dadlani, Sukriti Kakar, Vishal-Shekhar, Shekhar Ravjiani, Kumaar</t>
  </si>
  <si>
    <t>Escapism. - Sped Up</t>
  </si>
  <si>
    <t>Space Song</t>
  </si>
  <si>
    <t>Beach House</t>
  </si>
  <si>
    <t>Dreamers [Music from the FIFA World Cup Qatar 2022 Official Soundtrack]</t>
  </si>
  <si>
    <t>BTS, Jung Kook, FIFA Sound</t>
  </si>
  <si>
    <t>Te Felicito</t>
  </si>
  <si>
    <t>Shakira, Rauw Alejandro</t>
  </si>
  <si>
    <t>Steve Aoki, Tini, La Joaqui</t>
  </si>
  <si>
    <t>TV</t>
  </si>
  <si>
    <t>I'm Not The Only One</t>
  </si>
  <si>
    <t>Sam Smith</t>
  </si>
  <si>
    <t>Heather</t>
  </si>
  <si>
    <t>Conan Gray</t>
  </si>
  <si>
    <t>Besharam Rang (From "Pathaan")</t>
  </si>
  <si>
    <t>Vishal-Shekhar, Shilpa Rao, Caralisa Monteiro, Kumaar, Vishal Dadlani, Shekhar Ravjiani</t>
  </si>
  <si>
    <t>One Kiss (with Dua Lipa)</t>
  </si>
  <si>
    <t>Calvin Harris, Dua Lipa</t>
  </si>
  <si>
    <t>TOMORROW X TOGETHER</t>
  </si>
  <si>
    <t>WAIT FOR U (feat. Drake &amp; Tems)</t>
  </si>
  <si>
    <t>Drake, Future, Tems</t>
  </si>
  <si>
    <t>Don't Start Now</t>
  </si>
  <si>
    <t>After Dark</t>
  </si>
  <si>
    <t>Mr.Kitty</t>
  </si>
  <si>
    <t>Eu Gosto Assim - Ao Vivo</t>
  </si>
  <si>
    <t>Gustavo Mioto, Mari Fernandez</t>
  </si>
  <si>
    <t>Jack Harlow, Lil Nas X</t>
  </si>
  <si>
    <t>MIDDLE OF THE NIGHT</t>
  </si>
  <si>
    <t>Elley Duh√Ø¬ø</t>
  </si>
  <si>
    <t>Atlantis</t>
  </si>
  <si>
    <t>Seafret</t>
  </si>
  <si>
    <t>PUNTO 40</t>
  </si>
  <si>
    <t>Baby Rasta, Rauw Alejandro</t>
  </si>
  <si>
    <t>Evoque Prata</t>
  </si>
  <si>
    <t>DJ Escobar, MC MENOR SG, MC MENOR HR</t>
  </si>
  <si>
    <t>How Do I Say Goodbye</t>
  </si>
  <si>
    <t>Dean Lewis</t>
  </si>
  <si>
    <t>Blind</t>
  </si>
  <si>
    <t>Bellakath</t>
  </si>
  <si>
    <t>Rumble</t>
  </si>
  <si>
    <t>Skrillex, Flowdan, Fred again..</t>
  </si>
  <si>
    <t>Niagara Falls (Foot or 2) [with Travis Scott &amp; 21 Savage]</t>
  </si>
  <si>
    <t>Travis Scott, 21 Savage, Metro Boomin</t>
  </si>
  <si>
    <t>Yonaguni</t>
  </si>
  <si>
    <t>Running Up That Hill (A Deal With God)</t>
  </si>
  <si>
    <t>Kate Bush</t>
  </si>
  <si>
    <t>Dream On</t>
  </si>
  <si>
    <t>Aerosmith</t>
  </si>
  <si>
    <t>Limbo</t>
  </si>
  <si>
    <t>Freddie Dredd</t>
  </si>
  <si>
    <t>Where Are You Now</t>
  </si>
  <si>
    <t>Lost Frequencies, Calum Scott</t>
  </si>
  <si>
    <t>WORTH NOTHING</t>
  </si>
  <si>
    <t>Twisted, Oliver Tree</t>
  </si>
  <si>
    <t>Bad Habits</t>
  </si>
  <si>
    <t>KICK BACK</t>
  </si>
  <si>
    <t>Kenshi Yonezu</t>
  </si>
  <si>
    <t>Evergreen (You Didn√Ø¬ø¬Ω√Ø¬ø¬Ω√Ø¬ø¬Ωt Deserve Me A</t>
  </si>
  <si>
    <t>Omar Apollo</t>
  </si>
  <si>
    <t>Good Days</t>
  </si>
  <si>
    <t>Dua Lipa, DaBaby</t>
  </si>
  <si>
    <t>Doja Cat</t>
  </si>
  <si>
    <t>Shut up My Moms Calling - (Sped Up)</t>
  </si>
  <si>
    <t>Ferrari</t>
  </si>
  <si>
    <t>James Hype, Miggy Dela Rosa</t>
  </si>
  <si>
    <t>You're On Your Own, Kid</t>
  </si>
  <si>
    <t>Kesariya (From "Brahmastra")</t>
  </si>
  <si>
    <t>Pritam, Arijit Singh, Amitabh Bhattacharya</t>
  </si>
  <si>
    <t>Agudo M√Ø¬ø¬Ω√Ø¬ø¬Ωgi</t>
  </si>
  <si>
    <t>Styrx, utku INC, Thezth</t>
  </si>
  <si>
    <t>Payphone</t>
  </si>
  <si>
    <t>Maroon 5, Wiz Khalifa</t>
  </si>
  <si>
    <t>All I Want for Christmas Is You</t>
  </si>
  <si>
    <t>Mariah Carey</t>
  </si>
  <si>
    <t>Wham!</t>
  </si>
  <si>
    <t>Rockin' Around The Christmas Tree</t>
  </si>
  <si>
    <t>Brenda Lee</t>
  </si>
  <si>
    <t>Jingle Bell Rock</t>
  </si>
  <si>
    <t>Bobby Helms</t>
  </si>
  <si>
    <t>It's Beginning To Look A Lot Like Christmas</t>
  </si>
  <si>
    <t>Michael Bubl√Ø¬ø</t>
  </si>
  <si>
    <t>Santa Tell Me</t>
  </si>
  <si>
    <t>Ariana Grande</t>
  </si>
  <si>
    <t>Andy Williams</t>
  </si>
  <si>
    <t>Let It Snow! Let It Snow! Let It Snow!</t>
  </si>
  <si>
    <t>Dean Martin</t>
  </si>
  <si>
    <t>Snowman</t>
  </si>
  <si>
    <t>Underneath the Tree</t>
  </si>
  <si>
    <t>Kelly Clarkson</t>
  </si>
  <si>
    <t>Jos√Ø¬ø¬Ω√Ø¬ø¬Ω Felic</t>
  </si>
  <si>
    <t>Holly Jolly Christmas</t>
  </si>
  <si>
    <t>The Ronettes</t>
  </si>
  <si>
    <t>Seek &amp; Destroy</t>
  </si>
  <si>
    <t>Love Language</t>
  </si>
  <si>
    <t>Happy Xmas (War Is Over)</t>
  </si>
  <si>
    <t>John Lennon, The Harlem Community Choir, The Plastic Ono Band, Yoko Ono</t>
  </si>
  <si>
    <t>SZA, Don Toliver</t>
  </si>
  <si>
    <t>A Holly Jolly Christmas - Single Version</t>
  </si>
  <si>
    <t>Burl Ives</t>
  </si>
  <si>
    <t>The Christmas Song (Merry Christmas To You) - Remastered 1999</t>
  </si>
  <si>
    <t>Nat King Cole</t>
  </si>
  <si>
    <t>Paul McCartney</t>
  </si>
  <si>
    <t>Do They Know It's Christmas? - 1984 Version</t>
  </si>
  <si>
    <t>Band Aid</t>
  </si>
  <si>
    <t>Ghost in the Machine (feat. Phoebe Bridgers)</t>
  </si>
  <si>
    <t>SZA, Phoebe Bridgers</t>
  </si>
  <si>
    <t>Special</t>
  </si>
  <si>
    <t>Shakin' Stevens</t>
  </si>
  <si>
    <t>Frank Sinatra, B. Swanson Quartet</t>
  </si>
  <si>
    <t>SOS</t>
  </si>
  <si>
    <t>Open Arms (feat. Travis Scott)</t>
  </si>
  <si>
    <t>SZA, Travis Scott</t>
  </si>
  <si>
    <t>White Christmas</t>
  </si>
  <si>
    <t>Bing Crosby, John Scott Trotter &amp; His Orchestra, Ken Darby Singers</t>
  </si>
  <si>
    <t>Chris Rea</t>
  </si>
  <si>
    <t>Christmas (Baby Please Come Home)</t>
  </si>
  <si>
    <t>Darlene Love</t>
  </si>
  <si>
    <t>Gone Girl</t>
  </si>
  <si>
    <t>F2F</t>
  </si>
  <si>
    <t>Merry Christmas</t>
  </si>
  <si>
    <t>Ed Sheeran, Elton John</t>
  </si>
  <si>
    <t>It's Beginning to Look a Lot Like Christmas (with Mitchell Ayres &amp; His Orchestra)</t>
  </si>
  <si>
    <t>Perry Como, The Fontane Sisters, Mitchell Ayres &amp; His Orchestra</t>
  </si>
  <si>
    <t>My Only Wish (This Year)</t>
  </si>
  <si>
    <t>Britney Spears</t>
  </si>
  <si>
    <t>Mabel Matiz, Mert Demir</t>
  </si>
  <si>
    <t>Wild Flower (with youjeen)</t>
  </si>
  <si>
    <t>RM</t>
  </si>
  <si>
    <t>I Hate U</t>
  </si>
  <si>
    <t>Raindrops (Insane) [with Travis Scott]</t>
  </si>
  <si>
    <t>Travis Scott, Metro Boomin</t>
  </si>
  <si>
    <t>Deck The Hall - Remastered 1999</t>
  </si>
  <si>
    <t>Smoking on my Ex Pack</t>
  </si>
  <si>
    <t>Conceited</t>
  </si>
  <si>
    <t>Snow On The Beach (feat. Lana Del Rey)</t>
  </si>
  <si>
    <t>Taylor Swift, Lana Del Rey</t>
  </si>
  <si>
    <t>Maroon</t>
  </si>
  <si>
    <t>Tubar√Ø¬ø¬Ω√Ø¬ø¬Ωo Te</t>
  </si>
  <si>
    <t>Dj LK da Esc√Ø¬ø¬Ω√Ø¬ø¬Ωcia, Tchakabum, mc jhenny, M</t>
  </si>
  <si>
    <t>Bejeweled</t>
  </si>
  <si>
    <t>Tarot</t>
  </si>
  <si>
    <t>Bad Bunny, Jhay Cortez</t>
  </si>
  <si>
    <t>Gwen Stefani, Blake Shelton</t>
  </si>
  <si>
    <t>Desesperados</t>
  </si>
  <si>
    <t>Chencho Corleone, Rauw Alejandro</t>
  </si>
  <si>
    <t>Too Late</t>
  </si>
  <si>
    <t>Party</t>
  </si>
  <si>
    <t>Bad Bunny, Rauw Alejandro</t>
  </si>
  <si>
    <t>Chuck Berry</t>
  </si>
  <si>
    <t>Jingle Bells - Remastered 1999</t>
  </si>
  <si>
    <t>Frank Sinatra</t>
  </si>
  <si>
    <t>Far</t>
  </si>
  <si>
    <t>On Time (with John Legend)</t>
  </si>
  <si>
    <t>John Legend, Metro Boomin</t>
  </si>
  <si>
    <t>GAT√Ø¬ø¬Ω√Ø¬ø¬Ω</t>
  </si>
  <si>
    <t>Maldy, Karol G</t>
  </si>
  <si>
    <t>√Ω√Ω√Ωabcdefu</t>
  </si>
  <si>
    <t>Gayle</t>
  </si>
  <si>
    <t>Is There Someone Else?</t>
  </si>
  <si>
    <t>Fingers Crossed</t>
  </si>
  <si>
    <t>Lauren Spencer Smith, Lauren Spencer Smith, Lauren Spencer Smith</t>
  </si>
  <si>
    <t>Do It To It</t>
  </si>
  <si>
    <t>Cherish, ACRAZE</t>
  </si>
  <si>
    <t>We Don't Talk About Bruno</t>
  </si>
  <si>
    <t>Adassa, Mauro Castillo, Stephanie Beatriz, Encanto - Cast, Rhenzy Feliz, Diane Guerrero, Carolina Gaitan</t>
  </si>
  <si>
    <t>Pepas</t>
  </si>
  <si>
    <t>Farruko</t>
  </si>
  <si>
    <t>How Do I Make You Love Me?</t>
  </si>
  <si>
    <t>Gasoline</t>
  </si>
  <si>
    <t>Infinity</t>
  </si>
  <si>
    <t>Jaymes Young</t>
  </si>
  <si>
    <t>Less Than Zero</t>
  </si>
  <si>
    <t>Take My Breath</t>
  </si>
  <si>
    <t>good 4 u</t>
  </si>
  <si>
    <t>Here We Go√Ø¬ø¬Ω√Ø¬ø¬Ω√Ø¬ø¬Ω Again (feat. Tyler, the Cr</t>
  </si>
  <si>
    <t>The Weeknd, Tyler, The Creator</t>
  </si>
  <si>
    <t>Best Friends</t>
  </si>
  <si>
    <t>SZA, Doja Cat</t>
  </si>
  <si>
    <t>The Weeknd, Lil Wayne</t>
  </si>
  <si>
    <t>Need To Know</t>
  </si>
  <si>
    <t>love nwantiti (ah ah ah)</t>
  </si>
  <si>
    <t>Ckay</t>
  </si>
  <si>
    <t>Dawn FM</t>
  </si>
  <si>
    <t>Surface Pressure</t>
  </si>
  <si>
    <t>Jessica Darrow</t>
  </si>
  <si>
    <t>Starry Eyes</t>
  </si>
  <si>
    <t>THATS WHAT I WANT</t>
  </si>
  <si>
    <t>The Weeknd, Post Malone</t>
  </si>
  <si>
    <t>Beggin</t>
  </si>
  <si>
    <t>M√Ø¬ø¬Ω√Ø¬ø¬Ωne</t>
  </si>
  <si>
    <t>Mon Amour - Remix</t>
  </si>
  <si>
    <t>Aitana, zzoilo</t>
  </si>
  <si>
    <t>Lo Siento BB:/ (with Bad Bunny &amp; Julieta Venegas)</t>
  </si>
  <si>
    <t>Julieta Venegas, Bad Bunny, Tainy</t>
  </si>
  <si>
    <t>MONEY</t>
  </si>
  <si>
    <t>Lisa</t>
  </si>
  <si>
    <t>The Motto</t>
  </si>
  <si>
    <t>Ti√Ø¬ø¬Ω√Ø¬ø¬Ωsto, Ava</t>
  </si>
  <si>
    <t>Happier Than Ever</t>
  </si>
  <si>
    <t>Moth To A Flame (with The Weeknd)</t>
  </si>
  <si>
    <t>The Weeknd, Swedish House Mafia</t>
  </si>
  <si>
    <t>traitor</t>
  </si>
  <si>
    <t>Juan Cruz Toledo, Huilen Toledo</t>
  </si>
  <si>
    <t>Toxic</t>
  </si>
  <si>
    <t>BoyWithUke</t>
  </si>
  <si>
    <t>drivers license</t>
  </si>
  <si>
    <t>Malvad√Ø¬ø¬Ω√Ø¬ø</t>
  </si>
  <si>
    <t>Xam√Ø¬ø¬Ω√Ø¬ø¬Ω, Gustah, Neo B</t>
  </si>
  <si>
    <t>All Too Well (10 Minute Version) (Taylor's Version) (From The Vault)</t>
  </si>
  <si>
    <t>Don√Ø¬ø¬Ω√Ø¬ø¬Ω√Ø¬ø¬Ωt Break My</t>
  </si>
  <si>
    <t>Oh My God</t>
  </si>
  <si>
    <t>Entre Nosotros (Remix) [con Nicki Nicole]</t>
  </si>
  <si>
    <t>Lit Killah, Maria Becerra, Tiago pzk, NICKI NICOLE</t>
  </si>
  <si>
    <t>A Tale By Quincy</t>
  </si>
  <si>
    <t>I AM WOMAN</t>
  </si>
  <si>
    <t>Emmy Meli</t>
  </si>
  <si>
    <t>Justin Quiles, Lenny Tav√Ø¬ø¬Ω√Ø¬ø¬Ωrez, BL</t>
  </si>
  <si>
    <t>It'll Be Okay</t>
  </si>
  <si>
    <t>Shawn Mendes</t>
  </si>
  <si>
    <t>Softcore</t>
  </si>
  <si>
    <t>Super Gremlin</t>
  </si>
  <si>
    <t>Kodak Black</t>
  </si>
  <si>
    <t>Aventura, Bad Bunny</t>
  </si>
  <si>
    <t>Todo De Ti</t>
  </si>
  <si>
    <t>Rauw Alejandro</t>
  </si>
  <si>
    <t>Love Nwantiti - Remix</t>
  </si>
  <si>
    <t>Ckay, AX'EL, Dj Yo!</t>
  </si>
  <si>
    <t>Bruno Mars, Anderson .Paak, Silk Sonic</t>
  </si>
  <si>
    <t>Meet Me At Our Spot</t>
  </si>
  <si>
    <t>THE ANXIETY, Willow, Tyler Cole</t>
  </si>
  <si>
    <t>Every Angel is Terrifying</t>
  </si>
  <si>
    <t>Sebastian Yatra</t>
  </si>
  <si>
    <t>Peaches (feat. Daniel Caesar &amp; Giveon)</t>
  </si>
  <si>
    <t>Justin Bieber, Daniel Caesar, Giveon</t>
  </si>
  <si>
    <t>Dakiti</t>
  </si>
  <si>
    <t>Bizarrap, Tiago pzk</t>
  </si>
  <si>
    <t>L√Ø¬ø¬Ω√Ø¬ø¬Ω√Ø¬ø</t>
  </si>
  <si>
    <t>Stromae</t>
  </si>
  <si>
    <t>Nost√Ø¬ø¬Ω√Ø¬ø¬Ωl</t>
  </si>
  <si>
    <t>Chris Brown, Rvssian, Rauw Alejandro</t>
  </si>
  <si>
    <t>Better Days (NEIKED x Mae Muller x Polo G)</t>
  </si>
  <si>
    <t>NEIKED, Mae Muller, Polo G</t>
  </si>
  <si>
    <t>Life Goes On</t>
  </si>
  <si>
    <t>Oliver Tree</t>
  </si>
  <si>
    <t>Sad Girlz Luv Money Remix (feat. Kali Uchis)</t>
  </si>
  <si>
    <t>Kali Uchis, Amaarae, Moliy</t>
  </si>
  <si>
    <t>Butter</t>
  </si>
  <si>
    <t>pushin P (feat. Young Thug)</t>
  </si>
  <si>
    <t>Young Thug, Future, Gunna</t>
  </si>
  <si>
    <t>You Right</t>
  </si>
  <si>
    <t>Doja Cat, The Weeknd</t>
  </si>
  <si>
    <t>deja vu</t>
  </si>
  <si>
    <t>TO THE MOON</t>
  </si>
  <si>
    <t>Jnr Choi</t>
  </si>
  <si>
    <t>Lost in the Fire</t>
  </si>
  <si>
    <t>Trueno, Tiago pzk</t>
  </si>
  <si>
    <t>Volando - Remix</t>
  </si>
  <si>
    <t>Sech, Bad Bunny, Mora</t>
  </si>
  <si>
    <t>Knife Talk (with 21 Savage ft. Project Pat)</t>
  </si>
  <si>
    <t>Drake, Project Pat, 21 Savage</t>
  </si>
  <si>
    <t>Don't Be Shy</t>
  </si>
  <si>
    <t>Ti√Ø¬ø¬Ω√Ø¬ø¬Ωsto, Kar</t>
  </si>
  <si>
    <t>Edison Lighthouse</t>
  </si>
  <si>
    <t>BPM110KeyAModeMajorDanceability53Valence75Energy69Acousticness7Instrumentalness0Liveness17Speechiness3</t>
  </si>
  <si>
    <t>LA FAMA (with The Weeknd)</t>
  </si>
  <si>
    <t>The Weeknd, ROSAL√Ø¬ø¬Ω</t>
  </si>
  <si>
    <t>The Family Madrigal</t>
  </si>
  <si>
    <t>Olga Merediz, Stephanie Beatriz, Encanto - Cast</t>
  </si>
  <si>
    <t>Phantom Regret by Jim</t>
  </si>
  <si>
    <t>Dos Oruguitas</t>
  </si>
  <si>
    <t>Freaks</t>
  </si>
  <si>
    <t>Surf Curse</t>
  </si>
  <si>
    <t>Acapulco</t>
  </si>
  <si>
    <t>Jason Derulo</t>
  </si>
  <si>
    <t>Daddy Issues</t>
  </si>
  <si>
    <t>thought i was playing</t>
  </si>
  <si>
    <t>21 Savage, Gunna</t>
  </si>
  <si>
    <t>ELEVEN</t>
  </si>
  <si>
    <t>24kgoldn, Iann Dior</t>
  </si>
  <si>
    <t>What Else Can I Do?</t>
  </si>
  <si>
    <t>Stephanie Beatriz, Diane Guerrero</t>
  </si>
  <si>
    <t>Trueno</t>
  </si>
  <si>
    <t>Miserable Man</t>
  </si>
  <si>
    <t>happier</t>
  </si>
  <si>
    <t>Praise God</t>
  </si>
  <si>
    <t>Kanye West</t>
  </si>
  <si>
    <t>Before You Go</t>
  </si>
  <si>
    <t>Sky</t>
  </si>
  <si>
    <t>Playboi Carti</t>
  </si>
  <si>
    <t>Rolling in the Deep</t>
  </si>
  <si>
    <t>Sobrio</t>
  </si>
  <si>
    <t>Maluma</t>
  </si>
  <si>
    <t>Peru</t>
  </si>
  <si>
    <t>Ed Sheeran, Fireboy DML</t>
  </si>
  <si>
    <t>favorite crime</t>
  </si>
  <si>
    <t>Thunder</t>
  </si>
  <si>
    <t>Prezioso, Gabry Ponte, LUM!X</t>
  </si>
  <si>
    <t>The Business</t>
  </si>
  <si>
    <t>Ti√Ø¬ø¬Ω√Ø¬ø</t>
  </si>
  <si>
    <t>positions</t>
  </si>
  <si>
    <t xml:space="preserve">Vai L√Ø¬ø¬Ω√Ø¬ø¬Ω Em Casa </t>
  </si>
  <si>
    <t>Mar√Ø¬ø¬Ω√Ø¬ø¬Ωlia Mendon√Ø¬ø¬Ω√Ø¬ø¬Ωa, George Henrique &amp;</t>
  </si>
  <si>
    <t>TWICE</t>
  </si>
  <si>
    <t>HEARTBREAK ANNIVERSARY</t>
  </si>
  <si>
    <t>Giveon</t>
  </si>
  <si>
    <t>No Lie</t>
  </si>
  <si>
    <t>Sean Paul, Dua Lipa</t>
  </si>
  <si>
    <t>Charli XCX, Jax Jones, Joel Corry, Saweetie</t>
  </si>
  <si>
    <t>Pope Is a Rockstar</t>
  </si>
  <si>
    <t>SALES</t>
  </si>
  <si>
    <t>Sleepy hallow</t>
  </si>
  <si>
    <t>Bored</t>
  </si>
  <si>
    <t>Happier Than Ever - Edit</t>
  </si>
  <si>
    <t>Astronaut In The Ocean</t>
  </si>
  <si>
    <t>Masked Wolf</t>
  </si>
  <si>
    <t>Ley Seca</t>
  </si>
  <si>
    <t>Anuel Aa, Jhay Cortez</t>
  </si>
  <si>
    <t>NIKI</t>
  </si>
  <si>
    <t>Talking To The Moon</t>
  </si>
  <si>
    <t>you broke me first</t>
  </si>
  <si>
    <t>Tate McRae</t>
  </si>
  <si>
    <t>The Nights</t>
  </si>
  <si>
    <t>Avicii</t>
  </si>
  <si>
    <t>Way 2 Sexy (with Future &amp; Young Thug)</t>
  </si>
  <si>
    <t>Drake, Future, Young Thug</t>
  </si>
  <si>
    <t>C√Ø¬ø¬Ω√Ø¬ø¬Ω</t>
  </si>
  <si>
    <t>Enemy - from the series Arcane League of Legends</t>
  </si>
  <si>
    <t>Imagine Dragons, League of Legends, Arcane</t>
  </si>
  <si>
    <t>Dance Monkey</t>
  </si>
  <si>
    <t>Tones and I</t>
  </si>
  <si>
    <t>Lucid Dreams</t>
  </si>
  <si>
    <t>Juice WRLD</t>
  </si>
  <si>
    <t>J Balvin, Maria Becerra</t>
  </si>
  <si>
    <t>All of Me</t>
  </si>
  <si>
    <t>John Legend</t>
  </si>
  <si>
    <t>Nirvana</t>
  </si>
  <si>
    <t>Arcade</t>
  </si>
  <si>
    <t>Duncan Laurence</t>
  </si>
  <si>
    <t>Fair Trade (with Travis Scott)</t>
  </si>
  <si>
    <t>Drake, Travis Scott</t>
  </si>
  <si>
    <t>Bar</t>
  </si>
  <si>
    <t>Tini, L-Gante</t>
  </si>
  <si>
    <t>The Rumbling (TV Size)</t>
  </si>
  <si>
    <t>SiM</t>
  </si>
  <si>
    <t>family ties (with Kendrick Lamar)</t>
  </si>
  <si>
    <t>Kendrick Lamar, Baby Keem</t>
  </si>
  <si>
    <t>Mr. Brightside</t>
  </si>
  <si>
    <t>The Killers</t>
  </si>
  <si>
    <t>Blessed-Cursed</t>
  </si>
  <si>
    <t>J Balvin, Nio Garcia, Bad Bunny</t>
  </si>
  <si>
    <t>Streets</t>
  </si>
  <si>
    <t>Shallow</t>
  </si>
  <si>
    <t>Lady Gaga, Bradley Cooper</t>
  </si>
  <si>
    <t>Polaroid Love</t>
  </si>
  <si>
    <t>Leave Before You Love Me (with Jonas Brothers)</t>
  </si>
  <si>
    <t>Marshmello, Jonas Brothers</t>
  </si>
  <si>
    <t>Permission to Dance</t>
  </si>
  <si>
    <t>Riton, Nightcrawlers, Mufasa &amp; Hypeman, Dopamine</t>
  </si>
  <si>
    <t>RAPSTAR</t>
  </si>
  <si>
    <t>Polo G</t>
  </si>
  <si>
    <t>'Till I Collapse</t>
  </si>
  <si>
    <t>Eminem, Nate Dogg</t>
  </si>
  <si>
    <t>Memories</t>
  </si>
  <si>
    <t>Maroon 5</t>
  </si>
  <si>
    <t>Se Le Ve</t>
  </si>
  <si>
    <t>Arcangel, De La Ghetto, Justin Quiles, Lenny Tav√Ø¬ø¬Ω√Ø¬ø¬Ωrez, Sech, Dalex, Dimelo Flow, Rich Music</t>
  </si>
  <si>
    <t>Gunna, Lil Baby</t>
  </si>
  <si>
    <t xml:space="preserve">When I√Ø¬ø¬Ω√Ø¬ø¬Ω√Ø¬ø¬Ωm Gone (with Katy </t>
  </si>
  <si>
    <t>Katy Perry, Alesso</t>
  </si>
  <si>
    <t>Esque√Ø¬ø¬Ω√Ø¬ø¬Ωa-Me Se For C</t>
  </si>
  <si>
    <t>Mar√Ø¬ø¬Ω√Ø¬ø¬Ωlia Mendon√Ø¬ø¬Ω√Ø¬ø¬Ωa, Maiara &amp;</t>
  </si>
  <si>
    <t>Tini, Maria Becerra</t>
  </si>
  <si>
    <t>Anuel Aa, Myke Towers, Jhay Cortez</t>
  </si>
  <si>
    <t>Karol G, Becky G</t>
  </si>
  <si>
    <t>Still D.R.E.</t>
  </si>
  <si>
    <t>Dr. Dre, Snoop Dogg</t>
  </si>
  <si>
    <t>Stay Alive (Prod. SUGA of BTS)</t>
  </si>
  <si>
    <t>Boyfriend</t>
  </si>
  <si>
    <t>Dove Cameron</t>
  </si>
  <si>
    <t>The Joker And The Queen (feat. Taylor Swift)</t>
  </si>
  <si>
    <t>Ed Sheeran, Taylor Swift</t>
  </si>
  <si>
    <t>The Next Episode</t>
  </si>
  <si>
    <t>Charlie Puth</t>
  </si>
  <si>
    <t>City of Gods</t>
  </si>
  <si>
    <t>Kanye West, Alicia Keys, Fivio Foreign</t>
  </si>
  <si>
    <t>Brividi</t>
  </si>
  <si>
    <t>Mahmood, Blanco</t>
  </si>
  <si>
    <t>Lost</t>
  </si>
  <si>
    <t>50 Cent</t>
  </si>
  <si>
    <t>she's all i wanna be</t>
  </si>
  <si>
    <t>Ginseng Strip 2002</t>
  </si>
  <si>
    <t>Yung Lean</t>
  </si>
  <si>
    <t>All For Us - from the HBO Original Series Euphoria</t>
  </si>
  <si>
    <t>Labrinth, Zendaya</t>
  </si>
  <si>
    <t>Notion</t>
  </si>
  <si>
    <t>The Rare Occasions</t>
  </si>
  <si>
    <t>Formula</t>
  </si>
  <si>
    <t>Mount Everest</t>
  </si>
  <si>
    <t>Excuses</t>
  </si>
  <si>
    <t>Intense, AP Dhillon, Gurinder Gill</t>
  </si>
  <si>
    <t>Cigarettes</t>
  </si>
  <si>
    <t>Quevedo, La Pantera, Juseph, Cruz Cafun√Ø¬ø¬Ω√Ø¬ø¬Ω, B√Ø¬ø¬Ω√Ø¬ø¬Ωjo, Abhir Hathi</t>
  </si>
  <si>
    <t>Dr. Dre, 2Pac, Roger</t>
  </si>
  <si>
    <t>Forgot About Dre</t>
  </si>
  <si>
    <t>Eminem, Dr. Dre</t>
  </si>
  <si>
    <t>Down Under (feat. Colin Hay)</t>
  </si>
  <si>
    <t>Luude, Colin Hay</t>
  </si>
  <si>
    <t>Ryan Castro</t>
  </si>
  <si>
    <t>HUMBLE.</t>
  </si>
  <si>
    <t>Kendrick Lamar</t>
  </si>
  <si>
    <t>Stan</t>
  </si>
  <si>
    <t>Eminem, Dido</t>
  </si>
  <si>
    <t>GODZZ__-, Zakaria</t>
  </si>
  <si>
    <t>Swim</t>
  </si>
  <si>
    <t>Chase Atlantic</t>
  </si>
  <si>
    <t>Numb Little Bug</t>
  </si>
  <si>
    <t>Em Beihold</t>
  </si>
  <si>
    <t>Mainstreet, Chefin</t>
  </si>
  <si>
    <t>Problem√Ø¬ø¬Ω</t>
  </si>
  <si>
    <t>Alvaro Diaz, Rauw Alejandro</t>
  </si>
  <si>
    <t>Nicki Minaj, Lil Baby</t>
  </si>
  <si>
    <t>Worst Day</t>
  </si>
  <si>
    <t>Future</t>
  </si>
  <si>
    <t>Z√Ø¬ø¬Ω√Ø¬ø¬Ω Fe</t>
  </si>
  <si>
    <t>Hrs and Hrs</t>
  </si>
  <si>
    <t>Muni Long</t>
  </si>
  <si>
    <t>Alien Blues</t>
  </si>
  <si>
    <t>Vundabar</t>
  </si>
  <si>
    <t>Thinking Out Loud</t>
  </si>
  <si>
    <t>Still Don't Know My Name</t>
  </si>
  <si>
    <t>Christmas Tree</t>
  </si>
  <si>
    <t>V</t>
  </si>
  <si>
    <t>Mal Feito - Ao Vivo</t>
  </si>
  <si>
    <t>Mar√Ø¬ø¬Ω√Ø¬ø¬Ωlia Mendon√Ø¬ø¬Ω√Ø¬ø¬Ωa, Hugo &amp; G</t>
  </si>
  <si>
    <t>When I R.I.P.</t>
  </si>
  <si>
    <t>Do We Have A Problem?</t>
  </si>
  <si>
    <t>Forever</t>
  </si>
  <si>
    <t>Gospel (with Eminem)</t>
  </si>
  <si>
    <t>Shawn Mendes, Camila Cabello</t>
  </si>
  <si>
    <t>NEW MAGIC WAND</t>
  </si>
  <si>
    <t>Adore You</t>
  </si>
  <si>
    <t>La Santa</t>
  </si>
  <si>
    <t>Daddy Yankee, Bad Bunny</t>
  </si>
  <si>
    <t>Something In The Way - Remastered 2021</t>
  </si>
  <si>
    <t>Sweetest Pie</t>
  </si>
  <si>
    <t>Dua Lipa, Megan Thee Stallion</t>
  </si>
  <si>
    <t>Camila Cabello, Ed Sheeran</t>
  </si>
  <si>
    <t>Cris Mj</t>
  </si>
  <si>
    <t>Envolver</t>
  </si>
  <si>
    <t>Anitta</t>
  </si>
  <si>
    <t>Starlight</t>
  </si>
  <si>
    <t>Dave</t>
  </si>
  <si>
    <t>Hati-Hati di Jalan</t>
  </si>
  <si>
    <t>Tulus</t>
  </si>
  <si>
    <t>I'm Tired - From "Euphoria" An Original HBO Series</t>
  </si>
  <si>
    <t>DAN√Ø¬ø¬Ω√Ø¬ø¬ΩA</t>
  </si>
  <si>
    <t>Mc Pedrinho, Pedro Sampaio</t>
  </si>
  <si>
    <t>Yo Voy (feat. Daddy Yankee)</t>
  </si>
  <si>
    <t>Zion &amp; Lennox</t>
  </si>
  <si>
    <t>Residente: Bzrp Music Sessions, Vol. 49</t>
  </si>
  <si>
    <t>Residente, Bizarrap</t>
  </si>
  <si>
    <t>Nail Tech</t>
  </si>
  <si>
    <t>Jack Harlow</t>
  </si>
  <si>
    <t>Chale</t>
  </si>
  <si>
    <t>Eden Mu√Ø¬ø¬Ω√Ø</t>
  </si>
  <si>
    <t>DARARI</t>
  </si>
  <si>
    <t>Treasure</t>
  </si>
  <si>
    <t>Ya No Somos Ni Seremos</t>
  </si>
  <si>
    <t>Christian Nodal</t>
  </si>
  <si>
    <t>Thinking with My Dick</t>
  </si>
  <si>
    <t>Kevin Gates, Juicy J</t>
  </si>
  <si>
    <t>Freaky Deaky</t>
  </si>
  <si>
    <t>Tyga, Doja Cat</t>
  </si>
  <si>
    <t>this is what falling in love feels like</t>
  </si>
  <si>
    <t>Bohemian Rhapsody - Remastered 2011</t>
  </si>
  <si>
    <t>Queen</t>
  </si>
  <si>
    <t>Hope</t>
  </si>
  <si>
    <t>Wake Me Up - Radio Edit</t>
  </si>
  <si>
    <t>Mon√Ø¬ø¬Ω√Ø¬ø¬Ωy so</t>
  </si>
  <si>
    <t>YEAT</t>
  </si>
  <si>
    <t>Demasiadas Mujeres</t>
  </si>
  <si>
    <t>C. Tangana</t>
  </si>
  <si>
    <t>Something Just Like This</t>
  </si>
  <si>
    <t>The Chainsmokers, Coldplay</t>
  </si>
  <si>
    <t>Closer</t>
  </si>
  <si>
    <t>The Chainsmokers, Halsey</t>
  </si>
  <si>
    <t>O.O</t>
  </si>
  <si>
    <t>NMIXX</t>
  </si>
  <si>
    <t>Gotye, Kimbra</t>
  </si>
  <si>
    <t>Tom's Diner</t>
  </si>
  <si>
    <t>AnnenMayKantereit, Giant Rooks</t>
  </si>
  <si>
    <t>First Class</t>
  </si>
  <si>
    <t>Plan A</t>
  </si>
  <si>
    <t>Paulo Londra</t>
  </si>
  <si>
    <t>Fuera del mercado</t>
  </si>
  <si>
    <t>Danny Ocean</t>
  </si>
  <si>
    <t>X √Ø¬ø¬Ω√Ø¬ø¬ΩLTIMA</t>
  </si>
  <si>
    <t>When You're Gone</t>
  </si>
  <si>
    <t>In My Head</t>
  </si>
  <si>
    <t>Lil Tjay</t>
  </si>
  <si>
    <t>Wait a Minute!</t>
  </si>
  <si>
    <t>Willow</t>
  </si>
  <si>
    <t>LOVE DIVE</t>
  </si>
  <si>
    <t>Pantysito</t>
  </si>
  <si>
    <t>Feid, Alejo, Robi</t>
  </si>
  <si>
    <t>Chance</t>
  </si>
  <si>
    <t>Cool for the Summer</t>
  </si>
  <si>
    <t>Demi Lovato</t>
  </si>
  <si>
    <t>psychofreak (feat. WILLOW)</t>
  </si>
  <si>
    <t>Camila Cabello, Willow</t>
  </si>
  <si>
    <t>Angel Baby</t>
  </si>
  <si>
    <t>Vampiro</t>
  </si>
  <si>
    <t xml:space="preserve">Matu√Ø¬ø¬Ω√Ø¬ø¬Ω, Wiu, </t>
  </si>
  <si>
    <t>Si Quieren Frontear</t>
  </si>
  <si>
    <t>De La Ghetto, Duki, Quevedo</t>
  </si>
  <si>
    <t>Right On</t>
  </si>
  <si>
    <t>Lil Baby</t>
  </si>
  <si>
    <t>Ak4:20, Cris Mj, Pailita</t>
  </si>
  <si>
    <t>That's Hilarious</t>
  </si>
  <si>
    <t>Soy El Unico</t>
  </si>
  <si>
    <t>Yahritza Y Su Esencia</t>
  </si>
  <si>
    <t>sentaDONA (Remix) s2</t>
  </si>
  <si>
    <t>Lu√Ø¬ø¬Ω√Ø¬ø¬Ωsa Sonza, MC Frog, Dj Gabriel do Borel, Davi K</t>
  </si>
  <si>
    <t>Falling</t>
  </si>
  <si>
    <t>Sigue</t>
  </si>
  <si>
    <t>Ed Sheeran, J Balvin</t>
  </si>
  <si>
    <t>Fim de Semana no Rio</t>
  </si>
  <si>
    <t>teto</t>
  </si>
  <si>
    <t>Blackbear, BoyWithUke</t>
  </si>
  <si>
    <t>Golden</t>
  </si>
  <si>
    <t>Pharrell Williams, Nile Rodgers, Daft Punk</t>
  </si>
  <si>
    <t>Ain't Shit</t>
  </si>
  <si>
    <t>Jordan Fisher, Josh Levi, Finneas O'Connell, 4*TOWN (From Disney and Pixar√Ø¬ø¬Ω√Ø¬ø¬Ω√Ø¬ø¬Ωs Turning Red), Topher Ngo, Grayson Vill</t>
  </si>
  <si>
    <t>Still Life</t>
  </si>
  <si>
    <t>BIGBANG</t>
  </si>
  <si>
    <t>Photograph</t>
  </si>
  <si>
    <t>Love Yourself</t>
  </si>
  <si>
    <t>N95</t>
  </si>
  <si>
    <t>Die Hard</t>
  </si>
  <si>
    <t>Kendrick Lamar, Blxst, Amanda Reifer</t>
  </si>
  <si>
    <t>Despu√Ø¬ø¬Ω√Ø¬ø¬Ωs de la P</t>
  </si>
  <si>
    <t>Un Ratito</t>
  </si>
  <si>
    <t>United In Grief</t>
  </si>
  <si>
    <t>Father Time (feat. Sampha)</t>
  </si>
  <si>
    <t>Kendrick Lamar, Sampha</t>
  </si>
  <si>
    <t>Rich Spirit</t>
  </si>
  <si>
    <t>Cooped Up (with Roddy Ricch)</t>
  </si>
  <si>
    <t>Post Malone, Roddy Ricch</t>
  </si>
  <si>
    <t>Me Fui de Vacaciones</t>
  </si>
  <si>
    <t>Kendrick Lamar, Kodak Black</t>
  </si>
  <si>
    <t>La Corriente</t>
  </si>
  <si>
    <t>Tony Dize, Bad Bunny</t>
  </si>
  <si>
    <t>Count Me Out</t>
  </si>
  <si>
    <t>Andrea</t>
  </si>
  <si>
    <t>Buscabulla, Bad Bunny</t>
  </si>
  <si>
    <t>Dos Mil 16</t>
  </si>
  <si>
    <t>We Cry Together</t>
  </si>
  <si>
    <t>Kendrick Lamar, Taylour Paige</t>
  </si>
  <si>
    <t>Savior</t>
  </si>
  <si>
    <t>Kendrick Lamar, Sam Dew, Baby Keem</t>
  </si>
  <si>
    <t>Otro Atardecer</t>
  </si>
  <si>
    <t>Bad Bunny, The Mar√Ø¬ø¬Ω√Ø</t>
  </si>
  <si>
    <t>Worldwide Steppers</t>
  </si>
  <si>
    <t>Aguacero</t>
  </si>
  <si>
    <t>Kendrick Lamar, Ghostface Killah, Summer Walker</t>
  </si>
  <si>
    <t>Un Verano Sin Ti</t>
  </si>
  <si>
    <t>ULTRA SOLO</t>
  </si>
  <si>
    <t>Polima WestCoast, Pailita</t>
  </si>
  <si>
    <t>El Apag√Ø¬ø¬Ω</t>
  </si>
  <si>
    <t>Callaita</t>
  </si>
  <si>
    <t>Bad Bunny, Tainy</t>
  </si>
  <si>
    <t>House Of Memories</t>
  </si>
  <si>
    <t>Panic! At The Disco</t>
  </si>
  <si>
    <t>Mr. Morale</t>
  </si>
  <si>
    <t>Kendrick Lamar, Tanna Leone</t>
  </si>
  <si>
    <t>PSY, Suga</t>
  </si>
  <si>
    <t>In The Stars</t>
  </si>
  <si>
    <t>Benson Boone</t>
  </si>
  <si>
    <t>Rich - Interlude</t>
  </si>
  <si>
    <t>Stefania (Kalush Orchestra)</t>
  </si>
  <si>
    <t>KALUSH</t>
  </si>
  <si>
    <t>Thousand Miles</t>
  </si>
  <si>
    <t>Crown</t>
  </si>
  <si>
    <t>Auntie Diaries</t>
  </si>
  <si>
    <t>PUFFIN ON ZOOTIEZ</t>
  </si>
  <si>
    <t>Mirror</t>
  </si>
  <si>
    <t>Beautiful Girl</t>
  </si>
  <si>
    <t>Luciano</t>
  </si>
  <si>
    <t>Paulo Londra: Bzrp Music Sessions, Vol. 23</t>
  </si>
  <si>
    <t>Bizarrap, Paulo Londra</t>
  </si>
  <si>
    <t>Savior - Interlude</t>
  </si>
  <si>
    <t>Pasoori</t>
  </si>
  <si>
    <t>Shae Gill, Ali Sethi</t>
  </si>
  <si>
    <t>Mother I Sober (feat. Beth Gibbons of Portishead)</t>
  </si>
  <si>
    <t>Kendrick Lamar, Beth Gibbons</t>
  </si>
  <si>
    <t>TUS L√Ø¬ø¬Ω√Ø¬ø¬ΩGR</t>
  </si>
  <si>
    <t>Sech, Mora</t>
  </si>
  <si>
    <t>Where Did You Go?</t>
  </si>
  <si>
    <t>MNEK, Jax Jones</t>
  </si>
  <si>
    <t>I Tried to Tell Y'all</t>
  </si>
  <si>
    <t>Ugly Dray, Tesla Jnr</t>
  </si>
  <si>
    <t>Justin Bieber, Don Toliver</t>
  </si>
  <si>
    <t>ZOOM</t>
  </si>
  <si>
    <t>Jessi</t>
  </si>
  <si>
    <t>SloMo</t>
  </si>
  <si>
    <t>FEARLESS</t>
  </si>
  <si>
    <t>10 Things I Hate About You</t>
  </si>
  <si>
    <t>Leah Kate</t>
  </si>
  <si>
    <t>SPACE MAN</t>
  </si>
  <si>
    <t>Sam Ryder</t>
  </si>
  <si>
    <t>With you</t>
  </si>
  <si>
    <t>HA SUNG WOON, Jimin</t>
  </si>
  <si>
    <t>Iris</t>
  </si>
  <si>
    <t>The Goo Goo Dolls</t>
  </si>
  <si>
    <t>San Lucas</t>
  </si>
  <si>
    <t>Kevin Kaarl</t>
  </si>
  <si>
    <t>This Love (Taylor√Ø¬ø¬Ω√Ø¬ø¬Ω√Ø¬ø¬Ωs Ve</t>
  </si>
  <si>
    <t>Good Looking</t>
  </si>
  <si>
    <t>Suki Waterhouse</t>
  </si>
  <si>
    <t>Lauren Spencer Smith</t>
  </si>
  <si>
    <t>Yet To Come</t>
  </si>
  <si>
    <t>Run BTS</t>
  </si>
  <si>
    <t>Music For a Sushi Restaurant</t>
  </si>
  <si>
    <t>Matilda</t>
  </si>
  <si>
    <t>For Youth</t>
  </si>
  <si>
    <t>Cash In Cash Out</t>
  </si>
  <si>
    <t>Pharrell Williams, Tyler, The Creator, 21 Savage</t>
  </si>
  <si>
    <t>Calvin Harris, Dua Lipa, Young Thug</t>
  </si>
  <si>
    <t>Born Singer</t>
  </si>
  <si>
    <t>Little Freak</t>
  </si>
  <si>
    <t>Nengo Flow, Anuel Aa, Chris Jedi, Chencho Corleone</t>
  </si>
  <si>
    <t>True Love</t>
  </si>
  <si>
    <t>Kanye West, XXXTENTACION</t>
  </si>
  <si>
    <t>Satellite</t>
  </si>
  <si>
    <t>Musical Youth</t>
  </si>
  <si>
    <t>Villano Antillano: Bzrp Music Sessions, Vol. 51</t>
  </si>
  <si>
    <t>Bizarrap, Villano Antillano</t>
  </si>
  <si>
    <t>Love Of My Life</t>
  </si>
  <si>
    <t>So Good</t>
  </si>
  <si>
    <t>Halsey</t>
  </si>
  <si>
    <t>Belly Dancer</t>
  </si>
  <si>
    <t>BYOR, Imanbek</t>
  </si>
  <si>
    <t>Keep Driving</t>
  </si>
  <si>
    <t>Die Young (feat. 347aidan)</t>
  </si>
  <si>
    <t>Sleepy hallow, 347aidan</t>
  </si>
  <si>
    <t>Only Love Can Hurt Like This</t>
  </si>
  <si>
    <t>Paloma Faith</t>
  </si>
  <si>
    <t>Hold My Hand</t>
  </si>
  <si>
    <t>Marshmello, Khalid</t>
  </si>
  <si>
    <t>Nos Comemos (feat. Ozuna)</t>
  </si>
  <si>
    <t>Ozuna, Tiago pzk</t>
  </si>
  <si>
    <t>Me and Your Mama</t>
  </si>
  <si>
    <t>Childish Gambino</t>
  </si>
  <si>
    <t>Crazy What Love Can Do</t>
  </si>
  <si>
    <t>David Guetta, Ella Henderson, Becky Hill</t>
  </si>
  <si>
    <t>SLOW DANCING IN THE DARK</t>
  </si>
  <si>
    <t>Antes de Perderte</t>
  </si>
  <si>
    <t>Duki</t>
  </si>
  <si>
    <t>Boyfriends</t>
  </si>
  <si>
    <t>Sidhu Moose Wala</t>
  </si>
  <si>
    <t>Tak Ingin Usai</t>
  </si>
  <si>
    <t>Keisya Levronka</t>
  </si>
  <si>
    <t>Victor Cibrian</t>
  </si>
  <si>
    <t>Master of Puppets (Remastered)</t>
  </si>
  <si>
    <t>Metallica</t>
  </si>
  <si>
    <t>ULTRA SOLO REMIX</t>
  </si>
  <si>
    <t>De La Ghetto, Feid, Polima WestCoast, Paloma Mami, Pailita</t>
  </si>
  <si>
    <t>Massive</t>
  </si>
  <si>
    <t>Betty (Get Money)</t>
  </si>
  <si>
    <t>Yung Gravy</t>
  </si>
  <si>
    <t>Lasso</t>
  </si>
  <si>
    <t>POP!</t>
  </si>
  <si>
    <t>Nayeon</t>
  </si>
  <si>
    <t>Layla</t>
  </si>
  <si>
    <t>Sch√Ø¬ø¬Ω√Ø¬ø¬Ωrze, DJ R</t>
  </si>
  <si>
    <t>MORE</t>
  </si>
  <si>
    <t>j-hope</t>
  </si>
  <si>
    <t>Sweet Child O' Mine</t>
  </si>
  <si>
    <t>Guns N' Roses</t>
  </si>
  <si>
    <t>Last Last</t>
  </si>
  <si>
    <t>Burna Boy</t>
  </si>
  <si>
    <t>Sticky</t>
  </si>
  <si>
    <t>Hot Shit (feat. Ye &amp; Lil Durk)</t>
  </si>
  <si>
    <t>Kanye West, Lil Durk, Cardi B</t>
  </si>
  <si>
    <t>L7nnon, DJ Biel do Furduncinho, Bianca</t>
  </si>
  <si>
    <t>Anitta, Tini, Becky G</t>
  </si>
  <si>
    <t>die first</t>
  </si>
  <si>
    <t>Nessa Barrett</t>
  </si>
  <si>
    <t>Afraid To Feel</t>
  </si>
  <si>
    <t>LF System</t>
  </si>
  <si>
    <t>Baile no Morro</t>
  </si>
  <si>
    <t>Mc Vitin Da Igrejinha, MC Tairon, DJ Win</t>
  </si>
  <si>
    <t>c√Ø¬ø¬Ω√Ø¬ø¬Ωmo dormi</t>
  </si>
  <si>
    <t>Rels B</t>
  </si>
  <si>
    <t>Snoop Dogg, BTS, Benny Blanco</t>
  </si>
  <si>
    <t>STAYING ALIVE (feat. Drake &amp; Lil Baby)</t>
  </si>
  <si>
    <t>Drake, DJ Khaled, Lil Baby</t>
  </si>
  <si>
    <t>Caile</t>
  </si>
  <si>
    <t>Luar La L</t>
  </si>
  <si>
    <t>Si Te La Encuentras Por Ah√Ø¬ø</t>
  </si>
  <si>
    <t>GIVENCHY</t>
  </si>
  <si>
    <t>ALIEN SUPERSTAR</t>
  </si>
  <si>
    <t>Mary On A Cross</t>
  </si>
  <si>
    <t>Attention</t>
  </si>
  <si>
    <t>Rex Orange County</t>
  </si>
  <si>
    <t>Come Back Home - From "Purple Hearts"</t>
  </si>
  <si>
    <t>Sofia Carson</t>
  </si>
  <si>
    <t>El Rescate</t>
  </si>
  <si>
    <t>Grupo Marca Registrada, Junior H</t>
  </si>
  <si>
    <t>Heartless</t>
  </si>
  <si>
    <t>Calvin Harris, Halsey, Pharrell Williams, Justin Timberlake</t>
  </si>
  <si>
    <t>Peso Pluma, Luis R Conriquez</t>
  </si>
  <si>
    <t>Luis R Conriquez, La Adictiva</t>
  </si>
  <si>
    <t>Don't You Worry</t>
  </si>
  <si>
    <t>David Guetta, Shakira, Black Eyed Peas</t>
  </si>
  <si>
    <t>Melody, Ana Castela, Dj Chris No Beat</t>
  </si>
  <si>
    <t>Hold Me Closer</t>
  </si>
  <si>
    <t>Elton John, Britney Spears</t>
  </si>
  <si>
    <t>Bound 2</t>
  </si>
  <si>
    <t>Interplanetary Criminal, Eliza Rose</t>
  </si>
  <si>
    <t>BILLIE EILISH.</t>
  </si>
  <si>
    <t>Armani White</t>
  </si>
  <si>
    <t>Ferxxo 100</t>
  </si>
  <si>
    <t>Oxlade</t>
  </si>
  <si>
    <t>Prohibidox</t>
  </si>
  <si>
    <t>Static</t>
  </si>
  <si>
    <t>The Scientist</t>
  </si>
  <si>
    <t>Sparks</t>
  </si>
  <si>
    <t>Talk</t>
  </si>
  <si>
    <t>XQ Te Pones As√Ø¬ø</t>
  </si>
  <si>
    <t>Selfish</t>
  </si>
  <si>
    <t>PnB Rock</t>
  </si>
  <si>
    <t>Ovy On The Drums, Quevedo</t>
  </si>
  <si>
    <t>Poland</t>
  </si>
  <si>
    <t>Lil Yachty</t>
  </si>
  <si>
    <t>THE LONELIEST</t>
  </si>
  <si>
    <t>Bye Bye</t>
  </si>
  <si>
    <t>Marshmello, Juice WRLD</t>
  </si>
  <si>
    <t>BABY OTAKU</t>
  </si>
  <si>
    <t>Fran C, Polima WestCoast, Nickoog Clk, Pablito Pesadilla</t>
  </si>
  <si>
    <t>Nxde</t>
  </si>
  <si>
    <t>Southstar</t>
  </si>
  <si>
    <t>we fell in love in october</t>
  </si>
  <si>
    <t>girl in red</t>
  </si>
  <si>
    <t>Celestial</t>
  </si>
  <si>
    <t>Typa Girl</t>
  </si>
  <si>
    <t>I Really Want to Stay at Your House</t>
  </si>
  <si>
    <t>Rosa Walton, Hallie Coggins</t>
  </si>
  <si>
    <t>California Breeze</t>
  </si>
  <si>
    <t>Luciano, Aitch, B√Ø¬ø¬Ω</t>
  </si>
  <si>
    <t>Casei Com a Putaria</t>
  </si>
  <si>
    <t>MC Ryan SP, Love Funk, Mc Paiva ZS</t>
  </si>
  <si>
    <t>Major Distribution</t>
  </si>
  <si>
    <t>Pussy &amp; Millions (feat. Travis Scott)</t>
  </si>
  <si>
    <t>Drake, Travis Scott, 21 Savage</t>
  </si>
  <si>
    <t>Vigilante Shit</t>
  </si>
  <si>
    <t>Question...?</t>
  </si>
  <si>
    <t>On BS</t>
  </si>
  <si>
    <t>Mastermind</t>
  </si>
  <si>
    <t>Circo Loco</t>
  </si>
  <si>
    <t>Labyrinth</t>
  </si>
  <si>
    <t>Spin Bout U</t>
  </si>
  <si>
    <t>Sweet Nothing</t>
  </si>
  <si>
    <t>Would've, Could've, Should've</t>
  </si>
  <si>
    <t>Con La Brisa</t>
  </si>
  <si>
    <t>Ludwig Goransson, Foudeqush</t>
  </si>
  <si>
    <t>Privileged Rappers</t>
  </si>
  <si>
    <t>The Astronaut</t>
  </si>
  <si>
    <t>Jin</t>
  </si>
  <si>
    <t>BackOutsideBoyz</t>
  </si>
  <si>
    <t>Broke Boys</t>
  </si>
  <si>
    <t>The Great War</t>
  </si>
  <si>
    <t>My Mind &amp; Me</t>
  </si>
  <si>
    <t>Selena Gomez</t>
  </si>
  <si>
    <t>Bigger Than The Whole Sky</t>
  </si>
  <si>
    <t>Feid, Paulo Londra</t>
  </si>
  <si>
    <t>En La De Ella</t>
  </si>
  <si>
    <t>Feid, Sech, Jhayco</t>
  </si>
  <si>
    <t>Alone</t>
  </si>
  <si>
    <t>Song Name</t>
  </si>
  <si>
    <t>Liveness</t>
  </si>
  <si>
    <t>Danceability</t>
  </si>
  <si>
    <t>Acousticness</t>
  </si>
  <si>
    <t>Description</t>
  </si>
  <si>
    <t>This dataset contains a comprehensive list of the most famous songs of 2023 as listed on Spotify. The dataset offers a wealth of features beyond what is typically available in similar datasets.</t>
  </si>
  <si>
    <t xml:space="preserve">It provides insights into each song's attributes, popularity, and presence on various music platforms. The dataset includes information such as track name, artist(s) name, release date, </t>
  </si>
  <si>
    <t>Spotify playlists and charts, streaming statistics, Apple Music presence, Deezer presence, Shazam charts, and various audio features.</t>
  </si>
  <si>
    <t>Key Features</t>
  </si>
  <si>
    <t>• track_name: Name of the song</t>
  </si>
  <si>
    <t>• artist_name: Name of the artist(s) of the song</t>
  </si>
  <si>
    <t>• num_artists: Number of artists contributing to the song</t>
  </si>
  <si>
    <t>• released_date: Date when the song was released</t>
  </si>
  <si>
    <t>• in_spotify_playlists: Number of Spotify playlists the song is included in</t>
  </si>
  <si>
    <t>• in_spotify_charts: Presence and rank of the song on Spotify charts</t>
  </si>
  <si>
    <t>• in_apple_playlists: Number of Apple Music playlists the song is included in</t>
  </si>
  <si>
    <t>• in_apple_charts: Presence and rank of the song on Apple Music charts</t>
  </si>
  <si>
    <t>• in_deezer_playlists: Number of Deezer playlists the song is included in</t>
  </si>
  <si>
    <t>• in_deezer_charts: Presence and rank of the song on Deezer charts</t>
  </si>
  <si>
    <t>• in_shazam_charts: Presence and rank of the song on Shazam charts</t>
  </si>
  <si>
    <t>• streams: Total number of streams on Spotify</t>
  </si>
  <si>
    <t>• bpm: Beats per minute, a measure of song tempo</t>
  </si>
  <si>
    <t>• key: Key of the song</t>
  </si>
  <si>
    <t>• mode: Mode of the song (major or minor)</t>
  </si>
  <si>
    <t>• danceability_%: Percentage indicating how suitable the song is for dancing</t>
  </si>
  <si>
    <t>• valence_%: Positivity of the song's musical content</t>
  </si>
  <si>
    <t>• energy_%: Perceived energy level of the song</t>
  </si>
  <si>
    <t>• acousticness_%: Amount of acoustic sound in the song</t>
  </si>
  <si>
    <t>• instrumentalness_%: Amount of instrumental content in the song</t>
  </si>
  <si>
    <t>• liveness_%: Presence of live performance elements</t>
  </si>
  <si>
    <t>• speechiness_%: Amount of spoken words in the song</t>
  </si>
  <si>
    <t>Potential Use Cases</t>
  </si>
  <si>
    <t>• Music analysis: Explore patterns in audio features to understand trends and preferences in popular songs.</t>
  </si>
  <si>
    <t>• Platform comparison: Compare the song's popularity across different music platforms.</t>
  </si>
  <si>
    <t>• Artist impact: Analyze how artist involvement and attributes relate to a song's success.</t>
  </si>
  <si>
    <t>• Temporal trends: Identify any shifts in music attributes and preferences over time.</t>
  </si>
  <si>
    <t>• Cross-platform presence: Investigate how songs perform across different streaming services.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</si>
</sst>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
  </numFmts>
  <fonts count="7" x14ac:knownFonts="1">
    <font>
      <sz val="12"/>
      <color theme="1"/>
      <name val="Aptos Narrow"/>
      <family val="2"/>
      <scheme val="minor"/>
    </font>
    <font>
      <b/>
      <sz val="12"/>
      <color theme="1"/>
      <name val="Aptos Narrow"/>
      <family val="2"/>
      <scheme val="minor"/>
    </font>
    <font>
      <b/>
      <sz val="12"/>
      <name val="Aptos Narrow"/>
      <family val="2"/>
    </font>
    <font>
      <b/>
      <sz val="26"/>
      <color theme="1"/>
      <name val="Aptos Narrow"/>
      <family val="2"/>
      <scheme val="minor"/>
    </font>
    <font>
      <sz val="20"/>
      <color theme="1"/>
      <name val="Aptos Narrow"/>
      <family val="2"/>
      <scheme val="minor"/>
    </font>
    <font>
      <b/>
      <sz val="20"/>
      <color theme="1"/>
      <name val="Aptos Narrow"/>
      <family val="2"/>
      <scheme val="minor"/>
    </font>
    <font>
      <sz val="26"/>
      <color theme="1"/>
      <name val="Aptos Narrow"/>
      <family val="2"/>
      <scheme val="minor"/>
    </font>
  </fonts>
  <fills count="3">
    <fill>
      <patternFill patternType="none"/>
    </fill>
    <fill>
      <patternFill patternType="gray125"/>
    </fill>
    <fill>
      <patternFill patternType="solid">
        <fgColor theme="2" tint="0.5999633777886288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21">
    <xf numFmtId="0" fontId="0" fillId="0" borderId="0" xfId="0"/>
    <xf numFmtId="14" fontId="0" fillId="0" borderId="0" xfId="0" applyNumberFormat="1"/>
    <xf numFmtId="3" fontId="0" fillId="0" borderId="0" xfId="0" applyNumberFormat="1"/>
    <xf numFmtId="20" fontId="0" fillId="0" borderId="0" xfId="0" applyNumberFormat="1"/>
    <xf numFmtId="0" fontId="1" fillId="0" borderId="0" xfId="0" applyFont="1"/>
    <xf numFmtId="0" fontId="2" fillId="0" borderId="1" xfId="0" applyFont="1" applyBorder="1" applyAlignment="1">
      <alignment horizontal="left" vertical="top"/>
    </xf>
    <xf numFmtId="0" fontId="0" fillId="0" borderId="2" xfId="0" applyBorder="1" applyAlignment="1">
      <alignment horizontal="left"/>
    </xf>
    <xf numFmtId="0" fontId="0" fillId="0" borderId="3" xfId="0" applyBorder="1" applyAlignment="1">
      <alignment horizontal="left"/>
    </xf>
    <xf numFmtId="0" fontId="0" fillId="0" borderId="0" xfId="0" applyAlignment="1">
      <alignment horizontal="left"/>
    </xf>
    <xf numFmtId="0" fontId="0" fillId="0" borderId="4" xfId="0" applyBorder="1" applyAlignment="1">
      <alignment horizontal="left"/>
    </xf>
    <xf numFmtId="0" fontId="0" fillId="0" borderId="0" xfId="0" pivotButton="1"/>
    <xf numFmtId="0" fontId="0" fillId="2" borderId="0" xfId="0" applyFill="1"/>
    <xf numFmtId="19" fontId="0" fillId="0" borderId="0" xfId="0" applyNumberFormat="1"/>
    <xf numFmtId="19" fontId="3" fillId="2" borderId="0" xfId="0" applyNumberFormat="1" applyFont="1" applyFill="1"/>
    <xf numFmtId="0" fontId="3" fillId="2" borderId="0" xfId="0" applyFont="1" applyFill="1"/>
    <xf numFmtId="0" fontId="4" fillId="2" borderId="0" xfId="0" applyFont="1" applyFill="1"/>
    <xf numFmtId="19" fontId="5" fillId="2" borderId="0" xfId="0" applyNumberFormat="1" applyFont="1" applyFill="1"/>
    <xf numFmtId="0" fontId="5" fillId="2" borderId="0" xfId="0" applyFont="1" applyFill="1"/>
    <xf numFmtId="0" fontId="6" fillId="2" borderId="0" xfId="0" applyFont="1" applyFill="1"/>
    <xf numFmtId="164" fontId="3" fillId="2" borderId="0" xfId="0" applyNumberFormat="1" applyFont="1" applyFill="1" applyAlignment="1">
      <alignment horizontal="right"/>
    </xf>
    <xf numFmtId="164" fontId="3" fillId="2" borderId="0" xfId="0" applyNumberFormat="1" applyFont="1" applyFill="1"/>
  </cellXfs>
  <cellStyles count="1">
    <cellStyle name="Normal" xfId="0" builtinId="0"/>
  </cellStyles>
  <dxfs count="4">
    <dxf>
      <font>
        <b/>
        <i val="0"/>
        <strike val="0"/>
        <sz val="20"/>
        <color theme="1"/>
      </font>
      <border>
        <bottom style="thin">
          <color theme="6"/>
        </bottom>
        <vertical/>
        <horizontal/>
      </border>
    </dxf>
    <dxf>
      <font>
        <b/>
        <i val="0"/>
        <strike val="0"/>
        <sz val="18"/>
        <color theme="1"/>
      </font>
      <border>
        <left style="thin">
          <color theme="6"/>
        </left>
        <right style="thin">
          <color theme="6"/>
        </right>
        <top style="thin">
          <color theme="6"/>
        </top>
        <bottom style="thin">
          <color theme="6"/>
        </bottom>
        <vertical/>
        <horizontal/>
      </border>
    </dxf>
    <dxf>
      <font>
        <b/>
        <i val="0"/>
        <strike val="0"/>
        <sz val="18"/>
      </font>
    </dxf>
    <dxf>
      <font>
        <b/>
        <i val="0"/>
        <strike val="0"/>
        <sz val="12"/>
      </font>
    </dxf>
  </dxfs>
  <tableStyles count="3" defaultTableStyle="TableStyleMedium2" defaultPivotStyle="PivotStyleLight16">
    <tableStyle name="Slicer Style 1" pivot="0" table="0" count="1" xr9:uid="{65E36AF8-D93F-4110-8F81-894646ADF066}">
      <tableStyleElement type="wholeTable" dxfId="3"/>
    </tableStyle>
    <tableStyle name="Slicer Style 2" pivot="0" table="0" count="1" xr9:uid="{98D9D88C-CB40-4A51-B643-40EA7B2E4C1A}">
      <tableStyleElement type="wholeTable" dxfId="2"/>
    </tableStyle>
    <tableStyle name="SlicerStyleLight3 2" pivot="0" table="0" count="10" xr9:uid="{77FC6825-7F74-4EFD-95C7-1BF6A6BDB177}">
      <tableStyleElement type="wholeTable" dxfId="1"/>
      <tableStyleElement type="headerRow" dxfId="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2"/>
        <x14:slicerStyle name="SlicerStyleLight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Sheet3!$C$2</c:f>
              <c:strCache>
                <c:ptCount val="1"/>
                <c:pt idx="0">
                  <c:v>Liveness</c:v>
                </c:pt>
              </c:strCache>
            </c:strRef>
          </c:tx>
          <c:spPr>
            <a:solidFill>
              <a:schemeClr val="accent1"/>
            </a:solidFill>
            <a:ln>
              <a:noFill/>
            </a:ln>
            <a:effectLst/>
          </c:spPr>
          <c:invertIfNegative val="0"/>
          <c:cat>
            <c:strRef>
              <c:f>Sheet3!$B$3:$B$7</c:f>
              <c:strCache>
                <c:ptCount val="5"/>
                <c:pt idx="0">
                  <c:v>Do They Know It's Christmas? - 1984 Version</c:v>
                </c:pt>
                <c:pt idx="1">
                  <c:v>Hits Different</c:v>
                </c:pt>
                <c:pt idx="2">
                  <c:v>So Good</c:v>
                </c:pt>
                <c:pt idx="3">
                  <c:v>Creepin'</c:v>
                </c:pt>
                <c:pt idx="4">
                  <c:v>Lo Siento BB:/ (with Bad Bunny &amp; Julieta Venegas)</c:v>
                </c:pt>
              </c:strCache>
            </c:strRef>
          </c:cat>
          <c:val>
            <c:numRef>
              <c:f>Sheet3!$C$3:$C$7</c:f>
              <c:numCache>
                <c:formatCode>General</c:formatCode>
                <c:ptCount val="5"/>
                <c:pt idx="0">
                  <c:v>27</c:v>
                </c:pt>
                <c:pt idx="1">
                  <c:v>30</c:v>
                </c:pt>
                <c:pt idx="2">
                  <c:v>18</c:v>
                </c:pt>
                <c:pt idx="3">
                  <c:v>8</c:v>
                </c:pt>
                <c:pt idx="4">
                  <c:v>9</c:v>
                </c:pt>
              </c:numCache>
            </c:numRef>
          </c:val>
          <c:extLst>
            <c:ext xmlns:c16="http://schemas.microsoft.com/office/drawing/2014/chart" uri="{C3380CC4-5D6E-409C-BE32-E72D297353CC}">
              <c16:uniqueId val="{00000000-1CC7-4022-BD03-BC296CC68C9B}"/>
            </c:ext>
          </c:extLst>
        </c:ser>
        <c:ser>
          <c:idx val="1"/>
          <c:order val="1"/>
          <c:tx>
            <c:strRef>
              <c:f>Sheet3!$D$2</c:f>
              <c:strCache>
                <c:ptCount val="1"/>
                <c:pt idx="0">
                  <c:v>Danceability</c:v>
                </c:pt>
              </c:strCache>
            </c:strRef>
          </c:tx>
          <c:spPr>
            <a:solidFill>
              <a:schemeClr val="accent2"/>
            </a:solidFill>
            <a:ln>
              <a:noFill/>
            </a:ln>
            <a:effectLst/>
          </c:spPr>
          <c:invertIfNegative val="0"/>
          <c:cat>
            <c:strRef>
              <c:f>Sheet3!$B$3:$B$7</c:f>
              <c:strCache>
                <c:ptCount val="5"/>
                <c:pt idx="0">
                  <c:v>Do They Know It's Christmas? - 1984 Version</c:v>
                </c:pt>
                <c:pt idx="1">
                  <c:v>Hits Different</c:v>
                </c:pt>
                <c:pt idx="2">
                  <c:v>So Good</c:v>
                </c:pt>
                <c:pt idx="3">
                  <c:v>Creepin'</c:v>
                </c:pt>
                <c:pt idx="4">
                  <c:v>Lo Siento BB:/ (with Bad Bunny &amp; Julieta Venegas)</c:v>
                </c:pt>
              </c:strCache>
            </c:strRef>
          </c:cat>
          <c:val>
            <c:numRef>
              <c:f>Sheet3!$D$3:$D$7</c:f>
              <c:numCache>
                <c:formatCode>General</c:formatCode>
                <c:ptCount val="5"/>
                <c:pt idx="0">
                  <c:v>60</c:v>
                </c:pt>
                <c:pt idx="1">
                  <c:v>67</c:v>
                </c:pt>
                <c:pt idx="2">
                  <c:v>63</c:v>
                </c:pt>
                <c:pt idx="3">
                  <c:v>71</c:v>
                </c:pt>
                <c:pt idx="4">
                  <c:v>64</c:v>
                </c:pt>
              </c:numCache>
            </c:numRef>
          </c:val>
          <c:extLst>
            <c:ext xmlns:c16="http://schemas.microsoft.com/office/drawing/2014/chart" uri="{C3380CC4-5D6E-409C-BE32-E72D297353CC}">
              <c16:uniqueId val="{00000001-1CC7-4022-BD03-BC296CC68C9B}"/>
            </c:ext>
          </c:extLst>
        </c:ser>
        <c:ser>
          <c:idx val="2"/>
          <c:order val="2"/>
          <c:tx>
            <c:strRef>
              <c:f>Sheet3!$E$2</c:f>
              <c:strCache>
                <c:ptCount val="1"/>
                <c:pt idx="0">
                  <c:v>Acousticness</c:v>
                </c:pt>
              </c:strCache>
            </c:strRef>
          </c:tx>
          <c:spPr>
            <a:solidFill>
              <a:schemeClr val="accent3"/>
            </a:solidFill>
            <a:ln>
              <a:noFill/>
            </a:ln>
            <a:effectLst/>
          </c:spPr>
          <c:invertIfNegative val="0"/>
          <c:cat>
            <c:strRef>
              <c:f>Sheet3!$B$3:$B$7</c:f>
              <c:strCache>
                <c:ptCount val="5"/>
                <c:pt idx="0">
                  <c:v>Do They Know It's Christmas? - 1984 Version</c:v>
                </c:pt>
                <c:pt idx="1">
                  <c:v>Hits Different</c:v>
                </c:pt>
                <c:pt idx="2">
                  <c:v>So Good</c:v>
                </c:pt>
                <c:pt idx="3">
                  <c:v>Creepin'</c:v>
                </c:pt>
                <c:pt idx="4">
                  <c:v>Lo Siento BB:/ (with Bad Bunny &amp; Julieta Venegas)</c:v>
                </c:pt>
              </c:strCache>
            </c:strRef>
          </c:cat>
          <c:val>
            <c:numRef>
              <c:f>Sheet3!$E$3:$E$7</c:f>
              <c:numCache>
                <c:formatCode>General</c:formatCode>
                <c:ptCount val="5"/>
                <c:pt idx="0">
                  <c:v>0</c:v>
                </c:pt>
                <c:pt idx="1">
                  <c:v>15</c:v>
                </c:pt>
                <c:pt idx="2">
                  <c:v>4</c:v>
                </c:pt>
                <c:pt idx="3">
                  <c:v>36</c:v>
                </c:pt>
                <c:pt idx="4">
                  <c:v>9</c:v>
                </c:pt>
              </c:numCache>
            </c:numRef>
          </c:val>
          <c:extLst>
            <c:ext xmlns:c16="http://schemas.microsoft.com/office/drawing/2014/chart" uri="{C3380CC4-5D6E-409C-BE32-E72D297353CC}">
              <c16:uniqueId val="{00000002-1CC7-4022-BD03-BC296CC68C9B}"/>
            </c:ext>
          </c:extLst>
        </c:ser>
        <c:dLbls>
          <c:showLegendKey val="0"/>
          <c:showVal val="0"/>
          <c:showCatName val="0"/>
          <c:showSerName val="0"/>
          <c:showPercent val="0"/>
          <c:showBubbleSize val="0"/>
        </c:dLbls>
        <c:gapWidth val="219"/>
        <c:overlap val="-27"/>
        <c:axId val="1615832592"/>
        <c:axId val="1615840752"/>
      </c:barChart>
      <c:catAx>
        <c:axId val="161583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840752"/>
        <c:crosses val="autoZero"/>
        <c:auto val="1"/>
        <c:lblAlgn val="ctr"/>
        <c:lblOffset val="100"/>
        <c:noMultiLvlLbl val="0"/>
      </c:catAx>
      <c:valAx>
        <c:axId val="161584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832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r>
              <a:rPr lang="en-US" sz="2800" b="1" i="1" u="none" baseline="0"/>
              <a:t>Liveness</a:t>
            </a:r>
            <a:r>
              <a:rPr lang="en-US" sz="2800" b="1" i="1" baseline="0"/>
              <a:t>, </a:t>
            </a:r>
            <a:r>
              <a:rPr lang="en-US" sz="2800" b="1" i="1" u="none" strike="noStrike" kern="1200" spc="0" baseline="0">
                <a:solidFill>
                  <a:sysClr val="windowText" lastClr="000000">
                    <a:lumMod val="65000"/>
                    <a:lumOff val="35000"/>
                  </a:sysClr>
                </a:solidFill>
              </a:rPr>
              <a:t>Danceability</a:t>
            </a:r>
            <a:r>
              <a:rPr lang="en-US" sz="2800" b="1" i="1" baseline="0"/>
              <a:t>, and </a:t>
            </a:r>
            <a:r>
              <a:rPr lang="en-US" sz="2800" b="1" i="1" u="none" strike="noStrike" kern="1200" spc="0" baseline="0">
                <a:solidFill>
                  <a:sysClr val="windowText" lastClr="000000">
                    <a:lumMod val="65000"/>
                    <a:lumOff val="35000"/>
                  </a:sysClr>
                </a:solidFill>
              </a:rPr>
              <a:t>Acousticness </a:t>
            </a:r>
            <a:r>
              <a:rPr lang="en-US" sz="2800" b="1" i="1" baseline="0"/>
              <a:t> based on Song Suggestions</a:t>
            </a:r>
          </a:p>
        </c:rich>
      </c:tx>
      <c:overlay val="0"/>
      <c:spPr>
        <a:noFill/>
        <a:ln>
          <a:noFill/>
        </a:ln>
        <a:effectLst/>
      </c:spPr>
      <c:txPr>
        <a:bodyPr rot="0" spcFirstLastPara="1" vertOverflow="ellipsis" vert="horz" wrap="square" anchor="ctr" anchorCtr="1"/>
        <a:lstStyle/>
        <a:p>
          <a:pPr>
            <a:defRPr sz="1800" b="1" i="1"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845123819096281E-2"/>
          <c:y val="0.16485503630579096"/>
          <c:w val="0.9218743614161935"/>
          <c:h val="0.60553904010678361"/>
        </c:manualLayout>
      </c:layout>
      <c:barChart>
        <c:barDir val="col"/>
        <c:grouping val="clustered"/>
        <c:varyColors val="0"/>
        <c:ser>
          <c:idx val="0"/>
          <c:order val="0"/>
          <c:tx>
            <c:strRef>
              <c:f>Sheet3!$C$2</c:f>
              <c:strCache>
                <c:ptCount val="1"/>
                <c:pt idx="0">
                  <c:v>Liveness</c:v>
                </c:pt>
              </c:strCache>
            </c:strRef>
          </c:tx>
          <c:spPr>
            <a:solidFill>
              <a:schemeClr val="bg1">
                <a:lumMod val="85000"/>
              </a:schemeClr>
            </a:solidFill>
            <a:ln w="50800">
              <a:solidFill>
                <a:schemeClr val="bg1">
                  <a:lumMod val="75000"/>
                </a:schemeClr>
              </a:solidFill>
            </a:ln>
            <a:effectLst/>
          </c:spPr>
          <c:invertIfNegative val="0"/>
          <c:cat>
            <c:strRef>
              <c:f>Sheet3!$B$3:$B$7</c:f>
              <c:strCache>
                <c:ptCount val="5"/>
                <c:pt idx="0">
                  <c:v>Do They Know It's Christmas? - 1984 Version</c:v>
                </c:pt>
                <c:pt idx="1">
                  <c:v>Hits Different</c:v>
                </c:pt>
                <c:pt idx="2">
                  <c:v>So Good</c:v>
                </c:pt>
                <c:pt idx="3">
                  <c:v>Creepin'</c:v>
                </c:pt>
                <c:pt idx="4">
                  <c:v>Lo Siento BB:/ (with Bad Bunny &amp; Julieta Venegas)</c:v>
                </c:pt>
              </c:strCache>
            </c:strRef>
          </c:cat>
          <c:val>
            <c:numRef>
              <c:f>Sheet3!$C$3:$C$7</c:f>
              <c:numCache>
                <c:formatCode>General</c:formatCode>
                <c:ptCount val="5"/>
                <c:pt idx="0">
                  <c:v>27</c:v>
                </c:pt>
                <c:pt idx="1">
                  <c:v>30</c:v>
                </c:pt>
                <c:pt idx="2">
                  <c:v>18</c:v>
                </c:pt>
                <c:pt idx="3">
                  <c:v>8</c:v>
                </c:pt>
                <c:pt idx="4">
                  <c:v>9</c:v>
                </c:pt>
              </c:numCache>
            </c:numRef>
          </c:val>
          <c:extLst>
            <c:ext xmlns:c16="http://schemas.microsoft.com/office/drawing/2014/chart" uri="{C3380CC4-5D6E-409C-BE32-E72D297353CC}">
              <c16:uniqueId val="{00000000-19F2-471C-BBEC-0857587FC308}"/>
            </c:ext>
          </c:extLst>
        </c:ser>
        <c:ser>
          <c:idx val="1"/>
          <c:order val="1"/>
          <c:tx>
            <c:strRef>
              <c:f>Sheet3!$D$2</c:f>
              <c:strCache>
                <c:ptCount val="1"/>
                <c:pt idx="0">
                  <c:v>Danceability</c:v>
                </c:pt>
              </c:strCache>
            </c:strRef>
          </c:tx>
          <c:spPr>
            <a:solidFill>
              <a:schemeClr val="tx1">
                <a:lumMod val="65000"/>
                <a:lumOff val="35000"/>
              </a:schemeClr>
            </a:solidFill>
            <a:ln w="50800">
              <a:solidFill>
                <a:schemeClr val="tx1">
                  <a:lumMod val="65000"/>
                  <a:lumOff val="35000"/>
                </a:schemeClr>
              </a:solidFill>
              <a:bevel/>
            </a:ln>
            <a:effectLst/>
          </c:spPr>
          <c:invertIfNegative val="0"/>
          <c:cat>
            <c:strRef>
              <c:f>Sheet3!$B$3:$B$7</c:f>
              <c:strCache>
                <c:ptCount val="5"/>
                <c:pt idx="0">
                  <c:v>Do They Know It's Christmas? - 1984 Version</c:v>
                </c:pt>
                <c:pt idx="1">
                  <c:v>Hits Different</c:v>
                </c:pt>
                <c:pt idx="2">
                  <c:v>So Good</c:v>
                </c:pt>
                <c:pt idx="3">
                  <c:v>Creepin'</c:v>
                </c:pt>
                <c:pt idx="4">
                  <c:v>Lo Siento BB:/ (with Bad Bunny &amp; Julieta Venegas)</c:v>
                </c:pt>
              </c:strCache>
            </c:strRef>
          </c:cat>
          <c:val>
            <c:numRef>
              <c:f>Sheet3!$D$3:$D$7</c:f>
              <c:numCache>
                <c:formatCode>General</c:formatCode>
                <c:ptCount val="5"/>
                <c:pt idx="0">
                  <c:v>60</c:v>
                </c:pt>
                <c:pt idx="1">
                  <c:v>67</c:v>
                </c:pt>
                <c:pt idx="2">
                  <c:v>63</c:v>
                </c:pt>
                <c:pt idx="3">
                  <c:v>71</c:v>
                </c:pt>
                <c:pt idx="4">
                  <c:v>64</c:v>
                </c:pt>
              </c:numCache>
            </c:numRef>
          </c:val>
          <c:extLst>
            <c:ext xmlns:c16="http://schemas.microsoft.com/office/drawing/2014/chart" uri="{C3380CC4-5D6E-409C-BE32-E72D297353CC}">
              <c16:uniqueId val="{00000001-19F2-471C-BBEC-0857587FC308}"/>
            </c:ext>
          </c:extLst>
        </c:ser>
        <c:ser>
          <c:idx val="2"/>
          <c:order val="2"/>
          <c:tx>
            <c:strRef>
              <c:f>Sheet3!$E$2</c:f>
              <c:strCache>
                <c:ptCount val="1"/>
                <c:pt idx="0">
                  <c:v>Acousticness</c:v>
                </c:pt>
              </c:strCache>
            </c:strRef>
          </c:tx>
          <c:spPr>
            <a:solidFill>
              <a:schemeClr val="accent6">
                <a:lumMod val="60000"/>
                <a:lumOff val="40000"/>
              </a:schemeClr>
            </a:solidFill>
            <a:ln w="50800">
              <a:solidFill>
                <a:schemeClr val="accent6">
                  <a:lumMod val="60000"/>
                  <a:lumOff val="40000"/>
                </a:schemeClr>
              </a:solidFill>
              <a:bevel/>
            </a:ln>
            <a:effectLst/>
          </c:spPr>
          <c:invertIfNegative val="0"/>
          <c:cat>
            <c:strRef>
              <c:f>Sheet3!$B$3:$B$7</c:f>
              <c:strCache>
                <c:ptCount val="5"/>
                <c:pt idx="0">
                  <c:v>Do They Know It's Christmas? - 1984 Version</c:v>
                </c:pt>
                <c:pt idx="1">
                  <c:v>Hits Different</c:v>
                </c:pt>
                <c:pt idx="2">
                  <c:v>So Good</c:v>
                </c:pt>
                <c:pt idx="3">
                  <c:v>Creepin'</c:v>
                </c:pt>
                <c:pt idx="4">
                  <c:v>Lo Siento BB:/ (with Bad Bunny &amp; Julieta Venegas)</c:v>
                </c:pt>
              </c:strCache>
            </c:strRef>
          </c:cat>
          <c:val>
            <c:numRef>
              <c:f>Sheet3!$E$3:$E$7</c:f>
              <c:numCache>
                <c:formatCode>General</c:formatCode>
                <c:ptCount val="5"/>
                <c:pt idx="0">
                  <c:v>0</c:v>
                </c:pt>
                <c:pt idx="1">
                  <c:v>15</c:v>
                </c:pt>
                <c:pt idx="2">
                  <c:v>4</c:v>
                </c:pt>
                <c:pt idx="3">
                  <c:v>36</c:v>
                </c:pt>
                <c:pt idx="4">
                  <c:v>9</c:v>
                </c:pt>
              </c:numCache>
            </c:numRef>
          </c:val>
          <c:extLst>
            <c:ext xmlns:c16="http://schemas.microsoft.com/office/drawing/2014/chart" uri="{C3380CC4-5D6E-409C-BE32-E72D297353CC}">
              <c16:uniqueId val="{00000002-19F2-471C-BBEC-0857587FC308}"/>
            </c:ext>
          </c:extLst>
        </c:ser>
        <c:dLbls>
          <c:showLegendKey val="0"/>
          <c:showVal val="0"/>
          <c:showCatName val="0"/>
          <c:showSerName val="0"/>
          <c:showPercent val="0"/>
          <c:showBubbleSize val="0"/>
        </c:dLbls>
        <c:gapWidth val="219"/>
        <c:overlap val="-27"/>
        <c:axId val="1615832592"/>
        <c:axId val="1615840752"/>
      </c:barChart>
      <c:catAx>
        <c:axId val="161583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615840752"/>
        <c:crosses val="autoZero"/>
        <c:auto val="1"/>
        <c:lblAlgn val="ctr"/>
        <c:lblOffset val="100"/>
        <c:noMultiLvlLbl val="0"/>
      </c:catAx>
      <c:valAx>
        <c:axId val="16158407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832592"/>
        <c:crosses val="autoZero"/>
        <c:crossBetween val="between"/>
      </c:valAx>
      <c:spPr>
        <a:noFill/>
        <a:ln>
          <a:noFill/>
        </a:ln>
        <a:effectLst/>
      </c:spPr>
    </c:plotArea>
    <c:legend>
      <c:legendPos val="b"/>
      <c:layout>
        <c:manualLayout>
          <c:xMode val="edge"/>
          <c:yMode val="edge"/>
          <c:x val="0.25349740073261634"/>
          <c:y val="0.90856517848945328"/>
          <c:w val="0.49170292440524271"/>
          <c:h val="6.9707802965025198E-2"/>
        </c:manualLayout>
      </c:layout>
      <c:overlay val="0"/>
      <c:spPr>
        <a:noFill/>
        <a:ln>
          <a:no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https://rebelem.com/spotify-1759471_1280/"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33</xdr:col>
      <xdr:colOff>516033</xdr:colOff>
      <xdr:row>10</xdr:row>
      <xdr:rowOff>129930</xdr:rowOff>
    </xdr:from>
    <xdr:to>
      <xdr:col>36</xdr:col>
      <xdr:colOff>305968</xdr:colOff>
      <xdr:row>18</xdr:row>
      <xdr:rowOff>68964</xdr:rowOff>
    </xdr:to>
    <mc:AlternateContent xmlns:mc="http://schemas.openxmlformats.org/markup-compatibility/2006" xmlns:a14="http://schemas.microsoft.com/office/drawing/2010/main">
      <mc:Choice Requires="a14">
        <xdr:graphicFrame macro="">
          <xdr:nvGraphicFramePr>
            <xdr:cNvPr id="9" name="Energy Level">
              <a:extLst>
                <a:ext uri="{FF2B5EF4-FFF2-40B4-BE49-F238E27FC236}">
                  <a16:creationId xmlns:a16="http://schemas.microsoft.com/office/drawing/2014/main" id="{734B71E0-D11C-D043-E2F5-5B53C8A12374}"/>
                </a:ext>
              </a:extLst>
            </xdr:cNvPr>
            <xdr:cNvGraphicFramePr/>
          </xdr:nvGraphicFramePr>
          <xdr:xfrm>
            <a:off x="0" y="0"/>
            <a:ext cx="0" cy="0"/>
          </xdr:xfrm>
          <a:graphic>
            <a:graphicData uri="http://schemas.microsoft.com/office/drawing/2010/slicer">
              <sle:slicer xmlns:sle="http://schemas.microsoft.com/office/drawing/2010/slicer" name="Energy Level"/>
            </a:graphicData>
          </a:graphic>
        </xdr:graphicFrame>
      </mc:Choice>
      <mc:Fallback xmlns="">
        <xdr:sp macro="" textlink="">
          <xdr:nvSpPr>
            <xdr:cNvPr id="0" name=""/>
            <xdr:cNvSpPr>
              <a:spLocks noTextEdit="1"/>
            </xdr:cNvSpPr>
          </xdr:nvSpPr>
          <xdr:spPr>
            <a:xfrm>
              <a:off x="42097787" y="2122853"/>
              <a:ext cx="1829750" cy="15333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91646</xdr:colOff>
      <xdr:row>1</xdr:row>
      <xdr:rowOff>32539</xdr:rowOff>
    </xdr:from>
    <xdr:to>
      <xdr:col>35</xdr:col>
      <xdr:colOff>561204</xdr:colOff>
      <xdr:row>8</xdr:row>
      <xdr:rowOff>130432</xdr:rowOff>
    </xdr:to>
    <mc:AlternateContent xmlns:mc="http://schemas.openxmlformats.org/markup-compatibility/2006" xmlns:a14="http://schemas.microsoft.com/office/drawing/2010/main">
      <mc:Choice Requires="a14">
        <xdr:graphicFrame macro="">
          <xdr:nvGraphicFramePr>
            <xdr:cNvPr id="10" name="Mood">
              <a:extLst>
                <a:ext uri="{FF2B5EF4-FFF2-40B4-BE49-F238E27FC236}">
                  <a16:creationId xmlns:a16="http://schemas.microsoft.com/office/drawing/2014/main" id="{ADD5057F-5415-4D2C-A18D-7D482180EF3A}"/>
                </a:ext>
              </a:extLst>
            </xdr:cNvPr>
            <xdr:cNvGraphicFramePr/>
          </xdr:nvGraphicFramePr>
          <xdr:xfrm>
            <a:off x="0" y="0"/>
            <a:ext cx="0" cy="0"/>
          </xdr:xfrm>
          <a:graphic>
            <a:graphicData uri="http://schemas.microsoft.com/office/drawing/2010/slicer">
              <sle:slicer xmlns:sle="http://schemas.microsoft.com/office/drawing/2010/slicer" name="Mood"/>
            </a:graphicData>
          </a:graphic>
        </xdr:graphicFrame>
      </mc:Choice>
      <mc:Fallback xmlns="">
        <xdr:sp macro="" textlink="">
          <xdr:nvSpPr>
            <xdr:cNvPr id="0" name=""/>
            <xdr:cNvSpPr>
              <a:spLocks noTextEdit="1"/>
            </xdr:cNvSpPr>
          </xdr:nvSpPr>
          <xdr:spPr>
            <a:xfrm>
              <a:off x="38308877" y="231831"/>
              <a:ext cx="1829435" cy="14929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613410</xdr:colOff>
      <xdr:row>5</xdr:row>
      <xdr:rowOff>140970</xdr:rowOff>
    </xdr:from>
    <xdr:to>
      <xdr:col>13</xdr:col>
      <xdr:colOff>491490</xdr:colOff>
      <xdr:row>19</xdr:row>
      <xdr:rowOff>110490</xdr:rowOff>
    </xdr:to>
    <xdr:graphicFrame macro="">
      <xdr:nvGraphicFramePr>
        <xdr:cNvPr id="3" name="Chart 2">
          <a:extLst>
            <a:ext uri="{FF2B5EF4-FFF2-40B4-BE49-F238E27FC236}">
              <a16:creationId xmlns:a16="http://schemas.microsoft.com/office/drawing/2014/main" id="{5C7AD32D-65DF-3C4F-8FD6-DF71F3BAAC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862986</xdr:colOff>
      <xdr:row>23</xdr:row>
      <xdr:rowOff>184529</xdr:rowOff>
    </xdr:from>
    <xdr:to>
      <xdr:col>17</xdr:col>
      <xdr:colOff>444024</xdr:colOff>
      <xdr:row>28</xdr:row>
      <xdr:rowOff>158750</xdr:rowOff>
    </xdr:to>
    <mc:AlternateContent xmlns:mc="http://schemas.openxmlformats.org/markup-compatibility/2006" xmlns:a14="http://schemas.microsoft.com/office/drawing/2010/main">
      <mc:Choice Requires="a14">
        <xdr:graphicFrame macro="">
          <xdr:nvGraphicFramePr>
            <xdr:cNvPr id="4" name="Energy Level 1">
              <a:extLst>
                <a:ext uri="{FF2B5EF4-FFF2-40B4-BE49-F238E27FC236}">
                  <a16:creationId xmlns:a16="http://schemas.microsoft.com/office/drawing/2014/main" id="{2D252E71-7029-4E2C-BA9B-3C23E6D40ED4}"/>
                </a:ext>
              </a:extLst>
            </xdr:cNvPr>
            <xdr:cNvGraphicFramePr/>
          </xdr:nvGraphicFramePr>
          <xdr:xfrm>
            <a:off x="0" y="0"/>
            <a:ext cx="0" cy="0"/>
          </xdr:xfrm>
          <a:graphic>
            <a:graphicData uri="http://schemas.microsoft.com/office/drawing/2010/slicer">
              <sle:slicer xmlns:sle="http://schemas.microsoft.com/office/drawing/2010/slicer" name="Energy Level 1"/>
            </a:graphicData>
          </a:graphic>
        </xdr:graphicFrame>
      </mc:Choice>
      <mc:Fallback xmlns="">
        <xdr:sp macro="" textlink="">
          <xdr:nvSpPr>
            <xdr:cNvPr id="0" name=""/>
            <xdr:cNvSpPr>
              <a:spLocks noTextEdit="1"/>
            </xdr:cNvSpPr>
          </xdr:nvSpPr>
          <xdr:spPr>
            <a:xfrm>
              <a:off x="10460557" y="7133243"/>
              <a:ext cx="3481753" cy="1933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861418</xdr:colOff>
      <xdr:row>16</xdr:row>
      <xdr:rowOff>166326</xdr:rowOff>
    </xdr:from>
    <xdr:to>
      <xdr:col>17</xdr:col>
      <xdr:colOff>420888</xdr:colOff>
      <xdr:row>22</xdr:row>
      <xdr:rowOff>388775</xdr:rowOff>
    </xdr:to>
    <mc:AlternateContent xmlns:mc="http://schemas.openxmlformats.org/markup-compatibility/2006" xmlns:a14="http://schemas.microsoft.com/office/drawing/2010/main">
      <mc:Choice Requires="a14">
        <xdr:graphicFrame macro="">
          <xdr:nvGraphicFramePr>
            <xdr:cNvPr id="5" name="Mood 1">
              <a:extLst>
                <a:ext uri="{FF2B5EF4-FFF2-40B4-BE49-F238E27FC236}">
                  <a16:creationId xmlns:a16="http://schemas.microsoft.com/office/drawing/2014/main" id="{CCC11800-C672-4862-A523-AF5EFEB17503}"/>
                </a:ext>
              </a:extLst>
            </xdr:cNvPr>
            <xdr:cNvGraphicFramePr/>
          </xdr:nvGraphicFramePr>
          <xdr:xfrm>
            <a:off x="0" y="0"/>
            <a:ext cx="0" cy="0"/>
          </xdr:xfrm>
          <a:graphic>
            <a:graphicData uri="http://schemas.microsoft.com/office/drawing/2010/slicer">
              <sle:slicer xmlns:sle="http://schemas.microsoft.com/office/drawing/2010/slicer" name="Mood 1"/>
            </a:graphicData>
          </a:graphic>
        </xdr:graphicFrame>
      </mc:Choice>
      <mc:Fallback xmlns="">
        <xdr:sp macro="" textlink="">
          <xdr:nvSpPr>
            <xdr:cNvPr id="0" name=""/>
            <xdr:cNvSpPr>
              <a:spLocks noTextEdit="1"/>
            </xdr:cNvSpPr>
          </xdr:nvSpPr>
          <xdr:spPr>
            <a:xfrm>
              <a:off x="10458989" y="4538756"/>
              <a:ext cx="3460185" cy="22945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333371</xdr:colOff>
      <xdr:row>20</xdr:row>
      <xdr:rowOff>106840</xdr:rowOff>
    </xdr:from>
    <xdr:to>
      <xdr:col>22</xdr:col>
      <xdr:colOff>96489</xdr:colOff>
      <xdr:row>26</xdr:row>
      <xdr:rowOff>10429</xdr:rowOff>
    </xdr:to>
    <xdr:sp macro="[0]!Sheet1.New_Song_Suggestion" textlink="">
      <xdr:nvSpPr>
        <xdr:cNvPr id="7" name="Oval 6">
          <a:extLst>
            <a:ext uri="{FF2B5EF4-FFF2-40B4-BE49-F238E27FC236}">
              <a16:creationId xmlns:a16="http://schemas.microsoft.com/office/drawing/2014/main" id="{757FA8BA-FDA7-F27B-0421-75E2CFCA7288}"/>
            </a:ext>
          </a:extLst>
        </xdr:cNvPr>
        <xdr:cNvSpPr/>
      </xdr:nvSpPr>
      <xdr:spPr>
        <a:xfrm>
          <a:off x="14497606" y="5709781"/>
          <a:ext cx="2452530" cy="2458530"/>
        </a:xfrm>
        <a:prstGeom prst="ellipse">
          <a:avLst/>
        </a:prstGeom>
        <a:solidFill>
          <a:schemeClr val="accent3">
            <a:lumMod val="60000"/>
            <a:lumOff val="40000"/>
          </a:schemeClr>
        </a:solidFill>
        <a:ln w="76200">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baseline="0">
              <a:solidFill>
                <a:schemeClr val="tx1"/>
              </a:solidFill>
            </a:rPr>
            <a:t> </a:t>
          </a:r>
          <a:r>
            <a:rPr lang="en-US" sz="3200" b="1" baseline="0">
              <a:solidFill>
                <a:schemeClr val="tx1"/>
              </a:solidFill>
            </a:rPr>
            <a:t>Niche</a:t>
          </a:r>
        </a:p>
        <a:p>
          <a:pPr algn="ctr"/>
          <a:r>
            <a:rPr lang="en-US" sz="3200" b="1" baseline="0">
              <a:solidFill>
                <a:schemeClr val="tx1"/>
              </a:solidFill>
            </a:rPr>
            <a:t> Song Button</a:t>
          </a:r>
          <a:endParaRPr lang="en-US" sz="3200" b="1">
            <a:solidFill>
              <a:schemeClr val="tx1"/>
            </a:solidFill>
          </a:endParaRPr>
        </a:p>
      </xdr:txBody>
    </xdr:sp>
    <xdr:clientData/>
  </xdr:twoCellAnchor>
  <xdr:twoCellAnchor editAs="oneCell">
    <xdr:from>
      <xdr:col>0</xdr:col>
      <xdr:colOff>107501</xdr:colOff>
      <xdr:row>0</xdr:row>
      <xdr:rowOff>110877</xdr:rowOff>
    </xdr:from>
    <xdr:to>
      <xdr:col>3</xdr:col>
      <xdr:colOff>315414</xdr:colOff>
      <xdr:row>11</xdr:row>
      <xdr:rowOff>32882</xdr:rowOff>
    </xdr:to>
    <xdr:pic>
      <xdr:nvPicPr>
        <xdr:cNvPr id="3" name="Picture 2">
          <a:extLst>
            <a:ext uri="{FF2B5EF4-FFF2-40B4-BE49-F238E27FC236}">
              <a16:creationId xmlns:a16="http://schemas.microsoft.com/office/drawing/2014/main" id="{0ADD8F1D-C26F-A90B-DE71-64A6B03E038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07501" y="110877"/>
          <a:ext cx="2758956" cy="2804353"/>
        </a:xfrm>
        <a:prstGeom prst="rect">
          <a:avLst/>
        </a:prstGeom>
        <a:ln w="76200" cap="rnd">
          <a:solidFill>
            <a:schemeClr val="tx1"/>
          </a:solidFill>
          <a:bevel/>
          <a:extLst>
            <a:ext uri="{C807C97D-BFC1-408E-A445-0C87EB9F89A2}">
              <ask:lineSketchStyleProps xmlns:ask="http://schemas.microsoft.com/office/drawing/2018/sketchyshapes">
                <ask:type>
                  <ask:lineSketchNone/>
                </ask:type>
              </ask:lineSketchStyleProps>
            </a:ext>
          </a:extLst>
        </a:ln>
        <a:effectLst>
          <a:softEdge rad="12700"/>
        </a:effectLst>
      </xdr:spPr>
    </xdr:pic>
    <xdr:clientData/>
  </xdr:twoCellAnchor>
  <xdr:twoCellAnchor>
    <xdr:from>
      <xdr:col>0</xdr:col>
      <xdr:colOff>89555</xdr:colOff>
      <xdr:row>16</xdr:row>
      <xdr:rowOff>12509</xdr:rowOff>
    </xdr:from>
    <xdr:to>
      <xdr:col>12</xdr:col>
      <xdr:colOff>316726</xdr:colOff>
      <xdr:row>30</xdr:row>
      <xdr:rowOff>209085</xdr:rowOff>
    </xdr:to>
    <xdr:graphicFrame macro="">
      <xdr:nvGraphicFramePr>
        <xdr:cNvPr id="8" name="Chart 7">
          <a:extLst>
            <a:ext uri="{FF2B5EF4-FFF2-40B4-BE49-F238E27FC236}">
              <a16:creationId xmlns:a16="http://schemas.microsoft.com/office/drawing/2014/main" id="{4FFB35AA-96A6-4F88-BEB5-6C34526392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111126</xdr:colOff>
      <xdr:row>12</xdr:row>
      <xdr:rowOff>378315</xdr:rowOff>
    </xdr:from>
    <xdr:to>
      <xdr:col>2</xdr:col>
      <xdr:colOff>301141</xdr:colOff>
      <xdr:row>15</xdr:row>
      <xdr:rowOff>89440</xdr:rowOff>
    </xdr:to>
    <xdr:sp macro="" textlink="">
      <xdr:nvSpPr>
        <xdr:cNvPr id="2" name="TextBox 1">
          <a:extLst>
            <a:ext uri="{FF2B5EF4-FFF2-40B4-BE49-F238E27FC236}">
              <a16:creationId xmlns:a16="http://schemas.microsoft.com/office/drawing/2014/main" id="{AB5FC3A9-D5ED-5710-CA63-D6D6CA939FA0}"/>
            </a:ext>
          </a:extLst>
        </xdr:cNvPr>
        <xdr:cNvSpPr txBox="1"/>
      </xdr:nvSpPr>
      <xdr:spPr>
        <a:xfrm>
          <a:off x="111126" y="3616815"/>
          <a:ext cx="2269640" cy="520750"/>
        </a:xfrm>
        <a:prstGeom prst="rect">
          <a:avLst/>
        </a:prstGeom>
        <a:solidFill>
          <a:schemeClr val="accent3">
            <a:lumMod val="60000"/>
            <a:lumOff val="40000"/>
          </a:schemeClr>
        </a:solidFill>
        <a:ln w="38100" cmpd="sng">
          <a:solidFill>
            <a:schemeClr val="accent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i="1"/>
            <a:t>Analytics</a:t>
          </a:r>
        </a:p>
      </xdr:txBody>
    </xdr:sp>
    <xdr:clientData/>
  </xdr:twoCellAnchor>
  <xdr:twoCellAnchor>
    <xdr:from>
      <xdr:col>4</xdr:col>
      <xdr:colOff>54371</xdr:colOff>
      <xdr:row>7</xdr:row>
      <xdr:rowOff>164945</xdr:rowOff>
    </xdr:from>
    <xdr:to>
      <xdr:col>8</xdr:col>
      <xdr:colOff>433161</xdr:colOff>
      <xdr:row>13</xdr:row>
      <xdr:rowOff>42038</xdr:rowOff>
    </xdr:to>
    <xdr:sp macro="[0]!RefreshPivotTable" textlink="">
      <xdr:nvSpPr>
        <xdr:cNvPr id="9" name="Rectangle: Rounded Corners 8">
          <a:extLst>
            <a:ext uri="{FF2B5EF4-FFF2-40B4-BE49-F238E27FC236}">
              <a16:creationId xmlns:a16="http://schemas.microsoft.com/office/drawing/2014/main" id="{95B636A5-2C65-EBAB-5D72-24B8282291E6}"/>
            </a:ext>
          </a:extLst>
        </xdr:cNvPr>
        <xdr:cNvSpPr/>
      </xdr:nvSpPr>
      <xdr:spPr>
        <a:xfrm>
          <a:off x="3276996" y="1498445"/>
          <a:ext cx="3045790" cy="2210718"/>
        </a:xfrm>
        <a:prstGeom prst="roundRect">
          <a:avLst>
            <a:gd name="adj" fmla="val 23810"/>
          </a:avLst>
        </a:prstGeom>
        <a:solidFill>
          <a:schemeClr val="accent3">
            <a:lumMod val="60000"/>
            <a:lumOff val="40000"/>
          </a:schemeClr>
        </a:solidFill>
        <a:ln w="38100">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tx1"/>
              </a:solidFill>
            </a:rPr>
            <a:t>Refresh</a:t>
          </a:r>
          <a:r>
            <a:rPr lang="en-US" sz="3600" b="1" baseline="0">
              <a:solidFill>
                <a:schemeClr val="tx1"/>
              </a:solidFill>
            </a:rPr>
            <a:t> </a:t>
          </a:r>
        </a:p>
        <a:p>
          <a:pPr algn="ctr"/>
          <a:r>
            <a:rPr lang="en-US" sz="3600" b="1" baseline="0">
              <a:solidFill>
                <a:schemeClr val="tx1"/>
              </a:solidFill>
            </a:rPr>
            <a:t>Suggestions</a:t>
          </a:r>
          <a:endParaRPr lang="en-US" sz="3600" b="1">
            <a:solidFill>
              <a:schemeClr val="tx1"/>
            </a:solidFill>
          </a:endParaRPr>
        </a:p>
      </xdr:txBody>
    </xdr:sp>
    <xdr:clientData/>
  </xdr:twoCellAnchor>
  <xdr:twoCellAnchor>
    <xdr:from>
      <xdr:col>4</xdr:col>
      <xdr:colOff>242094</xdr:colOff>
      <xdr:row>1</xdr:row>
      <xdr:rowOff>181429</xdr:rowOff>
    </xdr:from>
    <xdr:to>
      <xdr:col>12</xdr:col>
      <xdr:colOff>961572</xdr:colOff>
      <xdr:row>5</xdr:row>
      <xdr:rowOff>174625</xdr:rowOff>
    </xdr:to>
    <xdr:sp macro="" textlink="">
      <xdr:nvSpPr>
        <xdr:cNvPr id="10" name="TextBox 9">
          <a:extLst>
            <a:ext uri="{FF2B5EF4-FFF2-40B4-BE49-F238E27FC236}">
              <a16:creationId xmlns:a16="http://schemas.microsoft.com/office/drawing/2014/main" id="{A94E1E7A-DE89-DC06-9A68-3A4BD6778B1D}"/>
            </a:ext>
          </a:extLst>
        </xdr:cNvPr>
        <xdr:cNvSpPr txBox="1"/>
      </xdr:nvSpPr>
      <xdr:spPr>
        <a:xfrm>
          <a:off x="3471523" y="381000"/>
          <a:ext cx="7087620" cy="791482"/>
        </a:xfrm>
        <a:prstGeom prst="rect">
          <a:avLst/>
        </a:prstGeom>
        <a:solidFill>
          <a:schemeClr val="accent3">
            <a:lumMod val="60000"/>
            <a:lumOff val="40000"/>
          </a:schemeClr>
        </a:solidFill>
        <a:ln w="57150" cmpd="sng">
          <a:solidFill>
            <a:schemeClr val="accent3"/>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400" b="1"/>
            <a:t>Song Suggestions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Verrocchio" refreshedDate="45413.564245254631" createdVersion="8" refreshedVersion="8" minRefreshableVersion="3" recordCount="953" xr:uid="{CAAB38D2-7F77-45BA-8C00-ECE61D2BA9B7}">
  <cacheSource type="worksheet">
    <worksheetSource ref="A1:Y954" sheet="Data"/>
  </cacheSource>
  <cacheFields count="25">
    <cacheField name="track_name" numFmtId="0">
      <sharedItems containsDate="1" containsMixedTypes="1" minDate="1900-01-02T17:22:04" maxDate="1899-12-31T16:41:04" count="943">
        <s v="Seven (feat. Latto) (Explicit Ver.)"/>
        <s v="LALA"/>
        <s v="vampire"/>
        <s v="Cruel Summer"/>
        <s v="WHERE SHE GOES"/>
        <s v="Sprinter"/>
        <s v="Ella Baila Sola"/>
        <s v="Columbia"/>
        <s v="fukumean"/>
        <s v="La Bebe - Remix"/>
        <s v="un x100to"/>
        <s v="Super Shy"/>
        <s v="Flowers"/>
        <s v="Daylight"/>
        <s v="As It Was"/>
        <s v="Kill Bill"/>
        <s v="Cupid - Twin Ver."/>
        <s v="What Was I Made For? [From The Motion Picture &quot;Barbie&quot;]"/>
        <s v="Classy 101"/>
        <s v="Like Crazy"/>
        <s v="LADY GAGA"/>
        <s v="I Can See You (Taylor√Ø¬ø¬Ω√Ø¬ø¬Ω√Ø¬ø¬Ωs Version) (From The "/>
        <s v="I Wanna Be Yours"/>
        <s v="Peso Pluma: Bzrp Music Sessions, Vol. 55"/>
        <s v="Popular (with Playboi Carti &amp; Madonna) - The Idol Vol. 1 (Music from the HBO Original Series)"/>
        <s v="SABOR FRESA"/>
        <s v="Calm Down (with Selena Gomez)"/>
        <s v="MOJABI GHOST"/>
        <s v="Last Night"/>
        <s v="Dance The Night (From Barbie The Album)"/>
        <s v="Rush"/>
        <s v="TULUM"/>
        <s v="Creepin'"/>
        <s v="Anti-Hero"/>
        <s v="TQG"/>
        <s v="Los del Espacio"/>
        <s v="Fr√Ø¬ø¬Ω√Ø¬ø¬Ωgil (feat. Grupo Front"/>
        <s v="Blank Space"/>
        <s v="Style"/>
        <s v="TQM"/>
        <s v="El Azul"/>
        <s v="Sunflower - Spider-Man: Into the Spider-Verse"/>
        <s v="I'm Good (Blue)"/>
        <s v="See You Again"/>
        <s v="Barbie World (with Aqua) [From Barbie The Album]"/>
        <s v="Angels Like You"/>
        <s v="I Ain't Worried"/>
        <s v="Die For You"/>
        <s v="Starboy"/>
        <s v="Die For You - Remix"/>
        <s v="El Cielo"/>
        <s v="Baby Don't Hurt Me"/>
        <s v="AMARGURA"/>
        <s v="(It Goes Like) Nanana - Edit"/>
        <s v="Another Love"/>
        <s v="Blinding Lights"/>
        <s v="Moonlight"/>
        <s v="La Bachata"/>
        <s v="S91"/>
        <s v="cardigan"/>
        <s v="T√Ø¬ø¬Ω√Ø¬ø"/>
        <s v="Boy's a liar Pt. 2"/>
        <s v="Left and Right (Feat. Jung Kook of BTS)"/>
        <s v="BESO"/>
        <s v="Hey Mor"/>
        <s v="Yellow"/>
        <s v="Karma"/>
        <s v="People"/>
        <s v="Overdrive"/>
        <s v="Enchanted (Taylor's Version)"/>
        <s v="BABY HELLO"/>
        <s v="Heat Waves"/>
        <s v="golden hour"/>
        <s v="Sweater Weather"/>
        <s v="Quevedo: Bzrp Music Sessions, Vol. 52"/>
        <s v="Viva La Vida"/>
        <s v="Here With Me"/>
        <s v="Unholy (feat. Kim Petras)"/>
        <s v="Yandel 150"/>
        <s v="CORAZ√Ø¬ø¬Ω√Ø¬ø¬ΩN VA"/>
        <s v="Riptide"/>
        <s v="Until I Found You (with Em Beihold) - Em Beihold Version"/>
        <s v="Novidade na √Ø¬ø¬Ω√Ø¬ø"/>
        <s v="Back To December (Taylor's Version)"/>
        <s v="STAY (with Justin Bieber)"/>
        <s v="El Merengue"/>
        <s v="Someone You Loved"/>
        <s v="Me Porto Bonito"/>
        <s v="Makeba"/>
        <s v="MONTAGEM - FR PUNK"/>
        <s v="Fast Car"/>
        <s v="What It Is (Solo Version)"/>
        <s v="Coco Chanel"/>
        <s v="Don√Ø¬ø¬Ω√Ø¬ø¬Ω√Ø¬ø¬Ωt Bl"/>
        <s v="Still With You"/>
        <s v="All My Life (feat. J. Cole)"/>
        <s v="Say Yes To Heaven"/>
        <s v="Snooze"/>
        <s v="Summertime Sadness"/>
        <s v="Take Two"/>
        <s v="Lover"/>
        <s v="Too Many Nights (feat. Don Toliver &amp; with Future)"/>
        <s v="Chemical"/>
        <s v="Mockingbird"/>
        <s v="New Jeans"/>
        <s v="Primera Cita"/>
        <s v="Cold Heart - PNAU Remix"/>
        <s v="Dandelions"/>
        <s v="Bones"/>
        <s v="Set Fire to the Rain"/>
        <s v="Money Trees"/>
        <s v="Tak Segampang Itu"/>
        <s v="LAGUNAS"/>
        <s v="Mine (Taylor's Version)"/>
        <s v="Everybody Wants To Rule The World"/>
        <s v="No Role Modelz"/>
        <s v="Tattoo"/>
        <s v="Rara Vez"/>
        <s v="VAGABUNDO"/>
        <s v="august"/>
        <s v="LUNA"/>
        <s v="Miracle (with Ellie Goulding)"/>
        <s v="Nonsense"/>
        <s v="Que Vuelvas"/>
        <s v="Por las Noches"/>
        <s v="Feliz Cumplea√Ø¬ø¬Ω√Ø¬ø¬Ωos Fe"/>
        <s v="Can't Hold Us (feat. Ray Dalton)"/>
        <s v="Watermelon Sugar"/>
        <s v="lovely - Bonus Track"/>
        <s v="Rauw Alejandro: Bzrp Music Sessions, Vol. 56"/>
        <s v="Queencard"/>
        <s v="OMG"/>
        <s v="Radio"/>
        <s v="Shakira: Bzrp Music Sessions, Vol. 53"/>
        <n v="505"/>
        <s v="Calling (Spider-Man: Across the Spider-Verse) (Metro Boomin &amp; Swae Lee, NAV, feat. A Boogie Wit da Hoodie)"/>
        <s v="Trance (with Travis Scott &amp; Young Thug)"/>
        <s v="Tere Vaaste (From &quot;Zara Hatke Zara Bachke&quot;)"/>
        <s v="Perfect"/>
        <s v="Romantic Homicide"/>
        <s v="Believer"/>
        <s v="Novo Balan√Ø¬ø¬Ω"/>
        <s v="Gol Bolinha, Gol Quadrado 2"/>
        <s v="Without Me"/>
        <s v="QUEMA"/>
        <s v="Stargirl Interlude"/>
        <s v="Ojitos Lindos"/>
        <s v="Somewhere Only We Know"/>
        <s v="Those Eyes"/>
        <s v="El Gordo Trae El Mando"/>
        <s v="Mi Bello Angel"/>
        <s v="Bye"/>
        <s v="Danza Kuduro"/>
        <s v="Nosso Quadro"/>
        <s v="Locked Out Of Heaven"/>
        <s v="Un Finde | CROSSOVER #2"/>
        <s v="Jimmy Cooks (feat. 21 Savage)"/>
        <s v="Counting Stars"/>
        <s v="Ghost"/>
        <s v="Under The Influence"/>
        <s v="PRC"/>
        <s v="Gasolina"/>
        <s v="One Dance"/>
        <s v="Enchanted"/>
        <s v="Save Your Tears"/>
        <s v="Sure Thing"/>
        <s v="Every Breath You Take - Remastered 2003"/>
        <s v="The Night We Met"/>
        <s v="We Found Love"/>
        <s v="When I Was Your Man"/>
        <s v="Let Me Down Slowly"/>
        <s v="Am I Dreaming (Metro Boomin &amp; A$AP Rocky, Roisee)"/>
        <s v="Do I Wanna Know?"/>
        <s v="Demons"/>
        <s v="√Ω√Ω√Ω√Ω√Ω√Ω√Ω√Ω√Ω√Ω√Ω√Ω"/>
        <s v="Reminder"/>
        <s v="Shake It Off"/>
        <s v="Why'd You Only Call Me When You're High?"/>
        <s v="SNAP"/>
        <s v="Shape of You"/>
        <s v="Night Changes"/>
        <s v="Fin de Semana"/>
        <s v="Creep"/>
        <s v="Car's Outside"/>
        <s v="Apocalypse"/>
        <s v="Cheques"/>
        <s v="Pink + White"/>
        <s v="Circles"/>
        <s v="Just The Way You Are"/>
        <s v="Take Me To Church"/>
        <s v="Bebe Dame"/>
        <s v="You Belong With Me (Taylor√Ø¬ø¬Ω√Ø¬ø¬Ω√Ø¬ø¬Ωs Ve"/>
        <s v="Titi Me Pregunt√Ø¬ø"/>
        <s v="Better Than Revenge (Taylor's Version)"/>
        <s v="Shut up My Moms Calling"/>
        <s v="Have You Ever Seen The Rain?"/>
        <s v="Es un Secreto"/>
        <s v="POLARIS - Remix"/>
        <s v="Ditto"/>
        <s v="Take On Me"/>
        <s v="Annihilate (Spider-Man: Across the Spider-Verse) (Metro Boomin &amp; Swae Lee, Lil Wayne, Offset)"/>
        <s v="Angel Pt 1 (feat. Jimin of BTS, JVKE &amp; Muni Long)"/>
        <s v="Acr√Ø¬ø¬Ω√Ø¬ø¬Ωs"/>
        <s v="AMG"/>
        <s v="Phir Aur Kya Chahiye (From &quot;Zara Hatke Zara Bachke&quot;)"/>
        <s v="S-Class"/>
        <s v="Hits Different"/>
        <s v="Chanel"/>
        <s v="Self Love (Spider-Man: Across the Spider-Verse) (Metro Boomin &amp; Coi Leray)"/>
        <s v="Area Codes"/>
        <s v="Abcdario"/>
        <s v="Obsessed"/>
        <s v="Pi√Ø¬ø¬Ω√Ø¬ø¬Ωman De√Ø¬ø"/>
        <s v="FLOWER"/>
        <s v="All The Way Live (Spider-Man: Across the Spider-Verse) (Metro Boomin &amp; Future, Lil Uzi Vert)"/>
        <s v="Eyes Closed"/>
        <s v="Escapism."/>
        <s v="La Jumpa"/>
        <s v="Karma (feat. Ice Spice)"/>
        <s v="Superhero (Heroes &amp; Villains) [with Future &amp; Chris Brown]"/>
        <s v="Las Morras"/>
        <s v="CHORRITO PA LAS ANIMAS"/>
        <s v="Ch y la Pizza"/>
        <s v="Snow On The Beach (feat. More Lana Del Rey)"/>
        <s v="Players"/>
        <s v="Bite Me"/>
        <s v="Stand By Me (feat. Morgan Wallen)"/>
        <s v="Normal"/>
        <s v="Hummingbird (Metro Boomin &amp; James Blake)"/>
        <s v="Seu Brilho Sumiu - Ao Vivo"/>
        <s v="Bad Habit"/>
        <s v="CUFF IT"/>
        <s v="Lilith (feat. SUGA of BTS) (Diablo IV Anthem)"/>
        <n v="69"/>
        <s v="Ni√Ø¬ø¬Ω√Ø¬ø¬Ωa Bo"/>
        <s v="Search &amp; Rescue"/>
        <s v="AMERICA HAS A PROBLEM (feat. Kendrick Lamar)"/>
        <s v="Lavender Haze"/>
        <s v="Link Up (Metro Boomin &amp; Don Toliver, Wizkid feat. BEAM &amp; Toian) - Spider-Verse Remix (Spider-Man: Across the Spider-Verse )"/>
        <s v="Efecto"/>
        <s v="Erro Gostoso - Ao Vivo"/>
        <s v="Cupido"/>
        <s v="Just Wanna Rock"/>
        <s v="Unstoppable"/>
        <s v="Until I Found You"/>
        <s v="Rich Flex"/>
        <s v="Easy On Me"/>
        <s v="Cart√Ø¬ø¬Ω√Ø¬ø¬Ωo B"/>
        <s v="Danger (Spider) (Offset &amp; JID)"/>
        <s v="Oi Balde - Ao Vivo"/>
        <s v="The Real Slim Shady"/>
        <s v="MERCHO"/>
        <s v="The Color Violet"/>
        <s v="Glimpse of Us"/>
        <s v="Mejor Que Yo"/>
        <s v="Curtains"/>
        <s v="UNFORGIVEN (feat. Nile Rodgers)"/>
        <s v="Haegeum"/>
        <s v="Conex√Ø¬ø¬Ω√Ø¬ø¬Ωes de M√Ø¬ø¬Ω√Ø¬ø¬Ωfia (feat. Rich "/>
        <s v="MIENTRAS ME CURO DEL CORA"/>
        <s v="Never Felt So Alone"/>
        <s v="X SI VOLVEMOS"/>
        <s v="ceilings"/>
        <s v="Cupid"/>
        <s v="I AM"/>
        <s v="Cupid √Ø¬ø¬Ω√Ø¬ø¬Ω√Ø¬ø¬Ω Twin Ver. (FIFTY FIFTY) √Ø¬ø¬Ω√Ø¬ø¬Ω√Ø¬ø¬Ω Spe"/>
        <s v="Shorty Party"/>
        <s v="Super"/>
        <s v="Slut Me Out"/>
        <s v="Double Fantasy (with Future)"/>
        <s v="All Of The Girls You Loved Before"/>
        <s v="PROVENZA"/>
        <s v="Princess Diana (with Nicki Minaj)"/>
        <s v="Di Que Si"/>
        <s v="Shivers"/>
        <s v="Igualito a Mi Ap√Ø¬ø"/>
        <s v="Shoong! (feat. LISA of BLACKPINK)"/>
        <s v="Komang"/>
        <s v="DESPECH√Ø¬ø"/>
        <s v="Made You Look"/>
        <s v="Watch This - ARIZONATEARS Pluggnb Remix"/>
        <s v="No Se Va"/>
        <s v="Punto G"/>
        <s v="Lovers Rock"/>
        <s v="METAMORPHOSIS"/>
        <s v="Mami Chula"/>
        <s v="En Paris"/>
        <s v="Set Me Free Pt.2"/>
        <s v="I Was Never There"/>
        <s v="Don't ever say love me (feat. RM of BTS)"/>
        <s v="Shut Down"/>
        <s v="Gato de Noche"/>
        <s v="Call Out My Name"/>
        <s v="Like Crazy (English Version)"/>
        <s v="Rosa Pastel"/>
        <s v="Sunroof"/>
        <s v="Lose Yourself - Soundtrack Version"/>
        <s v="Superman"/>
        <s v="Mas Rica Que Ayer"/>
        <s v="People Pt.2 (feat. IU)"/>
        <s v="REMIX EXCLUSIVO"/>
        <s v="Arc√Ø¬ø¬Ω√Ø¬ø¬Ωngel: Bzrp Music Sessions, Vol"/>
        <s v="DOGTOOTH"/>
        <d v="1899-12-30T10:35:00"/>
        <s v="SORRY NOT SORRY"/>
        <s v="HAPPY"/>
        <s v="La Bebe"/>
        <s v="I Know - PR1SVX Edit"/>
        <s v="Late Night Talking"/>
        <s v="Le√Ø¬ø¬Ω"/>
        <s v="Save Your Tears (with Ariana Grande) (Remix)"/>
        <s v="Something in the Orange"/>
        <s v="VOID"/>
        <s v="Dijeron Que No La Iba Lograr"/>
        <s v="Midnight Rain"/>
        <s v="If We Ever Broke Up"/>
        <s v="You Proof"/>
        <s v="LA INOCENTE"/>
        <s v="Malas Decisiones"/>
        <s v="Murder In My Mind"/>
        <s v="Gangsta's Paradise"/>
        <s v="CAIRO"/>
        <s v="I Love You So"/>
        <s v="Dark Red"/>
        <s v="Say You Won't Let Go"/>
        <s v="The Hills"/>
        <s v="Heart To Heart"/>
        <s v="Peaches (from The Super Mario Bros. Movie)"/>
        <s v="Marisola - Remix"/>
        <s v="LOKERA"/>
        <s v="Low"/>
        <s v="Numb"/>
        <s v="Tormenta (feat. Bad Bunny)"/>
        <s v="on the street (with J. Cole)"/>
        <s v="One Thing At A Time"/>
        <s v="Miss You"/>
        <s v="Ain√Ø¬ø¬Ω√Ø¬ø¬Ω√Ø¬ø¬Ωt Tha"/>
        <s v="Thinkin√Ø¬ø¬Ω√Ø¬ø¬Ω√Ø¬ø¬Ω B"/>
        <s v="Private Landing (feat. Justin Bieber &amp; Future)"/>
        <s v="Everything I Love"/>
        <s v="Heaven"/>
        <s v="LET GO"/>
        <s v="Sial"/>
        <s v="I Wrote The Book"/>
        <s v="Apna Bana Le (From &quot;Bhediya&quot;)"/>
        <s v="SPIT IN MY FACE!"/>
        <s v="PLAYA DEL INGL√Ø¬ø¬Ω"/>
        <s v="Man Made A Bar (feat. Eric Church)"/>
        <s v="Red Ruby Da Sleeze"/>
        <s v="Kahani Suno 2.0"/>
        <s v="Nobody Gets Me"/>
        <s v="PERO T√Ø¬ø"/>
        <s v="Hype Boy"/>
        <s v="Bloody Mary"/>
        <s v="Monoton√Ø¬ø¬Ω"/>
        <s v="√Ω√Ω√Ω98 Braves"/>
        <s v="WANDA"/>
        <s v="Thought You Should Know"/>
        <s v="In The End"/>
        <s v="Zona De Perigo"/>
        <s v="Lovezinho"/>
        <s v="I Like You (A Happier Song) (with Doja Cat)"/>
        <s v="Neverita"/>
        <s v="Vista Al Mar"/>
        <s v="Sem Alian√Ø¬ø¬Ω√Ø¬ø¬Ωa no "/>
        <s v="Enemy (with JID) - from the series Arcane League of Legends"/>
        <s v="Revenge"/>
        <s v="Bombonzinho - Ao Vivo"/>
        <s v="LA CANCI√Ø¬ø¬Ω"/>
        <s v="Qu√Ø¬ø¬Ω√Ø¬ø¬Ω Ago"/>
        <s v="Love Again"/>
        <s v="After Hours"/>
        <s v="About Damn Time"/>
        <s v="Born With A Beer In My Hand"/>
        <s v="√Ω√Ω√Ω√Ω√Ω√Ω√Ω√Ω√Ω√Ω√Ω√Ω√Ω√Ω√Ω√Ω√Ω√Ω√Ω√Ω√Ω"/>
        <s v="Besos Moja2"/>
        <s v="Maan Meri Jaan"/>
        <s v="Moscow Mule"/>
        <s v="My Universe"/>
        <s v="Devil Don√Ø¬ø¬Ω√Ø¬ø¬Ω√Ø¬ø¬Ω"/>
        <s v="LLYLM"/>
        <s v="I'm Not Here To Make Friends"/>
        <s v="TRUSTFALL"/>
        <s v="ANTIFRAGILE"/>
        <s v="Boy's a liar"/>
        <s v="VIBE (feat. Jimin of BTS)"/>
        <s v="Shirt"/>
        <s v="Lift Me Up - From Black Panther: Wakanda Forever - Music From and Inspired By"/>
        <s v="STAR WALKIN' (League of Legends Worlds Anthem)"/>
        <s v="Sex, Drugs, Etc."/>
        <s v="Boy With Luv (feat. Halsey)"/>
        <s v="Hey, Mickey!"/>
        <s v="Calm Down"/>
        <s v="Jhoome Jo Pathaan"/>
        <s v="Escapism. - Sped Up"/>
        <s v="Space Song"/>
        <s v="Dreamers [Music from the FIFA World Cup Qatar 2022 Official Soundtrack]"/>
        <s v="Te Felicito"/>
        <s v="Mu√Ø¬ø¬Ω√Ø¬ø¬Ω"/>
        <s v="TV"/>
        <s v="I'm Not The Only One"/>
        <s v="Heather"/>
        <s v="Besharam Rang (From &quot;Pathaan&quot;)"/>
        <s v="One Kiss (with Dua Lipa)"/>
        <s v="Sugar Rush Ride"/>
        <s v="Pink Venom"/>
        <s v="WAIT FOR U (feat. Drake &amp; Tems)"/>
        <s v="Don't Start Now"/>
        <s v="After Dark"/>
        <s v="Eu Gosto Assim - Ao Vivo"/>
        <s v="INDUSTRY BABY (feat. Jack Harlow)"/>
        <s v="MIDDLE OF THE NIGHT"/>
        <s v="Atlantis"/>
        <s v="PUNTO 40"/>
        <s v="Evoque Prata"/>
        <s v="How Do I Say Goodbye"/>
        <s v="Blind"/>
        <s v="Doja"/>
        <s v="Gatita"/>
        <s v="Rumble"/>
        <s v="Niagara Falls (Foot or 2) [with Travis Scott &amp; 21 Savage]"/>
        <s v="Yonaguni"/>
        <s v="Super Freaky Girl"/>
        <s v="Running Up That Hill (A Deal With God)"/>
        <s v="Dream On"/>
        <s v="Limbo"/>
        <s v="Where Are You Now"/>
        <s v="WORTH NOTHING"/>
        <s v="Bad Habits"/>
        <s v="KICK BACK"/>
        <s v="Evergreen (You Didn√Ø¬ø¬Ω√Ø¬ø¬Ω√Ø¬ø¬Ωt Deserve Me A"/>
        <s v="Good Days"/>
        <s v="Levitating (feat. DaBaby)"/>
        <s v="Woman"/>
        <s v="Shut up My Moms Calling - (Sped Up)"/>
        <s v="Ferrari"/>
        <s v="You're On Your Own, Kid"/>
        <s v="Kesariya (From &quot;Brahmastra&quot;)"/>
        <s v="Agudo M√Ø¬ø¬Ω√Ø¬ø¬Ωgi"/>
        <s v="Payphone"/>
        <s v="All I Want for Christmas Is You"/>
        <s v="Last Christmas"/>
        <s v="Rockin' Around The Christmas Tree"/>
        <s v="Jingle Bell Rock"/>
        <s v="It's Beginning To Look A Lot Like Christmas"/>
        <s v="Santa Tell Me"/>
        <s v="It's the Most Wonderful Time of the Year"/>
        <s v="Let It Snow! Let It Snow! Let It Snow!"/>
        <s v="Snowman"/>
        <s v="Underneath the Tree"/>
        <s v="Feliz Navidad"/>
        <s v="Holly Jolly Christmas"/>
        <s v="Mistletoe"/>
        <s v="Sleigh Ride"/>
        <s v="Seek &amp; Destroy"/>
        <s v="Love Language"/>
        <s v="Happy Xmas (War Is Over)"/>
        <s v="Used (feat. Don Toliver)"/>
        <s v="A Holly Jolly Christmas - Single Version"/>
        <s v="The Christmas Song (Merry Christmas To You) - Remastered 1999"/>
        <s v="Wonderful Christmastime - Edited Version / Remastered 2011"/>
        <s v="Do They Know It's Christmas? - 1984 Version"/>
        <s v="Ghost in the Machine (feat. Phoebe Bridgers)"/>
        <s v="Special"/>
        <s v="Merry Christmas Everyone"/>
        <s v="SOS"/>
        <s v="Open Arms (feat. Travis Scott)"/>
        <s v="White Christmas"/>
        <s v="Driving Home for Christmas - 2019 Remaster"/>
        <s v="Christmas (Baby Please Come Home)"/>
        <s v="Gone Girl"/>
        <s v="F2F"/>
        <s v="Notice Me"/>
        <s v="Merry Christmas"/>
        <s v="It's Beginning to Look a Lot Like Christmas (with Mitchell Ayres &amp; His Orchestra)"/>
        <s v="My Only Wish (This Year)"/>
        <s v="Antidepresan"/>
        <s v="Wild Flower (with youjeen)"/>
        <s v="I Hate U"/>
        <s v="Raindrops (Insane) [with Travis Scott]"/>
        <s v="Deck The Hall - Remastered 1999"/>
        <s v="Smoking on my Ex Pack"/>
        <s v="Conceited"/>
        <s v="Snow On The Beach (feat. Lana Del Rey)"/>
        <s v="Maroon"/>
        <s v="Tubar√Ø¬ø¬Ω√Ø¬ø¬Ωo Te"/>
        <s v="Bejeweled"/>
        <s v="Tarot"/>
        <s v="You Make It Feel Like Christmas (feat. Blake Shelton)"/>
        <s v="Desesperados"/>
        <s v="Too Late"/>
        <s v="Party"/>
        <s v="Run Rudolph Run - Single Version"/>
        <s v="Jingle Bells - Remastered 1999"/>
        <s v="Far"/>
        <s v="On Time (with John Legend)"/>
        <s v="GAT√Ø¬ø¬Ω√Ø¬ø¬Ω"/>
        <s v="√Ω√Ω√Ωabcdefu"/>
        <s v="Sacrifice"/>
        <s v="Is There Someone Else?"/>
        <s v="Fingers Crossed"/>
        <s v="Out of Time"/>
        <s v="Do It To It"/>
        <s v="We Don't Talk About Bruno"/>
        <s v="Pepas"/>
        <s v="How Do I Make You Love Me?"/>
        <s v="Gasoline"/>
        <s v="Infinity"/>
        <s v="Less Than Zero"/>
        <s v="Take My Breath"/>
        <s v="good 4 u"/>
        <s v="Here We Go√Ø¬ø¬Ω√Ø¬ø¬Ω√Ø¬ø¬Ω Again (feat. Tyler, the Cr"/>
        <s v="Best Friends"/>
        <s v="Kiss Me More (feat. SZA)"/>
        <s v="I Heard You're Married (feat. Lil Wayne)"/>
        <s v="Need To Know"/>
        <s v="MONTERO (Call Me By Your Name)"/>
        <s v="love nwantiti (ah ah ah)"/>
        <s v="Dawn FM"/>
        <s v="Surface Pressure"/>
        <s v="Starry Eyes"/>
        <s v="THATS WHAT I WANT"/>
        <s v="One Right Now (with The Weeknd)"/>
        <s v="Beggin"/>
        <s v="Mon Amour - Remix"/>
        <s v="Lo Siento BB:/ (with Bad Bunny &amp; Julieta Venegas)"/>
        <s v="MONEY"/>
        <s v="The Motto"/>
        <s v="Happier Than Ever"/>
        <s v="Moth To A Flame (with The Weeknd)"/>
        <s v="traitor"/>
        <s v="Toxic"/>
        <s v="drivers license"/>
        <s v="Malvad√Ø¬ø¬Ω√Ø¬ø"/>
        <s v="All Too Well (10 Minute Version) (Taylor's Version) (From The Vault)"/>
        <s v="Don√Ø¬ø¬Ω√Ø¬ø¬Ω√Ø¬ø¬Ωt Break My"/>
        <s v="Oh My God"/>
        <s v="Entre Nosotros (Remix) [con Nicki Nicole]"/>
        <s v="A Tale By Quincy"/>
        <s v="I AM WOMAN"/>
        <s v="Medallo"/>
        <s v="It'll Be Okay"/>
        <s v="Softcore"/>
        <s v="Super Gremlin"/>
        <s v="Volv√Ø¬ø"/>
        <s v="Todo De Ti"/>
        <s v="Love Nwantiti - Remix"/>
        <s v="Smokin Out The Window"/>
        <s v="Meet Me At Our Spot"/>
        <s v="Every Angel is Terrifying"/>
        <s v="Tacones Rojos"/>
        <s v="Peaches (feat. Daniel Caesar &amp; Giveon)"/>
        <s v="Dakiti"/>
        <s v="Tiago PZK: Bzrp Music Sessions, Vol. 48"/>
        <s v="L√Ø¬ø¬Ω√Ø¬ø¬Ω√Ø¬ø"/>
        <s v="Nost√Ø¬ø¬Ω√Ø¬ø¬Ωl"/>
        <s v="Better Days (NEIKED x Mae Muller x Polo G)"/>
        <s v="Life Goes On"/>
        <s v="Sad Girlz Luv Money Remix (feat. Kali Uchis)"/>
        <s v="Butter"/>
        <s v="pushin P (feat. Young Thug)"/>
        <s v="You Right"/>
        <s v="deja vu"/>
        <s v="Dynamite"/>
        <s v="TO THE MOON"/>
        <s v="Lost in the Fire"/>
        <s v="Salimo de Noche"/>
        <s v="Volando - Remix"/>
        <s v="Leave The Door Open"/>
        <s v="Knife Talk (with 21 Savage ft. Project Pat)"/>
        <s v="Don't Be Shy"/>
        <s v="Love Grows (Where My Rosemary Goes)"/>
        <s v="LA FAMA (with The Weeknd)"/>
        <s v="The Family Madrigal"/>
        <s v="Phantom Regret by Jim"/>
        <s v="Dos Oruguitas"/>
        <s v="Freaks"/>
        <s v="Acapulco"/>
        <s v="Daddy Issues"/>
        <s v="thought i was playing"/>
        <s v="ELEVEN"/>
        <s v="Mood (feat. Iann Dior)"/>
        <s v="What Else Can I Do?"/>
        <s v="DANCE CRIP"/>
        <s v="Miserable Man"/>
        <s v="happier"/>
        <s v="Praise God"/>
        <s v="Get Into It (Yuh)"/>
        <s v="Before You Go"/>
        <s v="Sky"/>
        <s v="Rolling in the Deep"/>
        <s v="Sobrio"/>
        <s v="Peru"/>
        <s v="favorite crime"/>
        <s v="Thunder"/>
        <s v="The Business"/>
        <s v="positions"/>
        <s v="I WANNA BE YOUR SLAVE"/>
        <s v="Vai L√Ø¬ø¬Ω√Ø¬ø¬Ω Em Casa "/>
        <s v="The Feels"/>
        <s v="HEARTBREAK ANNIVERSARY"/>
        <s v="No Lie"/>
        <s v="OUT OUT (feat. Charli XCX &amp; Saweetie)"/>
        <s v="Pope Is a Rockstar"/>
        <n v="2055"/>
        <s v="Bored"/>
        <s v="Happier Than Ever - Edit"/>
        <s v="Astronaut In The Ocean"/>
        <s v="Ley Seca"/>
        <s v="Every Summertime"/>
        <s v="Talking To The Moon"/>
        <s v="you broke me first"/>
        <s v="The Nights"/>
        <s v="Way 2 Sexy (with Future &amp; Young Thug)"/>
        <s v="C√Ø¬ø¬Ω√Ø¬ø¬Ω"/>
        <s v="Enemy - from the series Arcane League of Legends"/>
        <s v="Dance Monkey"/>
        <s v="Lucid Dreams"/>
        <s v="Qu√Ø¬ø¬Ω√Ø¬ø¬Ω M√Ø¬ø¬Ω√Ø¬ø"/>
        <s v="All of Me"/>
        <s v="Smells Like Teen Spirit - Remastered 2021"/>
        <s v="Arcade"/>
        <s v="Fair Trade (with Travis Scott)"/>
        <s v="Bar"/>
        <s v="The Rumbling (TV Size)"/>
        <s v="family ties (with Kendrick Lamar)"/>
        <s v="Mr. Brightside"/>
        <s v="Blessed-Cursed"/>
        <s v="AM Remix"/>
        <s v="Streets"/>
        <s v="Shallow"/>
        <s v="Polaroid Love"/>
        <s v="Leave Before You Love Me (with Jonas Brothers)"/>
        <s v="Permission to Dance"/>
        <s v="Friday (feat. Mufasa &amp; Hypeman) - Dopamine Re-Edit"/>
        <s v="RAPSTAR"/>
        <s v="'Till I Collapse"/>
        <s v="Memories"/>
        <s v="Se Le Ve"/>
        <s v="25k jacket (feat. Lil Baby)"/>
        <s v="When I√Ø¬ø¬Ω√Ø¬ø¬Ω√Ø¬ø¬Ωm Gone (with Katy "/>
        <s v="Esque√Ø¬ø¬Ω√Ø¬ø¬Ωa-Me Se For C"/>
        <s v="Mi√Ø¬ø¬Ω√Ø¬ø¬Ωn"/>
        <s v="S√Ø¬ø¬Ω√Ø¬ø¬Ω"/>
        <s v="MAMIII"/>
        <s v="Still D.R.E."/>
        <s v="Stay Alive (Prod. SUGA of BTS)"/>
        <s v="Boyfriend"/>
        <s v="The Joker And The Queen (feat. Taylor Swift)"/>
        <s v="The Next Episode"/>
        <s v="Light Switch"/>
        <s v="City of Gods"/>
        <s v="Brividi"/>
        <s v="Lost"/>
        <s v="In Da Club"/>
        <s v="she's all i wanna be"/>
        <s v="Ginseng Strip 2002"/>
        <s v="All For Us - from the HBO Original Series Euphoria"/>
        <s v="Notion"/>
        <s v="Formula"/>
        <s v="Mount Everest"/>
        <s v="Excuses"/>
        <s v="Cigarettes"/>
        <s v="Cay√Ø¬ø¬Ω√Ø¬ø¬Ω La Noche (feat. Cruz Cafun√Ø¬ø¬Ω√Ø¬ø¬Ω, Abhir Hathi, Bejo, EL IMA)"/>
        <s v="California Love - Original Version (Explicit)"/>
        <s v="Forgot About Dre"/>
        <s v="Down Under (feat. Colin Hay)"/>
        <s v="Mujeriego"/>
        <s v="HUMBLE."/>
        <s v="Stan"/>
        <s v="Contection"/>
        <s v="Swim"/>
        <s v="A Tu Merced"/>
        <s v="Numb Little Bug"/>
        <n v="212"/>
        <s v="Problem√Ø¬ø¬Ω"/>
        <s v="Bussin"/>
        <s v="Worst Day"/>
        <s v="Malvada"/>
        <s v="Hrs and Hrs"/>
        <s v="Alien Blues"/>
        <s v="Thinking Out Loud"/>
        <s v="Still Don't Know My Name"/>
        <s v="Christmas Tree"/>
        <s v="Mal Feito - Ao Vivo"/>
        <s v="When I R.I.P."/>
        <s v="Do We Have A Problem?"/>
        <s v="Forever"/>
        <s v="Gospel (with Eminem)"/>
        <s v="Se√Ø¬ø¬Ω√Ø¬ø¬Ωo"/>
        <s v="NEW MAGIC WAND"/>
        <s v="Adore You"/>
        <s v="La Santa"/>
        <s v="Something In The Way - Remastered 2021"/>
        <s v="Sweetest Pie"/>
        <s v="Bam Bam (feat. Ed Sheeran)"/>
        <s v="Una Noche en Medell√Ø¬ø¬Ω"/>
        <s v="Envolver"/>
        <s v="Starlight"/>
        <s v="Hati-Hati di Jalan"/>
        <s v="I'm Tired - From &quot;Euphoria&quot; An Original HBO Series"/>
        <s v="DAN√Ø¬ø¬Ω√Ø¬ø¬ΩA"/>
        <s v="Yo Voy (feat. Daddy Yankee)"/>
        <s v="Residente: Bzrp Music Sessions, Vol. 49"/>
        <s v="Jordan"/>
        <s v="Nail Tech"/>
        <s v="Chale"/>
        <s v="DARARI"/>
        <s v="Ya No Somos Ni Seremos"/>
        <s v="Thinking with My Dick"/>
        <s v="Freaky Deaky"/>
        <s v="this is what falling in love feels like"/>
        <s v="La Zona"/>
        <s v="Bohemian Rhapsody - Remastered 2011"/>
        <s v="Hope"/>
        <s v="Levitating"/>
        <s v="Wake Me Up - Radio Edit"/>
        <s v="jealousy, jealousy"/>
        <s v="Mon√Ø¬ø¬Ω√Ø¬ø¬Ωy so"/>
        <s v="Demasiadas Mujeres"/>
        <s v="Something Just Like This"/>
        <s v="Closer"/>
        <s v="O.O"/>
        <s v="Somebody That I Used To Know"/>
        <s v="Tom's Diner"/>
        <s v="First Class"/>
        <s v="Plan A"/>
        <s v="Fuera del mercado"/>
        <s v="X √Ø¬ø¬Ω√Ø¬ø¬ΩLTIMA"/>
        <s v="When You're Gone"/>
        <s v="In My Head"/>
        <s v="Wait a Minute!"/>
        <s v="LOVE DIVE"/>
        <s v="Pantysito"/>
        <s v="Chance"/>
        <s v="Cool for the Summer"/>
        <s v="psychofreak (feat. WILLOW)"/>
        <s v="Angel Baby"/>
        <s v="Vampiro"/>
        <s v="Si Quieren Frontear"/>
        <s v="Right On"/>
        <s v="Me Arrepent√Ø¬ø"/>
        <s v="That's Hilarious"/>
        <s v="Soy El Unico"/>
        <s v="RUMBAT√Ø¬ø¬Ω"/>
        <s v="sentaDONA (Remix) s2"/>
        <s v="Falling"/>
        <s v="Sigue"/>
        <s v="Fim de Semana no Rio"/>
        <s v="MANIAC"/>
        <s v="There's Nothing Holdin' Me Back"/>
        <s v="IDGAF (with blackbear)"/>
        <s v="Golden"/>
        <s v="Get Lucky - Radio Edit"/>
        <s v="Ain't Shit"/>
        <s v="Nobody Like U - From &quot;Turning Red&quot;"/>
        <s v="Still Life"/>
        <s v="Photograph"/>
        <s v="Love Yourself"/>
        <s v="N95"/>
        <s v="Die Hard"/>
        <s v="Despu√Ø¬ø¬Ω√Ø¬ø¬Ωs de la P"/>
        <s v="Un Ratito"/>
        <s v="United In Grief"/>
        <s v="Father Time (feat. Sampha)"/>
        <s v="Yo No Soy Celoso"/>
        <s v="Rich Spirit"/>
        <s v="Cooped Up (with Roddy Ricch)"/>
        <s v="Me Fui de Vacaciones"/>
        <s v="Silent Hill"/>
        <s v="La Corriente"/>
        <s v="Count Me Out"/>
        <s v="Andrea"/>
        <s v="Dos Mil 16"/>
        <s v="We Cry Together"/>
        <s v="Savior"/>
        <s v="Un Coco"/>
        <s v="Otro Atardecer"/>
        <s v="Worldwide Steppers"/>
        <s v="Aguacero"/>
        <s v="Purple Hearts"/>
        <s v="Un Verano Sin Ti"/>
        <s v="ULTRA SOLO"/>
        <s v="Ens√Ø¬ø¬Ω√Ø¬ø¬Ω√Ø¬ø¬Ω√Ø¬ø¬Ωame "/>
        <s v="El Apag√Ø¬ø¬Ω"/>
        <s v="Callaita"/>
        <s v="Dua Lipa"/>
        <s v="Agosto"/>
        <s v="House Of Memories"/>
        <s v="Mr. Morale"/>
        <s v="That That (prod. &amp; feat. SUGA of BTS)"/>
        <s v="In The Stars"/>
        <s v="Rich - Interlude"/>
        <s v="SUPERMODEL"/>
        <s v="Stefania (Kalush Orchestra)"/>
        <s v="Thousand Miles"/>
        <s v="Crown"/>
        <s v="Auntie Diaries"/>
        <s v="PUFFIN ON ZOOTIEZ"/>
        <s v="Mirror"/>
        <s v="Beautiful Girl"/>
        <s v="Paulo Londra: Bzrp Music Sessions, Vol. 23"/>
        <s v="Savior - Interlude"/>
        <s v="Pasoori"/>
        <s v="Mother I Sober (feat. Beth Gibbons of Portishead)"/>
        <s v="TUS L√Ø¬ø¬Ω√Ø¬ø¬ΩGR"/>
        <s v="Where Did You Go?"/>
        <s v="I Tried to Tell Y'all"/>
        <s v="Honest (feat. Don Toliver)"/>
        <s v="ZOOM"/>
        <s v="SloMo"/>
        <s v="FEARLESS"/>
        <s v="10 Things I Hate About You"/>
        <s v="SPACE MAN"/>
        <s v="With you"/>
        <s v="Iris"/>
        <s v="The Heart Part 5"/>
        <s v="San Lucas"/>
        <s v="This Love (Taylor√Ø¬ø¬Ω√Ø¬ø¬Ω√Ø¬ø¬Ωs Ve"/>
        <s v="Good Looking"/>
        <s v="Yet To Come"/>
        <s v="Run BTS"/>
        <s v="Music For a Sushi Restaurant"/>
        <s v="Matilda"/>
        <s v="For Youth"/>
        <s v="Vegas (From the Original Motion Picture Soundtrack ELVIS)"/>
        <s v="Cash In Cash Out"/>
        <s v="Potion (with Dua Lipa &amp; Young Thug)"/>
        <s v="Born Singer"/>
        <s v="Little Freak"/>
        <s v="La Llevo Al Cielo (Ft. √Ø¬ø¬Ω√Ø¬ø¬Ωengo F"/>
        <s v="True Love"/>
        <s v="Satellite"/>
        <s v="Pass The Dutchie"/>
        <s v="Villano Antillano: Bzrp Music Sessions, Vol. 51"/>
        <s v="Love Of My Life"/>
        <s v="Grapejuice"/>
        <s v="So Good"/>
        <s v="Belly Dancer"/>
        <s v="Keep Driving"/>
        <s v="Cinema"/>
        <s v="Die Young (feat. 347aidan)"/>
        <s v="Only Love Can Hurt Like This"/>
        <s v="Hold My Hand"/>
        <s v="Daydreaming"/>
        <s v="Nos Comemos (feat. Ozuna)"/>
        <s v="Me and Your Mama"/>
        <s v="Crazy What Love Can Do"/>
        <s v="SLOW DANCING IN THE DARK"/>
        <s v="Antes de Perderte"/>
        <s v="Boyfriends"/>
        <n v="295"/>
        <s v="Tak Ingin Usai"/>
        <s v="En El Radio Un Cochinero"/>
        <s v="Master of Puppets (Remastered)"/>
        <s v="BREAK MY SOUL"/>
        <s v="ULTRA SOLO REMIX"/>
        <s v="Massive"/>
        <s v="Betty (Get Money)"/>
        <s v="Ojos Marrones"/>
        <s v="POP!"/>
        <s v="Layla"/>
        <s v="MORE"/>
        <s v="Sweet Child O' Mine"/>
        <s v="Last Last"/>
        <s v="Sticky"/>
        <s v="Hot Shit (feat. Ye &amp; Lil Durk)"/>
        <s v="Ai Preto"/>
        <s v="La Loto"/>
        <s v="die first"/>
        <s v="Afraid To Feel"/>
        <s v="Baile no Morro"/>
        <s v="c√Ø¬ø¬Ω√Ø¬ø¬Ωmo dormi"/>
        <s v="Bad Decisions (with BTS &amp; Snoop Dogg)"/>
        <s v="STAYING ALIVE (feat. Drake &amp; Lil Baby)"/>
        <s v="Caile"/>
        <s v="Si Te La Encuentras Por Ah√Ø¬ø"/>
        <s v="GIVENCHY"/>
        <s v="ALIEN SUPERSTAR"/>
        <s v="Mary On A Cross"/>
        <s v="Attention"/>
        <s v="THE SHADE"/>
        <s v="Come Back Home - From &quot;Purple Hearts&quot;"/>
        <s v="El Rescate"/>
        <s v="Heartless"/>
        <s v="Stay With Me (with Justin Timberlake, Halsey, &amp; Pharrell)"/>
        <s v="Siempre Pendientes"/>
        <s v="JGL"/>
        <s v="Don't You Worry"/>
        <s v="Pipoco"/>
        <s v="Hold Me Closer"/>
        <s v="Forget Me"/>
        <s v="After LIKE"/>
        <s v="Bound 2"/>
        <s v="B.O.T.A. (Baddest Of Them All) - Edit"/>
        <s v="Talk that Talk"/>
        <s v="BILLIE EILISH."/>
        <s v="Ferxxo 100"/>
        <s v="KU LO SA - A COLORS SHOW"/>
        <s v="Prohibidox"/>
        <s v="Static"/>
        <s v="The Scientist"/>
        <s v="Sparks"/>
        <s v="Talk"/>
        <s v="XQ Te Pones As√Ø¬ø"/>
        <s v="Selfish"/>
        <s v="Sin Se√Ø¬ø¬Ω√Ø"/>
        <s v="Lady Mi Amor"/>
        <s v="Poland"/>
        <s v="THE LONELIEST"/>
        <s v="Bye Bye"/>
        <s v="BABY OTAKU"/>
        <s v="Nxde"/>
        <s v="we fell in love in october"/>
        <s v="2 Be Loved (Am I Ready)"/>
        <s v="Celestial"/>
        <s v="Typa Girl"/>
        <s v="I Really Want to Stay at Your House"/>
        <s v="California Breeze"/>
        <s v="Bamba (feat. Aitch &amp; BIA)"/>
        <s v="Casei Com a Putaria"/>
        <s v="Major Distribution"/>
        <s v="Pussy &amp; Millions (feat. Travis Scott)"/>
        <s v="Vigilante Shit"/>
        <s v="Question...?"/>
        <s v="On BS"/>
        <s v="Mastermind"/>
        <s v="Circo Loco"/>
        <s v="Labyrinth"/>
        <s v="Spin Bout U"/>
        <s v="Sweet Nothing"/>
        <s v="Would've, Could've, Should've"/>
        <s v="Con La Brisa"/>
        <s v="Privileged Rappers"/>
        <s v="The Astronaut"/>
        <s v="BackOutsideBoyz"/>
        <s v="Broke Boys"/>
        <s v="The Great War"/>
        <s v="My Mind &amp; Me"/>
        <s v="Bigger Than The Whole Sky"/>
        <s v="A Veces (feat. Feid)"/>
        <s v="En La De Ella"/>
        <s v="Alone"/>
      </sharedItems>
    </cacheField>
    <cacheField name="artists_name" numFmtId="0">
      <sharedItems/>
    </cacheField>
    <cacheField name="num_artists" numFmtId="0">
      <sharedItems containsSemiMixedTypes="0" containsString="0" containsNumber="1" containsInteger="1" minValue="1" maxValue="8"/>
    </cacheField>
    <cacheField name="release_date" numFmtId="14">
      <sharedItems containsSemiMixedTypes="0" containsNonDate="0" containsDate="1" containsString="0" minDate="1930-01-01T00:00:00" maxDate="2023-07-15T00:00:00"/>
    </cacheField>
    <cacheField name="in_spotify_playlists" numFmtId="0">
      <sharedItems containsSemiMixedTypes="0" containsString="0" containsNumber="1" containsInteger="1" minValue="31" maxValue="52898"/>
    </cacheField>
    <cacheField name="in_spotify_charts" numFmtId="0">
      <sharedItems containsSemiMixedTypes="0" containsString="0" containsNumber="1" containsInteger="1" minValue="0" maxValue="147"/>
    </cacheField>
    <cacheField name="in_apple_playlists" numFmtId="0">
      <sharedItems containsSemiMixedTypes="0" containsString="0" containsNumber="1" containsInteger="1" minValue="0" maxValue="672"/>
    </cacheField>
    <cacheField name="in_apple_charts" numFmtId="0">
      <sharedItems containsSemiMixedTypes="0" containsString="0" containsNumber="1" containsInteger="1" minValue="0" maxValue="275"/>
    </cacheField>
    <cacheField name="in_deezer_playlists" numFmtId="0">
      <sharedItems containsSemiMixedTypes="0" containsString="0" containsNumber="1" containsInteger="1" minValue="0" maxValue="12367"/>
    </cacheField>
    <cacheField name="in_deezer_charts" numFmtId="0">
      <sharedItems containsSemiMixedTypes="0" containsString="0" containsNumber="1" containsInteger="1" minValue="0" maxValue="58"/>
    </cacheField>
    <cacheField name="in_shazam_charts" numFmtId="0">
      <sharedItems containsString="0" containsBlank="1" containsNumber="1" containsInteger="1" minValue="0" maxValue="1451"/>
    </cacheField>
    <cacheField name="streams" numFmtId="0">
      <sharedItems containsMixedTypes="1" containsNumber="1" containsInteger="1" minValue="2762" maxValue="3703895074"/>
    </cacheField>
    <cacheField name="bpm" numFmtId="0">
      <sharedItems containsSemiMixedTypes="0" containsString="0" containsNumber="1" containsInteger="1" minValue="65" maxValue="206"/>
    </cacheField>
    <cacheField name="key" numFmtId="0">
      <sharedItems containsBlank="1"/>
    </cacheField>
    <cacheField name="mode" numFmtId="0">
      <sharedItems/>
    </cacheField>
    <cacheField name="danceability_%" numFmtId="0">
      <sharedItems containsSemiMixedTypes="0" containsString="0" containsNumber="1" containsInteger="1" minValue="23" maxValue="96"/>
    </cacheField>
    <cacheField name="valence_%" numFmtId="0">
      <sharedItems containsSemiMixedTypes="0" containsString="0" containsNumber="1" containsInteger="1" minValue="4" maxValue="97"/>
    </cacheField>
    <cacheField name="Mood" numFmtId="0">
      <sharedItems count="3">
        <s v="Good"/>
        <s v="Ok"/>
        <s v="Bad"/>
      </sharedItems>
    </cacheField>
    <cacheField name="energy_%" numFmtId="0">
      <sharedItems containsSemiMixedTypes="0" containsString="0" containsNumber="1" containsInteger="1" minValue="9" maxValue="97"/>
    </cacheField>
    <cacheField name="Energy Level" numFmtId="0">
      <sharedItems count="2">
        <s v="High"/>
        <s v="Low"/>
      </sharedItems>
    </cacheField>
    <cacheField name="acousticness_%" numFmtId="0">
      <sharedItems containsSemiMixedTypes="0" containsString="0" containsNumber="1" containsInteger="1" minValue="0" maxValue="97"/>
    </cacheField>
    <cacheField name="instrumentalness_%" numFmtId="0">
      <sharedItems containsSemiMixedTypes="0" containsString="0" containsNumber="1" containsInteger="1" minValue="0" maxValue="91"/>
    </cacheField>
    <cacheField name="liveness_%" numFmtId="0">
      <sharedItems containsSemiMixedTypes="0" containsString="0" containsNumber="1" containsInteger="1" minValue="3" maxValue="97"/>
    </cacheField>
    <cacheField name="speechiness_%" numFmtId="0">
      <sharedItems containsSemiMixedTypes="0" containsString="0" containsNumber="1" containsInteger="1" minValue="2" maxValue="64"/>
    </cacheField>
    <cacheField name="Random" numFmtId="0">
      <sharedItems containsSemiMixedTypes="0" containsString="0" containsNumber="1" minValue="1.0566849871518347E-2" maxValue="99.821776774616524"/>
    </cacheField>
  </cacheFields>
  <extLst>
    <ext xmlns:x14="http://schemas.microsoft.com/office/spreadsheetml/2009/9/main" uri="{725AE2AE-9491-48be-B2B4-4EB974FC3084}">
      <x14:pivotCacheDefinition pivotCacheId="918905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3">
  <r>
    <x v="0"/>
    <s v="Latto, Jung Kook"/>
    <n v="2"/>
    <d v="2023-07-14T00:00:00"/>
    <n v="553"/>
    <n v="147"/>
    <n v="43"/>
    <n v="263"/>
    <n v="45"/>
    <n v="10"/>
    <n v="826"/>
    <n v="141381703"/>
    <n v="125"/>
    <s v="B"/>
    <s v="Major"/>
    <n v="80"/>
    <n v="89"/>
    <x v="0"/>
    <n v="83"/>
    <x v="0"/>
    <n v="31"/>
    <n v="0"/>
    <n v="8"/>
    <n v="4"/>
    <n v="67.779240535998795"/>
  </r>
  <r>
    <x v="1"/>
    <s v="Myke Towers"/>
    <n v="1"/>
    <d v="2023-03-23T00:00:00"/>
    <n v="1474"/>
    <n v="48"/>
    <n v="48"/>
    <n v="126"/>
    <n v="58"/>
    <n v="14"/>
    <n v="382"/>
    <n v="133716286"/>
    <n v="92"/>
    <s v="C#"/>
    <s v="Major"/>
    <n v="71"/>
    <n v="61"/>
    <x v="1"/>
    <n v="74"/>
    <x v="0"/>
    <n v="7"/>
    <n v="0"/>
    <n v="10"/>
    <n v="4"/>
    <n v="21.137517278727447"/>
  </r>
  <r>
    <x v="2"/>
    <s v="Olivia Rodrigo"/>
    <n v="1"/>
    <d v="2023-06-30T00:00:00"/>
    <n v="1397"/>
    <n v="113"/>
    <n v="94"/>
    <n v="207"/>
    <n v="91"/>
    <n v="14"/>
    <n v="949"/>
    <n v="140003974"/>
    <n v="138"/>
    <s v="F"/>
    <s v="Major"/>
    <n v="51"/>
    <n v="32"/>
    <x v="2"/>
    <n v="53"/>
    <x v="0"/>
    <n v="17"/>
    <n v="0"/>
    <n v="31"/>
    <n v="6"/>
    <n v="15.200497663109246"/>
  </r>
  <r>
    <x v="3"/>
    <s v="Taylor Swift"/>
    <n v="1"/>
    <d v="2019-08-23T00:00:00"/>
    <n v="7858"/>
    <n v="100"/>
    <n v="116"/>
    <n v="207"/>
    <n v="125"/>
    <n v="12"/>
    <n v="548"/>
    <n v="800840817"/>
    <n v="170"/>
    <s v="A"/>
    <s v="Major"/>
    <n v="55"/>
    <n v="58"/>
    <x v="1"/>
    <n v="72"/>
    <x v="0"/>
    <n v="11"/>
    <n v="0"/>
    <n v="11"/>
    <n v="15"/>
    <n v="92.973384956818563"/>
  </r>
  <r>
    <x v="4"/>
    <s v="Bad Bunny"/>
    <n v="1"/>
    <d v="2023-05-18T00:00:00"/>
    <n v="3133"/>
    <n v="50"/>
    <n v="84"/>
    <n v="133"/>
    <n v="87"/>
    <n v="15"/>
    <n v="425"/>
    <n v="303236322"/>
    <n v="144"/>
    <s v="A"/>
    <s v="Minor"/>
    <n v="65"/>
    <n v="23"/>
    <x v="2"/>
    <n v="80"/>
    <x v="0"/>
    <n v="14"/>
    <n v="63"/>
    <n v="11"/>
    <n v="6"/>
    <n v="88.757101271951782"/>
  </r>
  <r>
    <x v="5"/>
    <s v="Dave, Central Cee"/>
    <n v="2"/>
    <d v="2023-06-01T00:00:00"/>
    <n v="2186"/>
    <n v="91"/>
    <n v="67"/>
    <n v="213"/>
    <n v="88"/>
    <n v="17"/>
    <n v="946"/>
    <n v="183706234"/>
    <n v="141"/>
    <s v="C#"/>
    <s v="Major"/>
    <n v="92"/>
    <n v="66"/>
    <x v="1"/>
    <n v="58"/>
    <x v="0"/>
    <n v="19"/>
    <n v="0"/>
    <n v="8"/>
    <n v="24"/>
    <n v="31.637032013899514"/>
  </r>
  <r>
    <x v="6"/>
    <s v="Eslabon Armado, Peso Pluma"/>
    <n v="2"/>
    <d v="2023-03-16T00:00:00"/>
    <n v="3090"/>
    <n v="50"/>
    <n v="34"/>
    <n v="222"/>
    <n v="43"/>
    <n v="13"/>
    <n v="418"/>
    <n v="725980112"/>
    <n v="148"/>
    <s v="F"/>
    <s v="Minor"/>
    <n v="67"/>
    <n v="83"/>
    <x v="0"/>
    <n v="76"/>
    <x v="0"/>
    <n v="48"/>
    <n v="0"/>
    <n v="8"/>
    <n v="3"/>
    <n v="57.691957685138298"/>
  </r>
  <r>
    <x v="7"/>
    <s v="Quevedo"/>
    <n v="1"/>
    <d v="2023-07-07T00:00:00"/>
    <n v="714"/>
    <n v="43"/>
    <n v="25"/>
    <n v="89"/>
    <n v="30"/>
    <n v="13"/>
    <n v="194"/>
    <n v="58149378"/>
    <n v="100"/>
    <s v="F"/>
    <s v="Major"/>
    <n v="67"/>
    <n v="26"/>
    <x v="2"/>
    <n v="71"/>
    <x v="0"/>
    <n v="37"/>
    <n v="0"/>
    <n v="11"/>
    <n v="4"/>
    <n v="91.392936063904401"/>
  </r>
  <r>
    <x v="8"/>
    <s v="Gunna"/>
    <n v="1"/>
    <d v="2023-05-15T00:00:00"/>
    <n v="1096"/>
    <n v="83"/>
    <n v="60"/>
    <n v="210"/>
    <n v="48"/>
    <n v="11"/>
    <n v="953"/>
    <n v="95217315"/>
    <n v="130"/>
    <s v="C#"/>
    <s v="Minor"/>
    <n v="85"/>
    <n v="22"/>
    <x v="2"/>
    <n v="62"/>
    <x v="0"/>
    <n v="12"/>
    <n v="0"/>
    <n v="28"/>
    <n v="9"/>
    <n v="75.049808295826509"/>
  </r>
  <r>
    <x v="9"/>
    <s v="Peso Pluma, Yng Lvcas"/>
    <n v="2"/>
    <d v="2023-03-17T00:00:00"/>
    <n v="2953"/>
    <n v="44"/>
    <n v="49"/>
    <n v="110"/>
    <n v="66"/>
    <n v="13"/>
    <n v="339"/>
    <n v="553634067"/>
    <n v="170"/>
    <s v="D"/>
    <s v="Minor"/>
    <n v="81"/>
    <n v="56"/>
    <x v="1"/>
    <n v="48"/>
    <x v="1"/>
    <n v="21"/>
    <n v="0"/>
    <n v="8"/>
    <n v="33"/>
    <n v="95.436645690924038"/>
  </r>
  <r>
    <x v="10"/>
    <s v="Bad Bunny, Grupo Frontera"/>
    <n v="2"/>
    <d v="2023-04-17T00:00:00"/>
    <n v="2876"/>
    <n v="40"/>
    <n v="41"/>
    <n v="205"/>
    <n v="54"/>
    <n v="12"/>
    <n v="251"/>
    <n v="505671438"/>
    <n v="83"/>
    <s v="F#"/>
    <s v="Minor"/>
    <n v="57"/>
    <n v="56"/>
    <x v="1"/>
    <n v="72"/>
    <x v="0"/>
    <n v="23"/>
    <n v="0"/>
    <n v="27"/>
    <n v="5"/>
    <n v="48.622658236870663"/>
  </r>
  <r>
    <x v="11"/>
    <s v="NewJeans"/>
    <n v="1"/>
    <d v="2023-07-07T00:00:00"/>
    <n v="422"/>
    <n v="55"/>
    <n v="37"/>
    <n v="202"/>
    <n v="21"/>
    <n v="5"/>
    <n v="168"/>
    <n v="58255150"/>
    <n v="150"/>
    <s v="F"/>
    <s v="Minor"/>
    <n v="78"/>
    <n v="52"/>
    <x v="1"/>
    <n v="82"/>
    <x v="0"/>
    <n v="18"/>
    <n v="0"/>
    <n v="15"/>
    <n v="7"/>
    <n v="98.54653884163983"/>
  </r>
  <r>
    <x v="12"/>
    <s v="Miley Cyrus"/>
    <n v="1"/>
    <d v="2023-01-12T00:00:00"/>
    <n v="12211"/>
    <n v="115"/>
    <n v="300"/>
    <n v="215"/>
    <n v="745"/>
    <n v="58"/>
    <n v="1021"/>
    <n v="1316855716"/>
    <n v="118"/>
    <m/>
    <s v="Major"/>
    <n v="71"/>
    <n v="65"/>
    <x v="1"/>
    <n v="68"/>
    <x v="0"/>
    <n v="6"/>
    <n v="0"/>
    <n v="3"/>
    <n v="7"/>
    <n v="39.231737989926309"/>
  </r>
  <r>
    <x v="13"/>
    <s v="David Kushner"/>
    <n v="1"/>
    <d v="2023-04-14T00:00:00"/>
    <n v="3528"/>
    <n v="98"/>
    <n v="80"/>
    <n v="156"/>
    <n v="182"/>
    <n v="24"/>
    <n v="1281"/>
    <n v="387570742"/>
    <n v="130"/>
    <s v="D"/>
    <s v="Minor"/>
    <n v="51"/>
    <n v="32"/>
    <x v="2"/>
    <n v="43"/>
    <x v="1"/>
    <n v="83"/>
    <n v="0"/>
    <n v="9"/>
    <n v="3"/>
    <n v="74.025614386830014"/>
  </r>
  <r>
    <x v="14"/>
    <s v="Harry Styles"/>
    <n v="1"/>
    <d v="2022-03-31T00:00:00"/>
    <n v="23575"/>
    <n v="130"/>
    <n v="403"/>
    <n v="198"/>
    <n v="863"/>
    <n v="46"/>
    <m/>
    <n v="2513188493"/>
    <n v="174"/>
    <s v="F#"/>
    <s v="Minor"/>
    <n v="52"/>
    <n v="66"/>
    <x v="1"/>
    <n v="73"/>
    <x v="0"/>
    <n v="34"/>
    <n v="0"/>
    <n v="31"/>
    <n v="6"/>
    <n v="14.500871118804625"/>
  </r>
  <r>
    <x v="15"/>
    <s v="SZA"/>
    <n v="1"/>
    <d v="2022-12-08T00:00:00"/>
    <n v="8109"/>
    <n v="77"/>
    <n v="183"/>
    <n v="162"/>
    <n v="161"/>
    <n v="12"/>
    <n v="187"/>
    <n v="1163093654"/>
    <n v="89"/>
    <s v="G#"/>
    <s v="Major"/>
    <n v="64"/>
    <n v="43"/>
    <x v="1"/>
    <n v="73"/>
    <x v="0"/>
    <n v="5"/>
    <n v="17"/>
    <n v="16"/>
    <n v="4"/>
    <n v="65.757387761653945"/>
  </r>
  <r>
    <x v="16"/>
    <s v="Fifty Fifty"/>
    <n v="1"/>
    <d v="2023-02-24T00:00:00"/>
    <n v="2942"/>
    <n v="77"/>
    <n v="91"/>
    <n v="212"/>
    <n v="78"/>
    <n v="6"/>
    <n v="0"/>
    <n v="496795686"/>
    <n v="120"/>
    <s v="B"/>
    <s v="Minor"/>
    <n v="78"/>
    <n v="76"/>
    <x v="0"/>
    <n v="59"/>
    <x v="0"/>
    <n v="43"/>
    <n v="0"/>
    <n v="34"/>
    <n v="3"/>
    <n v="27.531579910505744"/>
  </r>
  <r>
    <x v="17"/>
    <s v="Billie Eilish"/>
    <n v="1"/>
    <d v="2023-07-13T00:00:00"/>
    <n v="873"/>
    <n v="104"/>
    <n v="80"/>
    <n v="227"/>
    <n v="95"/>
    <n v="24"/>
    <n v="1173"/>
    <n v="30546883"/>
    <n v="78"/>
    <m/>
    <s v="Major"/>
    <n v="44"/>
    <n v="14"/>
    <x v="2"/>
    <n v="9"/>
    <x v="1"/>
    <n v="96"/>
    <n v="0"/>
    <n v="10"/>
    <n v="3"/>
    <n v="36.905357084172984"/>
  </r>
  <r>
    <x v="18"/>
    <s v="Feid, Young Miko"/>
    <n v="2"/>
    <d v="2023-03-31T00:00:00"/>
    <n v="2610"/>
    <n v="40"/>
    <n v="43"/>
    <n v="100"/>
    <n v="54"/>
    <n v="14"/>
    <n v="187"/>
    <n v="335222234"/>
    <n v="100"/>
    <s v="B"/>
    <s v="Major"/>
    <n v="86"/>
    <n v="67"/>
    <x v="1"/>
    <n v="66"/>
    <x v="0"/>
    <n v="14"/>
    <n v="0"/>
    <n v="12"/>
    <n v="16"/>
    <n v="10.343740031733518"/>
  </r>
  <r>
    <x v="19"/>
    <s v="Jimin"/>
    <n v="1"/>
    <d v="2023-03-24T00:00:00"/>
    <n v="596"/>
    <n v="68"/>
    <n v="8"/>
    <n v="104"/>
    <n v="23"/>
    <n v="2"/>
    <n v="29"/>
    <n v="363369738"/>
    <n v="120"/>
    <s v="G"/>
    <s v="Major"/>
    <n v="63"/>
    <n v="36"/>
    <x v="2"/>
    <n v="73"/>
    <x v="0"/>
    <n v="0"/>
    <n v="0"/>
    <n v="36"/>
    <n v="4"/>
    <n v="52.194653836704234"/>
  </r>
  <r>
    <x v="20"/>
    <s v="Gabito Ballesteros, Junior H, Peso Pluma"/>
    <n v="3"/>
    <d v="2023-06-22T00:00:00"/>
    <n v="332"/>
    <n v="26"/>
    <n v="11"/>
    <n v="163"/>
    <n v="10"/>
    <n v="4"/>
    <n v="0"/>
    <n v="86444842"/>
    <n v="140"/>
    <s v="F"/>
    <s v="Minor"/>
    <n v="65"/>
    <n v="87"/>
    <x v="0"/>
    <n v="74"/>
    <x v="0"/>
    <n v="22"/>
    <n v="0"/>
    <n v="42"/>
    <n v="4"/>
    <n v="89.626086119329358"/>
  </r>
  <r>
    <x v="21"/>
    <s v="Taylor Swift"/>
    <n v="1"/>
    <d v="2023-07-07T00:00:00"/>
    <n v="516"/>
    <n v="38"/>
    <n v="73"/>
    <n v="119"/>
    <n v="42"/>
    <n v="1"/>
    <n v="150"/>
    <n v="52135248"/>
    <n v="123"/>
    <s v="F#"/>
    <s v="Major"/>
    <n v="69"/>
    <n v="82"/>
    <x v="0"/>
    <n v="76"/>
    <x v="0"/>
    <n v="6"/>
    <n v="0"/>
    <n v="6"/>
    <n v="3"/>
    <n v="69.239091721974276"/>
  </r>
  <r>
    <x v="22"/>
    <s v="Arctic Monkeys"/>
    <n v="1"/>
    <d v="2013-01-01T00:00:00"/>
    <n v="12859"/>
    <n v="110"/>
    <n v="24"/>
    <n v="98"/>
    <n v="582"/>
    <n v="2"/>
    <n v="73"/>
    <n v="1297026226"/>
    <n v="135"/>
    <m/>
    <s v="Minor"/>
    <n v="48"/>
    <n v="44"/>
    <x v="1"/>
    <n v="42"/>
    <x v="1"/>
    <n v="12"/>
    <n v="2"/>
    <n v="11"/>
    <n v="3"/>
    <n v="5.8939913827038115"/>
  </r>
  <r>
    <x v="23"/>
    <s v="Bizarrap, Peso Pluma"/>
    <n v="2"/>
    <d v="2023-05-31T00:00:00"/>
    <n v="1313"/>
    <n v="40"/>
    <n v="17"/>
    <n v="152"/>
    <n v="32"/>
    <n v="11"/>
    <n v="139"/>
    <n v="200647221"/>
    <n v="133"/>
    <s v="F"/>
    <s v="Minor"/>
    <n v="85"/>
    <n v="81"/>
    <x v="0"/>
    <n v="67"/>
    <x v="0"/>
    <n v="26"/>
    <n v="0"/>
    <n v="12"/>
    <n v="5"/>
    <n v="39.00257478667811"/>
  </r>
  <r>
    <x v="24"/>
    <s v="The Weeknd, Madonna, Playboi Carti"/>
    <n v="3"/>
    <d v="2023-06-02T00:00:00"/>
    <n v="1945"/>
    <n v="87"/>
    <n v="74"/>
    <n v="182"/>
    <n v="87"/>
    <n v="14"/>
    <n v="1093"/>
    <n v="115364561"/>
    <n v="99"/>
    <s v="C#"/>
    <s v="Major"/>
    <n v="85"/>
    <n v="83"/>
    <x v="0"/>
    <n v="68"/>
    <x v="0"/>
    <n v="7"/>
    <n v="0"/>
    <n v="36"/>
    <n v="20"/>
    <n v="48.216031652698931"/>
  </r>
  <r>
    <x v="25"/>
    <s v="Fuerza Regida"/>
    <n v="1"/>
    <d v="2023-06-22T00:00:00"/>
    <n v="250"/>
    <n v="26"/>
    <n v="16"/>
    <n v="149"/>
    <n v="10"/>
    <n v="5"/>
    <n v="168"/>
    <n v="78300654"/>
    <n v="130"/>
    <s v="G"/>
    <s v="Minor"/>
    <n v="79"/>
    <n v="96"/>
    <x v="0"/>
    <n v="86"/>
    <x v="0"/>
    <n v="9"/>
    <n v="0"/>
    <n v="9"/>
    <n v="9"/>
    <n v="53.723732205893512"/>
  </r>
  <r>
    <x v="26"/>
    <s v="R√Ø¬ø¬Ω√Ø¬ø¬Ωma, Selena G"/>
    <n v="2"/>
    <d v="2022-03-25T00:00:00"/>
    <n v="7112"/>
    <n v="77"/>
    <n v="202"/>
    <n v="119"/>
    <n v="318"/>
    <n v="38"/>
    <n v="96"/>
    <n v="899183384"/>
    <n v="107"/>
    <s v="B"/>
    <s v="Major"/>
    <n v="80"/>
    <n v="82"/>
    <x v="0"/>
    <n v="80"/>
    <x v="0"/>
    <n v="43"/>
    <n v="0"/>
    <n v="14"/>
    <n v="4"/>
    <n v="50.641777196064986"/>
  </r>
  <r>
    <x v="27"/>
    <s v="Tainy, Bad Bunny"/>
    <n v="2"/>
    <d v="2023-06-29T00:00:00"/>
    <n v="859"/>
    <n v="40"/>
    <n v="35"/>
    <n v="109"/>
    <n v="41"/>
    <n v="14"/>
    <n v="211"/>
    <n v="61245289"/>
    <n v="122"/>
    <s v="F#"/>
    <s v="Minor"/>
    <n v="81"/>
    <n v="74"/>
    <x v="0"/>
    <n v="71"/>
    <x v="0"/>
    <n v="14"/>
    <n v="0"/>
    <n v="56"/>
    <n v="4"/>
    <n v="28.631679899640318"/>
  </r>
  <r>
    <x v="28"/>
    <s v="Morgan Wallen"/>
    <n v="1"/>
    <d v="2023-01-31T00:00:00"/>
    <n v="2420"/>
    <n v="19"/>
    <n v="52"/>
    <n v="107"/>
    <n v="15"/>
    <n v="1"/>
    <n v="325"/>
    <n v="429829812"/>
    <n v="204"/>
    <s v="F#"/>
    <s v="Major"/>
    <n v="52"/>
    <n v="52"/>
    <x v="1"/>
    <n v="68"/>
    <x v="0"/>
    <n v="46"/>
    <n v="0"/>
    <n v="15"/>
    <n v="4"/>
    <n v="14.065552398184678"/>
  </r>
  <r>
    <x v="29"/>
    <s v="Dua Lipa"/>
    <n v="1"/>
    <d v="2023-05-25T00:00:00"/>
    <n v="2988"/>
    <n v="101"/>
    <n v="0"/>
    <n v="0"/>
    <n v="143"/>
    <n v="38"/>
    <n v="0"/>
    <n v="127408954"/>
    <n v="110"/>
    <s v="B"/>
    <s v="Minor"/>
    <n v="67"/>
    <n v="78"/>
    <x v="0"/>
    <n v="85"/>
    <x v="0"/>
    <n v="2"/>
    <n v="0"/>
    <n v="33"/>
    <n v="5"/>
    <n v="98.419528369656703"/>
  </r>
  <r>
    <x v="30"/>
    <s v="Troye Sivan"/>
    <n v="1"/>
    <d v="2023-07-13T00:00:00"/>
    <n v="864"/>
    <n v="78"/>
    <n v="71"/>
    <n v="135"/>
    <n v="50"/>
    <n v="1"/>
    <n v="294"/>
    <n v="22581161"/>
    <n v="126"/>
    <s v="F"/>
    <s v="Minor"/>
    <n v="74"/>
    <n v="35"/>
    <x v="2"/>
    <n v="84"/>
    <x v="0"/>
    <n v="0"/>
    <n v="0"/>
    <n v="11"/>
    <n v="6"/>
    <n v="51.150436132613699"/>
  </r>
  <r>
    <x v="31"/>
    <s v="Peso Pluma, Grupo Frontera"/>
    <n v="2"/>
    <d v="2023-06-28T00:00:00"/>
    <n v="266"/>
    <n v="34"/>
    <n v="20"/>
    <n v="185"/>
    <n v="13"/>
    <n v="8"/>
    <n v="197"/>
    <n v="52294266"/>
    <n v="168"/>
    <s v="F#"/>
    <s v="Major"/>
    <n v="56"/>
    <n v="63"/>
    <x v="1"/>
    <n v="87"/>
    <x v="0"/>
    <n v="39"/>
    <n v="0"/>
    <n v="11"/>
    <n v="5"/>
    <n v="35.196054650690975"/>
  </r>
  <r>
    <x v="32"/>
    <s v="The Weeknd, 21 Savage, Metro Boomin"/>
    <n v="3"/>
    <d v="2022-12-02T00:00:00"/>
    <n v="6036"/>
    <n v="88"/>
    <n v="113"/>
    <n v="149"/>
    <n v="245"/>
    <n v="23"/>
    <n v="27"/>
    <n v="843957510"/>
    <n v="98"/>
    <s v="C#"/>
    <s v="Minor"/>
    <n v="71"/>
    <n v="17"/>
    <x v="2"/>
    <n v="61"/>
    <x v="0"/>
    <n v="36"/>
    <n v="0"/>
    <n v="8"/>
    <n v="5"/>
    <n v="95.70271329989275"/>
  </r>
  <r>
    <x v="33"/>
    <s v="Taylor Swift"/>
    <n v="1"/>
    <d v="2022-10-21T00:00:00"/>
    <n v="9082"/>
    <n v="56"/>
    <n v="242"/>
    <n v="142"/>
    <n v="165"/>
    <n v="9"/>
    <n v="310"/>
    <n v="999748277"/>
    <n v="97"/>
    <s v="E"/>
    <s v="Major"/>
    <n v="64"/>
    <n v="51"/>
    <x v="1"/>
    <n v="63"/>
    <x v="0"/>
    <n v="12"/>
    <n v="0"/>
    <n v="19"/>
    <n v="5"/>
    <n v="56.937033134672077"/>
  </r>
  <r>
    <x v="34"/>
    <s v="Karol G, Shakira"/>
    <n v="2"/>
    <d v="2023-02-23T00:00:00"/>
    <n v="4284"/>
    <n v="49"/>
    <n v="115"/>
    <n v="123"/>
    <n v="184"/>
    <n v="18"/>
    <n v="354"/>
    <n v="618990393"/>
    <n v="180"/>
    <s v="E"/>
    <s v="Minor"/>
    <n v="72"/>
    <n v="61"/>
    <x v="1"/>
    <n v="63"/>
    <x v="0"/>
    <n v="67"/>
    <n v="0"/>
    <n v="9"/>
    <n v="28"/>
    <n v="94.287427264613612"/>
  </r>
  <r>
    <x v="35"/>
    <s v="Big One, Duki, Lit Killah, Maria Becerra, FMK, Rusherking, Emilia, Tiago pzk"/>
    <n v="8"/>
    <d v="2023-06-01T00:00:00"/>
    <n v="1150"/>
    <n v="31"/>
    <n v="22"/>
    <n v="33"/>
    <n v="34"/>
    <n v="7"/>
    <n v="184"/>
    <n v="123122413"/>
    <n v="120"/>
    <m/>
    <s v="Major"/>
    <n v="81"/>
    <n v="63"/>
    <x v="1"/>
    <n v="68"/>
    <x v="0"/>
    <n v="11"/>
    <n v="0"/>
    <n v="11"/>
    <n v="4"/>
    <n v="84.310343919840165"/>
  </r>
  <r>
    <x v="36"/>
    <s v="Yahritza Y Su Esencia, Grupo Frontera"/>
    <n v="2"/>
    <d v="2023-04-07T00:00:00"/>
    <n v="672"/>
    <n v="34"/>
    <n v="19"/>
    <n v="108"/>
    <n v="24"/>
    <n v="9"/>
    <n v="212"/>
    <n v="188933502"/>
    <n v="150"/>
    <s v="F#"/>
    <s v="Major"/>
    <n v="61"/>
    <n v="39"/>
    <x v="2"/>
    <n v="73"/>
    <x v="0"/>
    <n v="37"/>
    <n v="0"/>
    <n v="11"/>
    <n v="3"/>
    <n v="7.0711800560295686"/>
  </r>
  <r>
    <x v="37"/>
    <s v="Taylor Swift"/>
    <n v="1"/>
    <d v="2014-01-01T00:00:00"/>
    <n v="11434"/>
    <n v="53"/>
    <n v="154"/>
    <n v="123"/>
    <n v="410"/>
    <n v="2"/>
    <n v="81"/>
    <n v="1355959075"/>
    <n v="96"/>
    <s v="F"/>
    <s v="Major"/>
    <n v="75"/>
    <n v="57"/>
    <x v="1"/>
    <n v="68"/>
    <x v="0"/>
    <n v="9"/>
    <n v="0"/>
    <n v="13"/>
    <n v="6"/>
    <n v="84.342555227032818"/>
  </r>
  <r>
    <x v="38"/>
    <s v="Taylor Swift"/>
    <n v="1"/>
    <d v="2014-01-01T00:00:00"/>
    <n v="7830"/>
    <n v="42"/>
    <n v="94"/>
    <n v="111"/>
    <n v="151"/>
    <n v="4"/>
    <n v="82"/>
    <n v="786181836"/>
    <n v="95"/>
    <s v="D"/>
    <s v="Major"/>
    <n v="60"/>
    <n v="48"/>
    <x v="1"/>
    <n v="79"/>
    <x v="0"/>
    <n v="0"/>
    <n v="0"/>
    <n v="12"/>
    <n v="4"/>
    <n v="97.105432561757937"/>
  </r>
  <r>
    <x v="39"/>
    <s v="Fuerza Regida"/>
    <n v="1"/>
    <d v="2023-05-19T00:00:00"/>
    <n v="584"/>
    <n v="28"/>
    <n v="16"/>
    <n v="159"/>
    <n v="15"/>
    <n v="6"/>
    <n v="100"/>
    <n v="176553476"/>
    <n v="125"/>
    <s v="F"/>
    <s v="Minor"/>
    <n v="79"/>
    <n v="96"/>
    <x v="0"/>
    <n v="85"/>
    <x v="0"/>
    <n v="27"/>
    <n v="0"/>
    <n v="11"/>
    <n v="6"/>
    <n v="89.020411302318394"/>
  </r>
  <r>
    <x v="40"/>
    <s v="Junior H, Peso Pluma"/>
    <n v="2"/>
    <d v="2023-02-10T00:00:00"/>
    <n v="692"/>
    <n v="25"/>
    <n v="10"/>
    <n v="107"/>
    <n v="6"/>
    <n v="3"/>
    <n v="62"/>
    <n v="354495408"/>
    <n v="144"/>
    <s v="A"/>
    <s v="Minor"/>
    <n v="56"/>
    <n v="84"/>
    <x v="0"/>
    <n v="65"/>
    <x v="0"/>
    <n v="23"/>
    <n v="0"/>
    <n v="10"/>
    <n v="6"/>
    <n v="87.970371740027488"/>
  </r>
  <r>
    <x v="41"/>
    <s v="Post Malone, Swae Lee"/>
    <n v="2"/>
    <d v="2018-10-09T00:00:00"/>
    <n v="24094"/>
    <n v="78"/>
    <n v="372"/>
    <n v="117"/>
    <n v="843"/>
    <n v="4"/>
    <n v="69"/>
    <n v="2808096550"/>
    <n v="90"/>
    <s v="D"/>
    <s v="Major"/>
    <n v="76"/>
    <n v="91"/>
    <x v="0"/>
    <n v="50"/>
    <x v="1"/>
    <n v="54"/>
    <n v="0"/>
    <n v="7"/>
    <n v="5"/>
    <n v="37.912245120447317"/>
  </r>
  <r>
    <x v="42"/>
    <s v="Bebe Rexha, David Guetta"/>
    <n v="2"/>
    <d v="2022-08-26T00:00:00"/>
    <n v="12482"/>
    <n v="80"/>
    <n v="291"/>
    <n v="184"/>
    <n v="537"/>
    <n v="45"/>
    <n v="727"/>
    <n v="1109433169"/>
    <n v="128"/>
    <s v="G"/>
    <s v="Minor"/>
    <n v="56"/>
    <n v="38"/>
    <x v="2"/>
    <n v="97"/>
    <x v="0"/>
    <n v="4"/>
    <n v="0"/>
    <n v="35"/>
    <n v="4"/>
    <n v="13.792195057866518"/>
  </r>
  <r>
    <x v="43"/>
    <s v="Tyler, The Creator, Kali Uchis"/>
    <n v="3"/>
    <d v="2017-07-21T00:00:00"/>
    <n v="13387"/>
    <n v="64"/>
    <n v="77"/>
    <n v="58"/>
    <n v="247"/>
    <n v="1"/>
    <n v="311"/>
    <n v="1047101291"/>
    <n v="79"/>
    <s v="F#"/>
    <s v="Major"/>
    <n v="56"/>
    <n v="58"/>
    <x v="1"/>
    <n v="56"/>
    <x v="0"/>
    <n v="37"/>
    <n v="0"/>
    <n v="11"/>
    <n v="10"/>
    <n v="91.271240885279354"/>
  </r>
  <r>
    <x v="44"/>
    <s v="Nicki Minaj, Aqua, Ice Spice"/>
    <n v="3"/>
    <d v="2023-06-23T00:00:00"/>
    <n v="1117"/>
    <n v="80"/>
    <n v="82"/>
    <n v="145"/>
    <n v="65"/>
    <n v="16"/>
    <n v="1133"/>
    <n v="65156199"/>
    <n v="144"/>
    <m/>
    <s v="Major"/>
    <n v="77"/>
    <n v="75"/>
    <x v="0"/>
    <n v="58"/>
    <x v="0"/>
    <n v="52"/>
    <n v="0"/>
    <n v="23"/>
    <n v="25"/>
    <n v="66.081141654935109"/>
  </r>
  <r>
    <x v="45"/>
    <s v="Miley Cyrus"/>
    <n v="1"/>
    <d v="2020-11-27T00:00:00"/>
    <n v="3372"/>
    <n v="19"/>
    <n v="65"/>
    <n v="48"/>
    <n v="138"/>
    <n v="1"/>
    <n v="102"/>
    <n v="570515054"/>
    <n v="122"/>
    <s v="F"/>
    <s v="Major"/>
    <n v="67"/>
    <n v="49"/>
    <x v="1"/>
    <n v="64"/>
    <x v="0"/>
    <n v="10"/>
    <n v="0"/>
    <n v="10"/>
    <n v="3"/>
    <n v="98.029958549623217"/>
  </r>
  <r>
    <x v="46"/>
    <s v="OneRepublic"/>
    <n v="1"/>
    <d v="2022-05-13T00:00:00"/>
    <n v="8431"/>
    <n v="76"/>
    <n v="241"/>
    <n v="127"/>
    <n v="458"/>
    <n v="37"/>
    <n v="332"/>
    <n v="1085685420"/>
    <n v="140"/>
    <m/>
    <s v="Major"/>
    <n v="71"/>
    <n v="82"/>
    <x v="0"/>
    <n v="81"/>
    <x v="0"/>
    <n v="11"/>
    <n v="0"/>
    <n v="6"/>
    <n v="5"/>
    <n v="62.974523067953129"/>
  </r>
  <r>
    <x v="47"/>
    <s v="The Weeknd"/>
    <n v="1"/>
    <d v="2016-11-24T00:00:00"/>
    <n v="2483"/>
    <n v="59"/>
    <n v="68"/>
    <n v="21"/>
    <n v="24"/>
    <n v="0"/>
    <n v="259"/>
    <n v="1647990401"/>
    <n v="134"/>
    <s v="C#"/>
    <s v="Minor"/>
    <n v="59"/>
    <n v="51"/>
    <x v="1"/>
    <n v="52"/>
    <x v="0"/>
    <n v="9"/>
    <n v="0"/>
    <n v="15"/>
    <n v="7"/>
    <n v="63.404479625834007"/>
  </r>
  <r>
    <x v="48"/>
    <s v="The Weeknd, Daft Punk"/>
    <n v="2"/>
    <d v="2016-09-21T00:00:00"/>
    <n v="29536"/>
    <n v="79"/>
    <n v="281"/>
    <n v="137"/>
    <n v="2445"/>
    <n v="1"/>
    <n v="140"/>
    <n v="2565529693"/>
    <n v="186"/>
    <s v="G"/>
    <s v="Major"/>
    <n v="68"/>
    <n v="49"/>
    <x v="1"/>
    <n v="59"/>
    <x v="0"/>
    <n v="16"/>
    <n v="0"/>
    <n v="13"/>
    <n v="28"/>
    <n v="25.847754058486117"/>
  </r>
  <r>
    <x v="49"/>
    <s v="Ariana Grande, The Weeknd"/>
    <n v="2"/>
    <d v="2023-02-24T00:00:00"/>
    <n v="3408"/>
    <n v="47"/>
    <n v="87"/>
    <n v="86"/>
    <n v="74"/>
    <n v="1"/>
    <n v="16"/>
    <n v="518745108"/>
    <n v="67"/>
    <s v="C#"/>
    <s v="Minor"/>
    <n v="53"/>
    <n v="50"/>
    <x v="1"/>
    <n v="53"/>
    <x v="0"/>
    <n v="23"/>
    <n v="0"/>
    <n v="44"/>
    <n v="7"/>
    <n v="88.747637975125713"/>
  </r>
  <r>
    <x v="50"/>
    <s v="Feid, Myke Towers, Sky Rompiendo"/>
    <n v="3"/>
    <d v="2023-06-02T00:00:00"/>
    <n v="1298"/>
    <n v="38"/>
    <n v="44"/>
    <n v="64"/>
    <n v="57"/>
    <n v="10"/>
    <n v="110"/>
    <n v="107753850"/>
    <n v="106"/>
    <s v="A#"/>
    <s v="Minor"/>
    <n v="72"/>
    <n v="17"/>
    <x v="2"/>
    <n v="64"/>
    <x v="0"/>
    <n v="7"/>
    <n v="0"/>
    <n v="10"/>
    <n v="5"/>
    <n v="60.978403356831947"/>
  </r>
  <r>
    <x v="51"/>
    <s v="David Guetta, Anne-Marie, Coi Leray"/>
    <n v="3"/>
    <d v="2023-04-06T00:00:00"/>
    <n v="4277"/>
    <n v="66"/>
    <n v="145"/>
    <n v="111"/>
    <n v="213"/>
    <n v="11"/>
    <n v="810"/>
    <n v="177740666"/>
    <n v="128"/>
    <s v="G"/>
    <s v="Major"/>
    <n v="60"/>
    <n v="23"/>
    <x v="2"/>
    <n v="91"/>
    <x v="0"/>
    <n v="0"/>
    <n v="0"/>
    <n v="12"/>
    <n v="3"/>
    <n v="94.283362264936059"/>
  </r>
  <r>
    <x v="52"/>
    <s v="Karol G"/>
    <n v="1"/>
    <d v="2023-02-24T00:00:00"/>
    <n v="1133"/>
    <n v="39"/>
    <n v="14"/>
    <n v="71"/>
    <n v="23"/>
    <n v="10"/>
    <n v="176"/>
    <n v="153372011"/>
    <n v="107"/>
    <s v="F#"/>
    <s v="Minor"/>
    <n v="92"/>
    <n v="55"/>
    <x v="1"/>
    <n v="70"/>
    <x v="0"/>
    <n v="18"/>
    <n v="0"/>
    <n v="15"/>
    <n v="7"/>
    <n v="98.711931539455847"/>
  </r>
  <r>
    <x v="53"/>
    <s v="Peggy Gou"/>
    <n v="1"/>
    <d v="2023-06-15T00:00:00"/>
    <n v="2259"/>
    <n v="59"/>
    <n v="0"/>
    <n v="0"/>
    <n v="109"/>
    <n v="17"/>
    <n v="0"/>
    <n v="57876440"/>
    <n v="130"/>
    <s v="G"/>
    <s v="Minor"/>
    <n v="67"/>
    <n v="96"/>
    <x v="0"/>
    <n v="88"/>
    <x v="0"/>
    <n v="12"/>
    <n v="19"/>
    <n v="8"/>
    <n v="4"/>
    <n v="7.3405431753603807"/>
  </r>
  <r>
    <x v="54"/>
    <s v="Tom Odell"/>
    <n v="1"/>
    <d v="2012-10-15T00:00:00"/>
    <n v="18371"/>
    <n v="83"/>
    <n v="250"/>
    <n v="122"/>
    <n v="3394"/>
    <n v="19"/>
    <m/>
    <n v="1813673666"/>
    <n v="123"/>
    <s v="E"/>
    <s v="Minor"/>
    <n v="45"/>
    <n v="13"/>
    <x v="2"/>
    <n v="54"/>
    <x v="0"/>
    <n v="70"/>
    <n v="0"/>
    <n v="9"/>
    <n v="4"/>
    <n v="87.279799441541499"/>
  </r>
  <r>
    <x v="55"/>
    <s v="The Weeknd"/>
    <n v="1"/>
    <d v="2019-11-29T00:00:00"/>
    <n v="43899"/>
    <n v="69"/>
    <n v="672"/>
    <n v="199"/>
    <n v="3421"/>
    <n v="20"/>
    <m/>
    <n v="3703895074"/>
    <n v="171"/>
    <s v="C#"/>
    <s v="Major"/>
    <n v="50"/>
    <n v="38"/>
    <x v="2"/>
    <n v="80"/>
    <x v="0"/>
    <n v="0"/>
    <n v="0"/>
    <n v="9"/>
    <n v="7"/>
    <n v="72.04689126477291"/>
  </r>
  <r>
    <x v="56"/>
    <s v="Kali Uchis"/>
    <n v="1"/>
    <d v="2023-02-24T00:00:00"/>
    <n v="2649"/>
    <n v="42"/>
    <n v="67"/>
    <n v="79"/>
    <n v="57"/>
    <n v="1"/>
    <n v="615"/>
    <n v="256483385"/>
    <n v="137"/>
    <s v="G"/>
    <s v="Minor"/>
    <n v="64"/>
    <n v="88"/>
    <x v="0"/>
    <n v="72"/>
    <x v="0"/>
    <n v="51"/>
    <n v="0"/>
    <n v="17"/>
    <n v="5"/>
    <n v="5.2058228272365508"/>
  </r>
  <r>
    <x v="57"/>
    <s v="Manuel Turizo"/>
    <n v="1"/>
    <d v="2022-05-26T00:00:00"/>
    <n v="6804"/>
    <n v="45"/>
    <n v="139"/>
    <n v="111"/>
    <n v="161"/>
    <n v="15"/>
    <n v="210"/>
    <n v="1214083358"/>
    <n v="125"/>
    <s v="G"/>
    <s v="Minor"/>
    <n v="84"/>
    <n v="85"/>
    <x v="0"/>
    <n v="68"/>
    <x v="0"/>
    <n v="58"/>
    <n v="0"/>
    <n v="22"/>
    <n v="4"/>
    <n v="41.548877946966215"/>
  </r>
  <r>
    <x v="58"/>
    <s v="Karol G"/>
    <n v="1"/>
    <d v="2023-07-14T00:00:00"/>
    <n v="525"/>
    <n v="41"/>
    <n v="34"/>
    <n v="115"/>
    <n v="39"/>
    <n v="6"/>
    <n v="216"/>
    <n v="16011326"/>
    <n v="128"/>
    <m/>
    <s v="Minor"/>
    <n v="86"/>
    <n v="42"/>
    <x v="1"/>
    <n v="72"/>
    <x v="0"/>
    <n v="59"/>
    <n v="0"/>
    <n v="9"/>
    <n v="19"/>
    <n v="94.530121443713867"/>
  </r>
  <r>
    <x v="59"/>
    <s v="Taylor Swift"/>
    <n v="1"/>
    <d v="2020-07-24T00:00:00"/>
    <n v="7923"/>
    <n v="29"/>
    <n v="106"/>
    <n v="112"/>
    <n v="142"/>
    <n v="4"/>
    <n v="215"/>
    <n v="812019557"/>
    <n v="130"/>
    <m/>
    <s v="Minor"/>
    <n v="61"/>
    <n v="53"/>
    <x v="1"/>
    <n v="58"/>
    <x v="0"/>
    <n v="55"/>
    <n v="0"/>
    <n v="27"/>
    <n v="4"/>
    <n v="68.038547241222787"/>
  </r>
  <r>
    <x v="60"/>
    <s v="dennis, MC Kevin o Chris"/>
    <n v="2"/>
    <d v="2023-05-04T00:00:00"/>
    <n v="731"/>
    <n v="15"/>
    <n v="27"/>
    <n v="17"/>
    <n v="73"/>
    <n v="4"/>
    <n v="167"/>
    <n v="111947664"/>
    <n v="130"/>
    <s v="B"/>
    <s v="Major"/>
    <n v="86"/>
    <n v="59"/>
    <x v="1"/>
    <n v="96"/>
    <x v="0"/>
    <n v="50"/>
    <n v="1"/>
    <n v="9"/>
    <n v="5"/>
    <n v="60.802113852604911"/>
  </r>
  <r>
    <x v="61"/>
    <s v="PinkPantheress, Ice Spice"/>
    <n v="2"/>
    <d v="2023-02-03T00:00:00"/>
    <n v="5184"/>
    <n v="41"/>
    <n v="154"/>
    <n v="84"/>
    <n v="102"/>
    <n v="14"/>
    <n v="37"/>
    <n v="156338624"/>
    <n v="133"/>
    <s v="F"/>
    <s v="Major"/>
    <n v="70"/>
    <n v="86"/>
    <x v="0"/>
    <n v="81"/>
    <x v="0"/>
    <n v="25"/>
    <n v="0"/>
    <n v="25"/>
    <n v="5"/>
    <n v="17.079490330992463"/>
  </r>
  <r>
    <x v="62"/>
    <s v="Charlie Puth, BTS, Jung Kook"/>
    <n v="3"/>
    <d v="2022-06-24T00:00:00"/>
    <n v="3107"/>
    <n v="39"/>
    <n v="38"/>
    <n v="0"/>
    <n v="4"/>
    <n v="0"/>
    <n v="0"/>
    <n v="720434240"/>
    <n v="101"/>
    <s v="D"/>
    <s v="Major"/>
    <n v="88"/>
    <n v="72"/>
    <x v="0"/>
    <n v="59"/>
    <x v="0"/>
    <n v="62"/>
    <n v="0"/>
    <n v="9"/>
    <n v="3"/>
    <n v="46.662085241890551"/>
  </r>
  <r>
    <x v="63"/>
    <s v="Rauw Alejandro, ROSAL√Ø¬ø¬Ω"/>
    <n v="2"/>
    <d v="2023-03-24T00:00:00"/>
    <n v="4053"/>
    <n v="50"/>
    <n v="82"/>
    <n v="121"/>
    <n v="182"/>
    <n v="12"/>
    <n v="171"/>
    <n v="357925728"/>
    <n v="95"/>
    <s v="F"/>
    <s v="Minor"/>
    <n v="77"/>
    <n v="53"/>
    <x v="1"/>
    <n v="64"/>
    <x v="0"/>
    <n v="74"/>
    <n v="0"/>
    <n v="17"/>
    <n v="14"/>
    <n v="5.5662779546636791"/>
  </r>
  <r>
    <x v="64"/>
    <s v="Ozuna, Feid"/>
    <n v="2"/>
    <d v="2022-10-06T00:00:00"/>
    <n v="4637"/>
    <n v="38"/>
    <n v="63"/>
    <n v="79"/>
    <n v="89"/>
    <n v="11"/>
    <n v="16"/>
    <n v="674072710"/>
    <n v="98"/>
    <s v="C#"/>
    <s v="Minor"/>
    <n v="90"/>
    <n v="40"/>
    <x v="1"/>
    <n v="59"/>
    <x v="0"/>
    <n v="0"/>
    <n v="0"/>
    <n v="10"/>
    <n v="29"/>
    <n v="7.6765783188963326"/>
  </r>
  <r>
    <x v="65"/>
    <s v="Chris Molitor"/>
    <n v="1"/>
    <d v="1999-01-01T00:00:00"/>
    <n v="31358"/>
    <n v="43"/>
    <n v="196"/>
    <n v="2"/>
    <n v="4053"/>
    <n v="5"/>
    <n v="0"/>
    <n v="1755214421"/>
    <n v="173"/>
    <s v="B"/>
    <s v="Major"/>
    <n v="43"/>
    <n v="28"/>
    <x v="2"/>
    <n v="66"/>
    <x v="0"/>
    <n v="0"/>
    <n v="0"/>
    <n v="23"/>
    <n v="3"/>
    <n v="20.709339938577287"/>
  </r>
  <r>
    <x v="66"/>
    <s v="Taylor Swift"/>
    <n v="1"/>
    <d v="2022-10-21T00:00:00"/>
    <n v="3818"/>
    <n v="23"/>
    <n v="37"/>
    <n v="55"/>
    <n v="32"/>
    <n v="0"/>
    <n v="272"/>
    <n v="404562836"/>
    <n v="90"/>
    <s v="G#"/>
    <s v="Major"/>
    <n v="64"/>
    <n v="10"/>
    <x v="2"/>
    <n v="62"/>
    <x v="0"/>
    <n v="7"/>
    <n v="0"/>
    <n v="48"/>
    <n v="7"/>
    <n v="25.132724794932592"/>
  </r>
  <r>
    <x v="67"/>
    <s v="Libianca"/>
    <n v="1"/>
    <d v="2022-12-02T00:00:00"/>
    <n v="3506"/>
    <n v="56"/>
    <n v="105"/>
    <n v="64"/>
    <n v="169"/>
    <n v="8"/>
    <n v="529"/>
    <n v="373199958"/>
    <n v="198"/>
    <s v="A#"/>
    <s v="Minor"/>
    <n v="59"/>
    <n v="71"/>
    <x v="0"/>
    <n v="42"/>
    <x v="1"/>
    <n v="55"/>
    <n v="0"/>
    <n v="10"/>
    <n v="7"/>
    <n v="11.074242696568415"/>
  </r>
  <r>
    <x v="68"/>
    <s v="Post Malone"/>
    <n v="1"/>
    <d v="2023-07-14T00:00:00"/>
    <n v="410"/>
    <n v="36"/>
    <n v="36"/>
    <n v="32"/>
    <n v="31"/>
    <n v="1"/>
    <n v="26"/>
    <n v="14780425"/>
    <n v="140"/>
    <s v="C#"/>
    <s v="Major"/>
    <n v="56"/>
    <n v="48"/>
    <x v="1"/>
    <n v="73"/>
    <x v="0"/>
    <n v="0"/>
    <n v="0"/>
    <n v="35"/>
    <n v="4"/>
    <n v="30.132582394491514"/>
  </r>
  <r>
    <x v="69"/>
    <s v="Taylor Swift"/>
    <n v="1"/>
    <d v="2023-07-07T00:00:00"/>
    <n v="148"/>
    <n v="24"/>
    <n v="32"/>
    <n v="93"/>
    <n v="8"/>
    <n v="2"/>
    <n v="5"/>
    <n v="39578178"/>
    <n v="82"/>
    <s v="G#"/>
    <s v="Major"/>
    <n v="51"/>
    <n v="22"/>
    <x v="2"/>
    <n v="53"/>
    <x v="0"/>
    <n v="1"/>
    <n v="0"/>
    <n v="15"/>
    <n v="3"/>
    <n v="80.698554545338752"/>
  </r>
  <r>
    <x v="70"/>
    <s v="Rauw Alejandro, Bizarrap"/>
    <n v="2"/>
    <d v="2023-06-23T00:00:00"/>
    <n v="1004"/>
    <n v="35"/>
    <n v="42"/>
    <n v="80"/>
    <n v="58"/>
    <n v="3"/>
    <n v="169"/>
    <n v="54266102"/>
    <n v="130"/>
    <s v="C#"/>
    <s v="Minor"/>
    <n v="77"/>
    <n v="84"/>
    <x v="0"/>
    <n v="89"/>
    <x v="0"/>
    <n v="17"/>
    <n v="0"/>
    <n v="43"/>
    <n v="5"/>
    <n v="1.6249307345439279"/>
  </r>
  <r>
    <x v="71"/>
    <s v="Glass Animals"/>
    <n v="1"/>
    <d v="2020-06-28T00:00:00"/>
    <n v="22543"/>
    <n v="63"/>
    <n v="386"/>
    <n v="144"/>
    <n v="707"/>
    <n v="28"/>
    <m/>
    <n v="2557975762"/>
    <n v="81"/>
    <s v="B"/>
    <s v="Major"/>
    <n v="76"/>
    <n v="53"/>
    <x v="1"/>
    <n v="53"/>
    <x v="0"/>
    <n v="44"/>
    <n v="0"/>
    <n v="9"/>
    <n v="9"/>
    <n v="96.428495166493946"/>
  </r>
  <r>
    <x v="72"/>
    <s v="JVKE"/>
    <n v="1"/>
    <d v="2022-07-15T00:00:00"/>
    <n v="4511"/>
    <n v="36"/>
    <n v="70"/>
    <n v="58"/>
    <n v="109"/>
    <n v="18"/>
    <n v="230"/>
    <n v="751134527"/>
    <n v="94"/>
    <s v="C#"/>
    <s v="Minor"/>
    <n v="51"/>
    <n v="14"/>
    <x v="2"/>
    <n v="59"/>
    <x v="0"/>
    <n v="65"/>
    <n v="18"/>
    <n v="25"/>
    <n v="3"/>
    <n v="80.800586328391105"/>
  </r>
  <r>
    <x v="73"/>
    <s v="The Neighbourhood"/>
    <n v="1"/>
    <d v="2012-05-14T00:00:00"/>
    <n v="16413"/>
    <n v="61"/>
    <n v="166"/>
    <n v="87"/>
    <n v="1056"/>
    <n v="1"/>
    <m/>
    <n v="2282771485"/>
    <n v="124"/>
    <s v="A#"/>
    <s v="Major"/>
    <n v="61"/>
    <n v="41"/>
    <x v="1"/>
    <n v="81"/>
    <x v="0"/>
    <n v="5"/>
    <n v="2"/>
    <n v="10"/>
    <n v="3"/>
    <n v="32.179289565705751"/>
  </r>
  <r>
    <x v="74"/>
    <s v="Bizarrap, Quevedo"/>
    <n v="2"/>
    <d v="2022-07-06T00:00:00"/>
    <n v="8506"/>
    <n v="45"/>
    <n v="94"/>
    <n v="65"/>
    <n v="164"/>
    <n v="14"/>
    <n v="176"/>
    <n v="1356565093"/>
    <n v="128"/>
    <s v="D"/>
    <s v="Major"/>
    <n v="62"/>
    <n v="55"/>
    <x v="1"/>
    <n v="78"/>
    <x v="0"/>
    <n v="1"/>
    <n v="3"/>
    <n v="23"/>
    <n v="4"/>
    <n v="25.383312246857269"/>
  </r>
  <r>
    <x v="75"/>
    <s v="Coldplay"/>
    <n v="1"/>
    <d v="2008-01-01T00:00:00"/>
    <n v="33898"/>
    <n v="62"/>
    <n v="233"/>
    <n v="0"/>
    <n v="4095"/>
    <n v="9"/>
    <n v="0"/>
    <n v="1592909789"/>
    <n v="138"/>
    <s v="F"/>
    <s v="Minor"/>
    <n v="49"/>
    <n v="42"/>
    <x v="1"/>
    <n v="62"/>
    <x v="0"/>
    <n v="9"/>
    <n v="0"/>
    <n v="11"/>
    <n v="3"/>
    <n v="36.394682074158879"/>
  </r>
  <r>
    <x v="76"/>
    <s v="d4vd"/>
    <n v="1"/>
    <d v="2022-07-17T00:00:00"/>
    <n v="3246"/>
    <n v="23"/>
    <n v="94"/>
    <n v="85"/>
    <n v="68"/>
    <n v="1"/>
    <n v="84"/>
    <n v="635412045"/>
    <n v="132"/>
    <s v="E"/>
    <s v="Major"/>
    <n v="58"/>
    <n v="27"/>
    <x v="2"/>
    <n v="48"/>
    <x v="1"/>
    <n v="50"/>
    <n v="0"/>
    <n v="12"/>
    <n v="3"/>
    <n v="43.368475791676808"/>
  </r>
  <r>
    <x v="77"/>
    <s v="Sam Smith, Kim Petras"/>
    <n v="2"/>
    <d v="2022-09-22T00:00:00"/>
    <n v="8576"/>
    <n v="42"/>
    <n v="216"/>
    <n v="108"/>
    <n v="331"/>
    <n v="26"/>
    <n v="154"/>
    <n v="1230675890"/>
    <n v="131"/>
    <s v="D"/>
    <s v="Major"/>
    <n v="71"/>
    <n v="24"/>
    <x v="2"/>
    <n v="47"/>
    <x v="1"/>
    <n v="1"/>
    <n v="0"/>
    <n v="27"/>
    <n v="9"/>
    <n v="74.01729837689291"/>
  </r>
  <r>
    <x v="78"/>
    <s v="Yandel, Feid"/>
    <n v="2"/>
    <d v="2022-12-20T00:00:00"/>
    <n v="3618"/>
    <n v="38"/>
    <n v="47"/>
    <n v="74"/>
    <n v="80"/>
    <n v="14"/>
    <n v="194"/>
    <n v="585695368"/>
    <n v="168"/>
    <s v="F#"/>
    <s v="Minor"/>
    <n v="78"/>
    <n v="58"/>
    <x v="1"/>
    <n v="73"/>
    <x v="0"/>
    <n v="5"/>
    <n v="0"/>
    <n v="10"/>
    <n v="7"/>
    <n v="53.567884910724473"/>
  </r>
  <r>
    <x v="79"/>
    <s v="Maria Becerra"/>
    <n v="1"/>
    <d v="2023-06-22T00:00:00"/>
    <n v="370"/>
    <n v="20"/>
    <n v="12"/>
    <n v="16"/>
    <n v="18"/>
    <n v="4"/>
    <n v="93"/>
    <n v="43857627"/>
    <n v="98"/>
    <s v="C#"/>
    <s v="Major"/>
    <n v="68"/>
    <n v="40"/>
    <x v="1"/>
    <n v="79"/>
    <x v="0"/>
    <n v="33"/>
    <n v="0"/>
    <n v="30"/>
    <n v="6"/>
    <n v="38.536795142985902"/>
  </r>
  <r>
    <x v="80"/>
    <s v="Vance Joy"/>
    <n v="1"/>
    <d v="1975-01-01T00:00:00"/>
    <n v="31123"/>
    <n v="55"/>
    <n v="300"/>
    <n v="65"/>
    <n v="1003"/>
    <n v="1"/>
    <n v="0"/>
    <n v="2009094673"/>
    <n v="102"/>
    <s v="C#"/>
    <s v="Major"/>
    <n v="48"/>
    <n v="50"/>
    <x v="1"/>
    <n v="73"/>
    <x v="0"/>
    <n v="43"/>
    <n v="0"/>
    <n v="15"/>
    <n v="4"/>
    <n v="46.294618463333592"/>
  </r>
  <r>
    <x v="81"/>
    <s v="Em Beihold, Stephen Sanchez"/>
    <n v="2"/>
    <d v="2022-04-22T00:00:00"/>
    <n v="2790"/>
    <n v="30"/>
    <n v="60"/>
    <n v="96"/>
    <n v="71"/>
    <n v="0"/>
    <n v="115"/>
    <n v="600976848"/>
    <n v="101"/>
    <s v="A#"/>
    <s v="Major"/>
    <n v="34"/>
    <n v="32"/>
    <x v="2"/>
    <n v="57"/>
    <x v="0"/>
    <n v="78"/>
    <n v="0"/>
    <n v="20"/>
    <n v="3"/>
    <n v="90.228088128234461"/>
  </r>
  <r>
    <x v="82"/>
    <s v="Mc Livinho, DJ Matt D"/>
    <n v="2"/>
    <d v="2023-06-23T00:00:00"/>
    <n v="267"/>
    <n v="9"/>
    <n v="9"/>
    <n v="6"/>
    <n v="25"/>
    <n v="2"/>
    <n v="72"/>
    <n v="39709092"/>
    <n v="130"/>
    <s v="F"/>
    <s v="Major"/>
    <n v="63"/>
    <n v="36"/>
    <x v="2"/>
    <n v="34"/>
    <x v="1"/>
    <n v="76"/>
    <n v="0"/>
    <n v="35"/>
    <n v="9"/>
    <n v="62.382559626886646"/>
  </r>
  <r>
    <x v="83"/>
    <s v="Taylor Swift"/>
    <n v="1"/>
    <d v="2023-07-07T00:00:00"/>
    <n v="139"/>
    <n v="17"/>
    <n v="16"/>
    <n v="72"/>
    <n v="5"/>
    <n v="0"/>
    <n v="8"/>
    <n v="39228929"/>
    <n v="142"/>
    <s v="D"/>
    <s v="Major"/>
    <n v="50"/>
    <n v="20"/>
    <x v="2"/>
    <n v="64"/>
    <x v="0"/>
    <n v="1"/>
    <n v="0"/>
    <n v="12"/>
    <n v="3"/>
    <n v="72.486208705651478"/>
  </r>
  <r>
    <x v="84"/>
    <s v="Justin Bieber, The Kid Laroi"/>
    <n v="2"/>
    <d v="2021-07-09T00:00:00"/>
    <n v="17050"/>
    <n v="36"/>
    <n v="492"/>
    <n v="99"/>
    <n v="798"/>
    <n v="31"/>
    <n v="0"/>
    <n v="2665343922"/>
    <n v="170"/>
    <s v="C#"/>
    <s v="Major"/>
    <n v="59"/>
    <n v="48"/>
    <x v="1"/>
    <n v="76"/>
    <x v="0"/>
    <n v="4"/>
    <n v="0"/>
    <n v="10"/>
    <n v="5"/>
    <n v="99.099765283108567"/>
  </r>
  <r>
    <x v="85"/>
    <s v="Marshmello, Manuel Turizo"/>
    <n v="2"/>
    <d v="2023-03-03T00:00:00"/>
    <n v="2114"/>
    <n v="44"/>
    <n v="80"/>
    <n v="75"/>
    <n v="110"/>
    <n v="11"/>
    <n v="323"/>
    <n v="223633238"/>
    <n v="124"/>
    <s v="G#"/>
    <s v="Minor"/>
    <n v="78"/>
    <n v="70"/>
    <x v="1"/>
    <n v="68"/>
    <x v="0"/>
    <n v="3"/>
    <n v="1"/>
    <n v="11"/>
    <n v="4"/>
    <n v="14.830958009019025"/>
  </r>
  <r>
    <x v="86"/>
    <s v="Lewis Capaldi"/>
    <n v="1"/>
    <d v="2018-11-08T00:00:00"/>
    <n v="17836"/>
    <n v="53"/>
    <n v="440"/>
    <n v="125"/>
    <n v="1800"/>
    <n v="0"/>
    <m/>
    <n v="2887241814"/>
    <n v="110"/>
    <s v="C#"/>
    <s v="Major"/>
    <n v="50"/>
    <n v="45"/>
    <x v="1"/>
    <n v="41"/>
    <x v="1"/>
    <n v="75"/>
    <n v="0"/>
    <n v="11"/>
    <n v="3"/>
    <n v="67.268193360213601"/>
  </r>
  <r>
    <x v="87"/>
    <s v="Chencho Corleone, Bad Bunny"/>
    <n v="2"/>
    <d v="2022-05-06T00:00:00"/>
    <n v="8870"/>
    <n v="43"/>
    <n v="104"/>
    <n v="120"/>
    <n v="141"/>
    <n v="26"/>
    <n v="49"/>
    <n v="1440757818"/>
    <n v="92"/>
    <s v="C#"/>
    <s v="Minor"/>
    <n v="91"/>
    <n v="43"/>
    <x v="1"/>
    <n v="71"/>
    <x v="0"/>
    <n v="9"/>
    <n v="0"/>
    <n v="9"/>
    <n v="8"/>
    <n v="66.584144160019989"/>
  </r>
  <r>
    <x v="88"/>
    <s v="Jain"/>
    <n v="1"/>
    <d v="2015-06-22T00:00:00"/>
    <n v="6060"/>
    <n v="53"/>
    <n v="150"/>
    <n v="148"/>
    <n v="2703"/>
    <n v="22"/>
    <n v="1451"/>
    <n v="165484133"/>
    <n v="116"/>
    <s v="D"/>
    <s v="Major"/>
    <n v="82"/>
    <n v="40"/>
    <x v="1"/>
    <n v="66"/>
    <x v="0"/>
    <n v="39"/>
    <n v="51"/>
    <n v="25"/>
    <n v="7"/>
    <n v="83.934640571348154"/>
  </r>
  <r>
    <x v="89"/>
    <s v="Ayparia, unxbected"/>
    <n v="2"/>
    <d v="2012-06-20T00:00:00"/>
    <n v="641"/>
    <n v="50"/>
    <n v="1"/>
    <n v="52"/>
    <n v="8"/>
    <n v="0"/>
    <n v="1170"/>
    <n v="58054811"/>
    <n v="129"/>
    <s v="A"/>
    <s v="Major"/>
    <n v="63"/>
    <n v="84"/>
    <x v="0"/>
    <n v="82"/>
    <x v="0"/>
    <n v="70"/>
    <n v="8"/>
    <n v="9"/>
    <n v="7"/>
    <n v="65.168196150341657"/>
  </r>
  <r>
    <x v="90"/>
    <s v="Luke Combs"/>
    <n v="1"/>
    <d v="2023-03-24T00:00:00"/>
    <n v="1446"/>
    <n v="12"/>
    <n v="57"/>
    <n v="97"/>
    <n v="35"/>
    <n v="0"/>
    <n v="429"/>
    <n v="157058870"/>
    <n v="98"/>
    <s v="G#"/>
    <s v="Major"/>
    <n v="71"/>
    <n v="67"/>
    <x v="1"/>
    <n v="60"/>
    <x v="0"/>
    <n v="19"/>
    <n v="0"/>
    <n v="12"/>
    <n v="3"/>
    <n v="23.327361787534905"/>
  </r>
  <r>
    <x v="91"/>
    <s v="Doechii"/>
    <n v="1"/>
    <d v="2023-03-17T00:00:00"/>
    <n v="804"/>
    <n v="25"/>
    <n v="29"/>
    <n v="76"/>
    <n v="24"/>
    <n v="0"/>
    <n v="162"/>
    <n v="95131998"/>
    <n v="172"/>
    <s v="C#"/>
    <s v="Minor"/>
    <n v="74"/>
    <n v="76"/>
    <x v="0"/>
    <n v="76"/>
    <x v="0"/>
    <n v="6"/>
    <n v="0"/>
    <n v="10"/>
    <n v="9"/>
    <n v="60.861768961608043"/>
  </r>
  <r>
    <x v="92"/>
    <s v="Bad Bunny, Eladio Carrion"/>
    <n v="2"/>
    <d v="2023-03-17T00:00:00"/>
    <n v="1962"/>
    <n v="38"/>
    <n v="28"/>
    <n v="89"/>
    <n v="29"/>
    <n v="5"/>
    <n v="82"/>
    <n v="250305248"/>
    <n v="150"/>
    <s v="D"/>
    <s v="Major"/>
    <n v="68"/>
    <n v="14"/>
    <x v="2"/>
    <n v="76"/>
    <x v="0"/>
    <n v="4"/>
    <n v="0"/>
    <n v="10"/>
    <n v="4"/>
    <n v="55.064738144946823"/>
  </r>
  <r>
    <x v="93"/>
    <s v="Taylor Swift"/>
    <n v="1"/>
    <d v="2017-11-08T00:00:00"/>
    <n v="4875"/>
    <n v="23"/>
    <n v="19"/>
    <n v="45"/>
    <n v="0"/>
    <n v="0"/>
    <n v="10"/>
    <n v="685032533"/>
    <n v="136"/>
    <s v="A"/>
    <s v="Minor"/>
    <n v="62"/>
    <n v="19"/>
    <x v="2"/>
    <n v="53"/>
    <x v="0"/>
    <n v="11"/>
    <n v="0"/>
    <n v="6"/>
    <n v="4"/>
    <n v="52.31217795079268"/>
  </r>
  <r>
    <x v="94"/>
    <s v="Jung Kook"/>
    <n v="1"/>
    <d v="2020-06-05T00:00:00"/>
    <n v="31"/>
    <n v="39"/>
    <n v="2"/>
    <n v="107"/>
    <n v="8"/>
    <n v="0"/>
    <n v="0"/>
    <n v="38411956"/>
    <n v="88"/>
    <s v="C#"/>
    <s v="Minor"/>
    <n v="53"/>
    <n v="34"/>
    <x v="2"/>
    <n v="47"/>
    <x v="1"/>
    <n v="9"/>
    <n v="0"/>
    <n v="83"/>
    <n v="4"/>
    <n v="24.447199850304948"/>
  </r>
  <r>
    <x v="95"/>
    <s v="J. Cole, Lil Durk"/>
    <n v="2"/>
    <d v="2023-05-12T00:00:00"/>
    <n v="2175"/>
    <n v="23"/>
    <n v="69"/>
    <n v="145"/>
    <n v="69"/>
    <n v="2"/>
    <n v="478"/>
    <n v="144565150"/>
    <n v="143"/>
    <s v="D#"/>
    <s v="Major"/>
    <n v="83"/>
    <n v="69"/>
    <x v="1"/>
    <n v="44"/>
    <x v="1"/>
    <n v="15"/>
    <n v="0"/>
    <n v="10"/>
    <n v="33"/>
    <n v="3.7654503052582777"/>
  </r>
  <r>
    <x v="96"/>
    <s v="Lana Del Rey"/>
    <n v="1"/>
    <d v="2023-03-17T00:00:00"/>
    <n v="2000"/>
    <n v="46"/>
    <n v="49"/>
    <n v="105"/>
    <n v="63"/>
    <n v="1"/>
    <n v="0"/>
    <n v="127567540"/>
    <n v="100"/>
    <s v="F#"/>
    <s v="Minor"/>
    <n v="49"/>
    <n v="17"/>
    <x v="2"/>
    <n v="35"/>
    <x v="1"/>
    <n v="71"/>
    <n v="9"/>
    <n v="11"/>
    <n v="3"/>
    <n v="82.486938360636785"/>
  </r>
  <r>
    <x v="97"/>
    <s v="SZA"/>
    <n v="1"/>
    <d v="2022-12-09T00:00:00"/>
    <n v="2839"/>
    <n v="25"/>
    <n v="58"/>
    <n v="156"/>
    <n v="42"/>
    <n v="1"/>
    <n v="236"/>
    <n v="399686758"/>
    <n v="143"/>
    <s v="F"/>
    <s v="Major"/>
    <n v="56"/>
    <n v="39"/>
    <x v="2"/>
    <n v="55"/>
    <x v="0"/>
    <n v="14"/>
    <n v="0"/>
    <n v="11"/>
    <n v="13"/>
    <n v="8.6180696482721189"/>
  </r>
  <r>
    <x v="98"/>
    <s v="Lana Del Rey"/>
    <n v="1"/>
    <d v="2011-01-01T00:00:00"/>
    <n v="20333"/>
    <n v="52"/>
    <n v="89"/>
    <n v="143"/>
    <n v="1632"/>
    <n v="3"/>
    <n v="200"/>
    <n v="983637508"/>
    <n v="112"/>
    <s v="C#"/>
    <s v="Minor"/>
    <n v="56"/>
    <n v="24"/>
    <x v="2"/>
    <n v="66"/>
    <x v="0"/>
    <n v="7"/>
    <n v="0"/>
    <n v="12"/>
    <n v="3"/>
    <n v="77.294502968723677"/>
  </r>
  <r>
    <x v="99"/>
    <s v="BTS"/>
    <n v="1"/>
    <d v="2023-06-09T00:00:00"/>
    <n v="674"/>
    <n v="47"/>
    <n v="20"/>
    <n v="106"/>
    <n v="25"/>
    <n v="4"/>
    <n v="78"/>
    <n v="118482347"/>
    <n v="93"/>
    <s v="G"/>
    <s v="Major"/>
    <n v="62"/>
    <n v="57"/>
    <x v="1"/>
    <n v="59"/>
    <x v="0"/>
    <n v="3"/>
    <n v="0"/>
    <n v="38"/>
    <n v="3"/>
    <n v="98.405433929977931"/>
  </r>
  <r>
    <x v="100"/>
    <s v="Taylor Swift"/>
    <n v="1"/>
    <d v="2012-01-01T00:00:00"/>
    <n v="8448"/>
    <n v="23"/>
    <n v="160"/>
    <n v="110"/>
    <n v="163"/>
    <n v="0"/>
    <n v="5"/>
    <n v="882831184"/>
    <n v="206"/>
    <s v="G"/>
    <s v="Major"/>
    <n v="43"/>
    <n v="50"/>
    <x v="1"/>
    <n v="55"/>
    <x v="0"/>
    <n v="50"/>
    <n v="0"/>
    <n v="15"/>
    <n v="10"/>
    <n v="55.789402769672435"/>
  </r>
  <r>
    <x v="101"/>
    <s v="Future, Metro Boomin, Don Toliver"/>
    <n v="3"/>
    <d v="2022-12-02T00:00:00"/>
    <n v="2110"/>
    <n v="58"/>
    <n v="17"/>
    <n v="119"/>
    <n v="19"/>
    <n v="2"/>
    <n v="266"/>
    <n v="286400165"/>
    <n v="88"/>
    <s v="G"/>
    <s v="Minor"/>
    <n v="68"/>
    <n v="17"/>
    <x v="2"/>
    <n v="71"/>
    <x v="0"/>
    <n v="15"/>
    <n v="0"/>
    <n v="11"/>
    <n v="5"/>
    <n v="68.439297482711993"/>
  </r>
  <r>
    <x v="102"/>
    <s v="Post Malone"/>
    <n v="1"/>
    <d v="2023-04-14T00:00:00"/>
    <n v="2528"/>
    <n v="39"/>
    <n v="56"/>
    <n v="91"/>
    <n v="59"/>
    <n v="3"/>
    <n v="486"/>
    <n v="172825906"/>
    <n v="170"/>
    <s v="D"/>
    <s v="Major"/>
    <n v="50"/>
    <n v="37"/>
    <x v="2"/>
    <n v="90"/>
    <x v="0"/>
    <n v="0"/>
    <n v="0"/>
    <n v="12"/>
    <n v="5"/>
    <n v="13.308593235015387"/>
  </r>
  <r>
    <x v="103"/>
    <s v="Eminem"/>
    <n v="1"/>
    <d v="2004-01-01T00:00:00"/>
    <n v="12985"/>
    <n v="61"/>
    <n v="49"/>
    <n v="98"/>
    <n v="2394"/>
    <n v="5"/>
    <n v="204"/>
    <n v="1241559043"/>
    <n v="84"/>
    <s v="E"/>
    <s v="Minor"/>
    <n v="62"/>
    <n v="24"/>
    <x v="2"/>
    <n v="67"/>
    <x v="0"/>
    <n v="21"/>
    <n v="0"/>
    <n v="13"/>
    <n v="28"/>
    <n v="86.522257744315084"/>
  </r>
  <r>
    <x v="104"/>
    <s v="NewJeans"/>
    <n v="1"/>
    <d v="2023-07-07T00:00:00"/>
    <n v="77"/>
    <n v="35"/>
    <n v="8"/>
    <n v="166"/>
    <n v="4"/>
    <n v="4"/>
    <n v="34"/>
    <n v="29562220"/>
    <n v="134"/>
    <s v="E"/>
    <s v="Minor"/>
    <n v="81"/>
    <n v="53"/>
    <x v="1"/>
    <n v="72"/>
    <x v="0"/>
    <n v="51"/>
    <n v="0"/>
    <n v="12"/>
    <n v="5"/>
    <n v="0.81649580202821648"/>
  </r>
  <r>
    <x v="105"/>
    <s v="Carin Leon"/>
    <n v="1"/>
    <d v="2022-04-20T00:00:00"/>
    <n v="266"/>
    <n v="27"/>
    <n v="6"/>
    <n v="40"/>
    <n v="6"/>
    <n v="6"/>
    <n v="202"/>
    <n v="77309611"/>
    <n v="158"/>
    <s v="A#"/>
    <s v="Major"/>
    <n v="54"/>
    <n v="50"/>
    <x v="1"/>
    <n v="40"/>
    <x v="1"/>
    <n v="61"/>
    <n v="0"/>
    <n v="10"/>
    <n v="6"/>
    <n v="6.5772399205187293"/>
  </r>
  <r>
    <x v="106"/>
    <s v="Dua Lipa, Elton John, Pnau"/>
    <n v="3"/>
    <d v="2017-11-10T00:00:00"/>
    <n v="21097"/>
    <n v="52"/>
    <n v="384"/>
    <n v="135"/>
    <n v="1034"/>
    <n v="37"/>
    <n v="312"/>
    <n v="1605224506"/>
    <n v="116"/>
    <s v="C#"/>
    <s v="Major"/>
    <n v="80"/>
    <n v="92"/>
    <x v="0"/>
    <n v="80"/>
    <x v="0"/>
    <n v="4"/>
    <n v="0"/>
    <n v="10"/>
    <n v="3"/>
    <n v="45.810118719533101"/>
  </r>
  <r>
    <x v="107"/>
    <s v="Ruth B."/>
    <n v="1"/>
    <d v="2017-04-28T00:00:00"/>
    <n v="3423"/>
    <n v="21"/>
    <n v="41"/>
    <n v="100"/>
    <n v="59"/>
    <n v="1"/>
    <n v="32"/>
    <n v="1116995633"/>
    <n v="117"/>
    <s v="C#"/>
    <s v="Major"/>
    <n v="61"/>
    <n v="45"/>
    <x v="1"/>
    <n v="69"/>
    <x v="0"/>
    <n v="2"/>
    <n v="0"/>
    <n v="9"/>
    <n v="3"/>
    <n v="47.59314671432503"/>
  </r>
  <r>
    <x v="108"/>
    <s v="Imagine Dragons"/>
    <n v="1"/>
    <d v="2021-03-11T00:00:00"/>
    <n v="4198"/>
    <n v="44"/>
    <n v="98"/>
    <n v="108"/>
    <n v="327"/>
    <n v="17"/>
    <n v="153"/>
    <n v="838079900"/>
    <n v="114"/>
    <s v="F"/>
    <s v="Minor"/>
    <n v="77"/>
    <n v="65"/>
    <x v="1"/>
    <n v="72"/>
    <x v="0"/>
    <n v="2"/>
    <n v="0"/>
    <n v="7"/>
    <n v="5"/>
    <n v="86.995537216972096"/>
  </r>
  <r>
    <x v="109"/>
    <s v="Adele"/>
    <n v="1"/>
    <d v="2011-01-01T00:00:00"/>
    <n v="14739"/>
    <n v="43"/>
    <n v="88"/>
    <n v="112"/>
    <n v="2163"/>
    <n v="5"/>
    <n v="519"/>
    <n v="1163620694"/>
    <n v="108"/>
    <s v="D"/>
    <s v="Minor"/>
    <n v="61"/>
    <n v="47"/>
    <x v="1"/>
    <n v="68"/>
    <x v="0"/>
    <n v="0"/>
    <n v="0"/>
    <n v="13"/>
    <n v="3"/>
    <n v="11.0350236827516"/>
  </r>
  <r>
    <x v="110"/>
    <s v="Kendrick Lamar, Jay Rock"/>
    <n v="2"/>
    <d v="2012-01-01T00:00:00"/>
    <n v="26792"/>
    <n v="32"/>
    <n v="69"/>
    <n v="113"/>
    <n v="695"/>
    <n v="0"/>
    <n v="458"/>
    <n v="1093605526"/>
    <n v="144"/>
    <s v="E"/>
    <s v="Minor"/>
    <n v="74"/>
    <n v="37"/>
    <x v="2"/>
    <n v="53"/>
    <x v="0"/>
    <n v="7"/>
    <n v="0"/>
    <n v="21"/>
    <n v="10"/>
    <n v="22.931477031490331"/>
  </r>
  <r>
    <x v="111"/>
    <s v="Anggi Marito"/>
    <n v="1"/>
    <d v="2022-12-02T00:00:00"/>
    <n v="213"/>
    <n v="6"/>
    <n v="7"/>
    <n v="6"/>
    <n v="0"/>
    <n v="0"/>
    <n v="48"/>
    <n v="179659294"/>
    <n v="130"/>
    <s v="F"/>
    <s v="Major"/>
    <n v="51"/>
    <n v="18"/>
    <x v="2"/>
    <n v="44"/>
    <x v="1"/>
    <n v="76"/>
    <n v="0"/>
    <n v="11"/>
    <n v="3"/>
    <n v="18.305269662824585"/>
  </r>
  <r>
    <x v="112"/>
    <s v="Jasiel Nu√Ø¬ø¬Ω√Ø¬ø¬Ωez, Peso P"/>
    <n v="2"/>
    <d v="2023-06-22T00:00:00"/>
    <n v="58"/>
    <n v="18"/>
    <n v="2"/>
    <n v="106"/>
    <n v="4"/>
    <n v="2"/>
    <n v="184"/>
    <n v="39058561"/>
    <n v="116"/>
    <s v="B"/>
    <s v="Major"/>
    <n v="77"/>
    <n v="79"/>
    <x v="0"/>
    <n v="62"/>
    <x v="0"/>
    <n v="33"/>
    <n v="1"/>
    <n v="15"/>
    <n v="3"/>
    <n v="39.151119292907325"/>
  </r>
  <r>
    <x v="113"/>
    <s v="Taylor Swift"/>
    <n v="1"/>
    <d v="2023-07-07T00:00:00"/>
    <n v="99"/>
    <n v="15"/>
    <n v="21"/>
    <n v="52"/>
    <n v="6"/>
    <n v="1"/>
    <n v="0"/>
    <n v="36912123"/>
    <n v="121"/>
    <s v="G"/>
    <s v="Major"/>
    <n v="65"/>
    <n v="49"/>
    <x v="1"/>
    <n v="78"/>
    <x v="0"/>
    <n v="0"/>
    <n v="0"/>
    <n v="17"/>
    <n v="4"/>
    <n v="30.954932807888959"/>
  </r>
  <r>
    <x v="114"/>
    <s v="Tears For Fears"/>
    <n v="1"/>
    <d v="1985-02-17T00:00:00"/>
    <n v="41751"/>
    <n v="25"/>
    <n v="101"/>
    <n v="32"/>
    <n v="2655"/>
    <n v="0"/>
    <n v="666"/>
    <n v="1205951614"/>
    <n v="112"/>
    <s v="G"/>
    <s v="Major"/>
    <n v="64"/>
    <n v="54"/>
    <x v="1"/>
    <n v="81"/>
    <x v="0"/>
    <n v="36"/>
    <n v="0"/>
    <n v="11"/>
    <n v="6"/>
    <n v="23.891980368330557"/>
  </r>
  <r>
    <x v="115"/>
    <s v="J. Cole"/>
    <n v="1"/>
    <d v="2014-12-09T00:00:00"/>
    <n v="21164"/>
    <n v="36"/>
    <n v="80"/>
    <n v="65"/>
    <n v="476"/>
    <n v="0"/>
    <n v="14"/>
    <n v="1791000570"/>
    <n v="100"/>
    <s v="A#"/>
    <s v="Minor"/>
    <n v="70"/>
    <n v="47"/>
    <x v="1"/>
    <n v="52"/>
    <x v="0"/>
    <n v="30"/>
    <n v="0"/>
    <n v="6"/>
    <n v="33"/>
    <n v="62.347680729806655"/>
  </r>
  <r>
    <x v="116"/>
    <s v="Loreen"/>
    <n v="1"/>
    <d v="2023-02-25T00:00:00"/>
    <n v="2988"/>
    <n v="59"/>
    <n v="74"/>
    <n v="102"/>
    <n v="145"/>
    <n v="18"/>
    <n v="925"/>
    <n v="201660859"/>
    <n v="150"/>
    <s v="D#"/>
    <s v="Minor"/>
    <n v="55"/>
    <n v="30"/>
    <x v="2"/>
    <n v="78"/>
    <x v="0"/>
    <n v="24"/>
    <n v="0"/>
    <n v="12"/>
    <n v="8"/>
    <n v="1.496437892629221"/>
  </r>
  <r>
    <x v="117"/>
    <s v="Taiu, Milo j"/>
    <n v="2"/>
    <d v="2023-02-08T00:00:00"/>
    <n v="893"/>
    <n v="38"/>
    <n v="19"/>
    <n v="23"/>
    <n v="24"/>
    <n v="3"/>
    <n v="88"/>
    <n v="248088961"/>
    <n v="120"/>
    <s v="F"/>
    <s v="Minor"/>
    <n v="84"/>
    <n v="96"/>
    <x v="0"/>
    <n v="71"/>
    <x v="0"/>
    <n v="18"/>
    <n v="0"/>
    <n v="34"/>
    <n v="17"/>
    <n v="35.939690312086313"/>
  </r>
  <r>
    <x v="118"/>
    <s v="Sebastian Yatra, Manuel Turizo, Be√Ø¬ø¬Ω√Ø"/>
    <n v="3"/>
    <d v="2023-05-12T00:00:00"/>
    <n v="1094"/>
    <n v="34"/>
    <n v="40"/>
    <n v="58"/>
    <n v="47"/>
    <n v="8"/>
    <n v="203"/>
    <n v="90839753"/>
    <n v="127"/>
    <s v="B"/>
    <s v="Minor"/>
    <n v="82"/>
    <n v="89"/>
    <x v="0"/>
    <n v="85"/>
    <x v="0"/>
    <n v="4"/>
    <n v="0"/>
    <n v="23"/>
    <n v="6"/>
    <n v="20.929903189452059"/>
  </r>
  <r>
    <x v="119"/>
    <s v="Taylor Swift"/>
    <n v="1"/>
    <d v="2020-07-24T00:00:00"/>
    <n v="7324"/>
    <n v="22"/>
    <n v="25"/>
    <n v="81"/>
    <n v="61"/>
    <n v="1"/>
    <n v="44"/>
    <n v="607123776"/>
    <n v="90"/>
    <s v="F"/>
    <s v="Major"/>
    <n v="51"/>
    <n v="42"/>
    <x v="1"/>
    <n v="61"/>
    <x v="0"/>
    <n v="53"/>
    <n v="0"/>
    <n v="9"/>
    <n v="3"/>
    <n v="17.968370447517557"/>
  </r>
  <r>
    <x v="120"/>
    <s v="Junior H, Peso Pluma"/>
    <n v="2"/>
    <d v="2023-06-22T00:00:00"/>
    <n v="201"/>
    <n v="11"/>
    <n v="19"/>
    <n v="117"/>
    <n v="8"/>
    <n v="1"/>
    <n v="74"/>
    <n v="55842345"/>
    <n v="128"/>
    <s v="A"/>
    <s v="Minor"/>
    <n v="75"/>
    <n v="79"/>
    <x v="0"/>
    <n v="63"/>
    <x v="0"/>
    <n v="33"/>
    <n v="0"/>
    <n v="15"/>
    <n v="4"/>
    <n v="4.576614290772218"/>
  </r>
  <r>
    <x v="121"/>
    <s v="Calvin Harris, Ellie Goulding"/>
    <n v="2"/>
    <d v="2023-03-10T00:00:00"/>
    <n v="5120"/>
    <n v="48"/>
    <n v="161"/>
    <n v="115"/>
    <n v="246"/>
    <n v="9"/>
    <n v="638"/>
    <n v="211050784"/>
    <n v="143"/>
    <s v="A"/>
    <s v="Major"/>
    <n v="64"/>
    <n v="31"/>
    <x v="2"/>
    <n v="87"/>
    <x v="0"/>
    <n v="4"/>
    <n v="4"/>
    <n v="8"/>
    <n v="4"/>
    <n v="60.578054606594691"/>
  </r>
  <r>
    <x v="122"/>
    <s v="Sabrina Carpenter"/>
    <n v="1"/>
    <d v="2022-07-15T00:00:00"/>
    <n v="2346"/>
    <n v="27"/>
    <n v="69"/>
    <n v="12"/>
    <n v="38"/>
    <n v="8"/>
    <n v="64"/>
    <n v="342897938"/>
    <n v="139"/>
    <s v="G#"/>
    <s v="Major"/>
    <n v="74"/>
    <n v="68"/>
    <x v="1"/>
    <n v="68"/>
    <x v="0"/>
    <n v="3"/>
    <n v="0"/>
    <n v="26"/>
    <n v="4"/>
    <n v="22.884165846544757"/>
  </r>
  <r>
    <x v="123"/>
    <s v="Carin Leon, Grupo Frontera"/>
    <n v="2"/>
    <d v="2022-12-09T00:00:00"/>
    <n v="763"/>
    <n v="26"/>
    <n v="21"/>
    <n v="110"/>
    <n v="21"/>
    <n v="9"/>
    <n v="71"/>
    <n v="2762"/>
    <n v="162"/>
    <s v="A#"/>
    <s v="Major"/>
    <n v="49"/>
    <n v="78"/>
    <x v="0"/>
    <n v="64"/>
    <x v="0"/>
    <n v="19"/>
    <n v="0"/>
    <n v="11"/>
    <n v="4"/>
    <n v="52.65748444985794"/>
  </r>
  <r>
    <x v="124"/>
    <s v="Peso Pluma"/>
    <n v="1"/>
    <d v="2021-06-11T00:00:00"/>
    <n v="457"/>
    <n v="24"/>
    <n v="8"/>
    <n v="116"/>
    <n v="4"/>
    <n v="3"/>
    <n v="2"/>
    <n v="330346424"/>
    <n v="92"/>
    <m/>
    <s v="Major"/>
    <n v="81"/>
    <n v="39"/>
    <x v="2"/>
    <n v="60"/>
    <x v="0"/>
    <n v="31"/>
    <n v="0"/>
    <n v="7"/>
    <n v="3"/>
    <n v="37.168938977166164"/>
  </r>
  <r>
    <x v="125"/>
    <s v="Feid"/>
    <n v="1"/>
    <d v="2022-08-19T00:00:00"/>
    <n v="3430"/>
    <n v="38"/>
    <n v="45"/>
    <n v="69"/>
    <n v="52"/>
    <n v="4"/>
    <n v="3"/>
    <n v="601863821"/>
    <n v="95"/>
    <s v="F"/>
    <s v="Major"/>
    <n v="87"/>
    <n v="57"/>
    <x v="1"/>
    <n v="55"/>
    <x v="0"/>
    <n v="10"/>
    <n v="0"/>
    <n v="29"/>
    <n v="7"/>
    <n v="12.222197354597419"/>
  </r>
  <r>
    <x v="126"/>
    <s v="Ray Dalton, Ryan Lewis, Macklemore"/>
    <n v="3"/>
    <d v="2011-08-16T00:00:00"/>
    <n v="6074"/>
    <n v="52"/>
    <n v="201"/>
    <n v="44"/>
    <n v="6551"/>
    <n v="2"/>
    <n v="0"/>
    <n v="1953533826"/>
    <n v="146"/>
    <s v="D"/>
    <s v="Major"/>
    <n v="63"/>
    <n v="88"/>
    <x v="0"/>
    <n v="93"/>
    <x v="0"/>
    <n v="3"/>
    <n v="0"/>
    <n v="10"/>
    <n v="8"/>
    <n v="18.601959768624422"/>
  </r>
  <r>
    <x v="127"/>
    <s v="Harry Styles"/>
    <n v="1"/>
    <d v="2019-11-17T00:00:00"/>
    <n v="21915"/>
    <n v="34"/>
    <n v="437"/>
    <n v="115"/>
    <n v="1212"/>
    <n v="12"/>
    <m/>
    <n v="2322580122"/>
    <n v="95"/>
    <m/>
    <s v="Major"/>
    <n v="55"/>
    <n v="56"/>
    <x v="1"/>
    <n v="82"/>
    <x v="0"/>
    <n v="12"/>
    <n v="0"/>
    <n v="34"/>
    <n v="5"/>
    <n v="69.372576324039201"/>
  </r>
  <r>
    <x v="128"/>
    <s v="Billie Eilish, Khalid"/>
    <n v="2"/>
    <d v="2017-08-11T00:00:00"/>
    <n v="15032"/>
    <n v="30"/>
    <n v="221"/>
    <n v="96"/>
    <n v="1078"/>
    <n v="2"/>
    <n v="136"/>
    <n v="2355719893"/>
    <n v="115"/>
    <s v="E"/>
    <s v="Minor"/>
    <n v="35"/>
    <n v="12"/>
    <x v="2"/>
    <n v="30"/>
    <x v="1"/>
    <n v="93"/>
    <n v="0"/>
    <n v="10"/>
    <n v="3"/>
    <n v="27.132512502383889"/>
  </r>
  <r>
    <x v="129"/>
    <s v="Rauw Alejandro, Bizarrap"/>
    <n v="2"/>
    <d v="2023-06-21T00:00:00"/>
    <n v="871"/>
    <n v="32"/>
    <n v="25"/>
    <n v="59"/>
    <n v="32"/>
    <n v="5"/>
    <n v="88"/>
    <n v="66902503"/>
    <n v="128"/>
    <s v="B"/>
    <s v="Major"/>
    <n v="78"/>
    <n v="59"/>
    <x v="1"/>
    <n v="65"/>
    <x v="0"/>
    <n v="10"/>
    <n v="0"/>
    <n v="26"/>
    <n v="5"/>
    <n v="77.398835227162934"/>
  </r>
  <r>
    <x v="130"/>
    <s v="(G)I-DLE"/>
    <n v="1"/>
    <d v="2023-05-15T00:00:00"/>
    <n v="451"/>
    <n v="33"/>
    <n v="10"/>
    <n v="126"/>
    <n v="7"/>
    <n v="0"/>
    <n v="148"/>
    <n v="96273746"/>
    <n v="130"/>
    <s v="E"/>
    <s v="Minor"/>
    <n v="82"/>
    <n v="69"/>
    <x v="1"/>
    <n v="83"/>
    <x v="0"/>
    <n v="3"/>
    <n v="0"/>
    <n v="27"/>
    <n v="5"/>
    <n v="56.240003614364433"/>
  </r>
  <r>
    <x v="131"/>
    <s v="NewJeans"/>
    <n v="1"/>
    <d v="2023-01-02T00:00:00"/>
    <n v="1783"/>
    <n v="27"/>
    <n v="26"/>
    <n v="124"/>
    <n v="15"/>
    <n v="1"/>
    <n v="22"/>
    <n v="430977451"/>
    <n v="127"/>
    <s v="A"/>
    <s v="Minor"/>
    <n v="80"/>
    <n v="74"/>
    <x v="0"/>
    <n v="77"/>
    <x v="0"/>
    <n v="36"/>
    <n v="0"/>
    <n v="11"/>
    <n v="4"/>
    <n v="64.614640096701052"/>
  </r>
  <r>
    <x v="132"/>
    <s v="Lana Del Rey"/>
    <n v="1"/>
    <d v="2011-01-01T00:00:00"/>
    <n v="9389"/>
    <n v="46"/>
    <n v="24"/>
    <n v="122"/>
    <n v="282"/>
    <n v="3"/>
    <n v="368"/>
    <n v="284819874"/>
    <n v="150"/>
    <s v="D"/>
    <s v="Major"/>
    <n v="42"/>
    <n v="20"/>
    <x v="2"/>
    <n v="86"/>
    <x v="0"/>
    <n v="21"/>
    <n v="0"/>
    <n v="9"/>
    <n v="9"/>
    <n v="18.260109873869201"/>
  </r>
  <r>
    <x v="133"/>
    <s v="Shakira, Bizarrap"/>
    <n v="2"/>
    <d v="2023-01-11T00:00:00"/>
    <n v="5724"/>
    <n v="44"/>
    <n v="119"/>
    <n v="108"/>
    <n v="254"/>
    <n v="29"/>
    <n v="22"/>
    <n v="721975598"/>
    <n v="122"/>
    <s v="D"/>
    <s v="Minor"/>
    <n v="78"/>
    <n v="50"/>
    <x v="1"/>
    <n v="63"/>
    <x v="0"/>
    <n v="27"/>
    <n v="0"/>
    <n v="9"/>
    <n v="5"/>
    <n v="23.906800135551464"/>
  </r>
  <r>
    <x v="134"/>
    <s v="Arctic Monkeys"/>
    <n v="1"/>
    <d v="2007-04-20T00:00:00"/>
    <n v="13985"/>
    <n v="25"/>
    <n v="30"/>
    <n v="80"/>
    <n v="588"/>
    <n v="1"/>
    <n v="1"/>
    <n v="1217120710"/>
    <n v="140"/>
    <m/>
    <s v="Major"/>
    <n v="52"/>
    <n v="20"/>
    <x v="2"/>
    <n v="85"/>
    <x v="0"/>
    <n v="0"/>
    <n v="0"/>
    <n v="7"/>
    <n v="5"/>
    <n v="0.37048753437667337"/>
  </r>
  <r>
    <x v="135"/>
    <s v="Swae Lee, A Boogie Wit da Hoodie, Metro Boomin, NAV"/>
    <n v="4"/>
    <d v="2023-06-02T00:00:00"/>
    <n v="1051"/>
    <n v="16"/>
    <n v="31"/>
    <n v="37"/>
    <n v="31"/>
    <n v="0"/>
    <n v="189"/>
    <n v="109276132"/>
    <n v="140"/>
    <m/>
    <s v="Major"/>
    <n v="63"/>
    <n v="22"/>
    <x v="2"/>
    <n v="54"/>
    <x v="0"/>
    <n v="46"/>
    <n v="0"/>
    <n v="12"/>
    <n v="8"/>
    <n v="90.736780486040303"/>
  </r>
  <r>
    <x v="136"/>
    <s v="Travis Scott, Young Thug, Metro Boomin"/>
    <n v="3"/>
    <d v="2022-12-02T00:00:00"/>
    <n v="1682"/>
    <n v="46"/>
    <n v="24"/>
    <n v="90"/>
    <n v="30"/>
    <n v="1"/>
    <n v="176"/>
    <n v="276259178"/>
    <n v="119"/>
    <s v="C#"/>
    <s v="Minor"/>
    <n v="75"/>
    <n v="48"/>
    <x v="1"/>
    <n v="53"/>
    <x v="0"/>
    <n v="18"/>
    <n v="0"/>
    <n v="18"/>
    <n v="34"/>
    <n v="80.352233343997597"/>
  </r>
  <r>
    <x v="137"/>
    <s v="Sachin-Jigar, Shadab Faridi, Altamash Faridi, Amitabh Bhattacharya, Varun Jain"/>
    <n v="5"/>
    <d v="2023-05-22T00:00:00"/>
    <n v="182"/>
    <n v="8"/>
    <n v="3"/>
    <n v="88"/>
    <n v="1"/>
    <n v="0"/>
    <n v="52"/>
    <n v="54225632"/>
    <n v="110"/>
    <s v="G"/>
    <s v="Minor"/>
    <n v="76"/>
    <n v="96"/>
    <x v="0"/>
    <n v="72"/>
    <x v="0"/>
    <n v="32"/>
    <n v="0"/>
    <n v="9"/>
    <n v="4"/>
    <n v="94.23845379086579"/>
  </r>
  <r>
    <x v="138"/>
    <s v="Ed Sheeran"/>
    <n v="1"/>
    <d v="2017-01-01T00:00:00"/>
    <n v="16596"/>
    <n v="13"/>
    <n v="7"/>
    <n v="0"/>
    <n v="2094"/>
    <n v="0"/>
    <n v="0"/>
    <n v="2559529074"/>
    <n v="95"/>
    <s v="G#"/>
    <s v="Major"/>
    <n v="60"/>
    <n v="17"/>
    <x v="2"/>
    <n v="45"/>
    <x v="1"/>
    <n v="16"/>
    <n v="0"/>
    <n v="11"/>
    <n v="2"/>
    <n v="44.907552657176744"/>
  </r>
  <r>
    <x v="139"/>
    <s v="d4vd"/>
    <n v="1"/>
    <d v="2022-07-20T00:00:00"/>
    <n v="2335"/>
    <n v="23"/>
    <n v="82"/>
    <n v="55"/>
    <n v="50"/>
    <n v="0"/>
    <n v="9"/>
    <n v="681583126"/>
    <n v="132"/>
    <s v="F#"/>
    <s v="Major"/>
    <n v="56"/>
    <n v="20"/>
    <x v="2"/>
    <n v="55"/>
    <x v="0"/>
    <n v="45"/>
    <n v="1"/>
    <n v="32"/>
    <n v="3"/>
    <n v="35.166582525570803"/>
  </r>
  <r>
    <x v="140"/>
    <s v="Imagine Dragons"/>
    <n v="1"/>
    <d v="2017-01-31T00:00:00"/>
    <n v="18986"/>
    <n v="23"/>
    <n v="250"/>
    <n v="121"/>
    <n v="2969"/>
    <n v="10"/>
    <n v="31"/>
    <n v="2594040133"/>
    <n v="125"/>
    <s v="A#"/>
    <s v="Minor"/>
    <n v="77"/>
    <n v="74"/>
    <x v="0"/>
    <n v="78"/>
    <x v="0"/>
    <n v="4"/>
    <n v="0"/>
    <n v="23"/>
    <n v="11"/>
    <n v="55.741842505286876"/>
  </r>
  <r>
    <x v="141"/>
    <s v="Veigh, Bvga Beatz, Supernova Ent, Prod Malax"/>
    <n v="4"/>
    <d v="2023-05-19T00:00:00"/>
    <n v="283"/>
    <n v="7"/>
    <n v="6"/>
    <n v="9"/>
    <n v="26"/>
    <n v="1"/>
    <n v="66"/>
    <n v="81102253"/>
    <n v="124"/>
    <s v="D#"/>
    <s v="Minor"/>
    <n v="84"/>
    <n v="65"/>
    <x v="1"/>
    <n v="50"/>
    <x v="1"/>
    <n v="67"/>
    <n v="0"/>
    <n v="13"/>
    <n v="6"/>
    <n v="78.700135656062457"/>
  </r>
  <r>
    <x v="142"/>
    <s v="Mc Pedrinho, DJ 900"/>
    <n v="2"/>
    <d v="2023-06-01T00:00:00"/>
    <n v="293"/>
    <n v="8"/>
    <n v="5"/>
    <n v="2"/>
    <n v="30"/>
    <n v="2"/>
    <n v="66"/>
    <n v="11956641"/>
    <n v="133"/>
    <s v="B"/>
    <s v="Minor"/>
    <n v="93"/>
    <n v="68"/>
    <x v="1"/>
    <n v="65"/>
    <x v="0"/>
    <n v="42"/>
    <n v="0"/>
    <n v="12"/>
    <n v="25"/>
    <n v="86.464232703924836"/>
  </r>
  <r>
    <x v="143"/>
    <s v="Eminem"/>
    <n v="1"/>
    <d v="2002-01-01T00:00:00"/>
    <n v="21081"/>
    <n v="43"/>
    <n v="98"/>
    <n v="76"/>
    <n v="3889"/>
    <n v="5"/>
    <n v="0"/>
    <n v="1687664027"/>
    <n v="112"/>
    <s v="G"/>
    <s v="Major"/>
    <n v="92"/>
    <n v="67"/>
    <x v="1"/>
    <n v="66"/>
    <x v="0"/>
    <n v="0"/>
    <n v="0"/>
    <n v="36"/>
    <n v="9"/>
    <n v="99.802850239900479"/>
  </r>
  <r>
    <x v="144"/>
    <s v="Sog, Ryan Castro, Peso Pluma"/>
    <n v="3"/>
    <d v="2023-07-13T00:00:00"/>
    <n v="437"/>
    <n v="31"/>
    <n v="17"/>
    <n v="29"/>
    <n v="26"/>
    <n v="3"/>
    <n v="208"/>
    <n v="11599388"/>
    <n v="97"/>
    <m/>
    <s v="Major"/>
    <n v="79"/>
    <n v="92"/>
    <x v="0"/>
    <n v="89"/>
    <x v="0"/>
    <n v="5"/>
    <n v="0"/>
    <n v="6"/>
    <n v="5"/>
    <n v="52.573774594020605"/>
  </r>
  <r>
    <x v="145"/>
    <s v="The Weeknd, Lana Del Rey"/>
    <n v="2"/>
    <d v="2016-11-24T00:00:00"/>
    <n v="1275"/>
    <n v="32"/>
    <n v="13"/>
    <n v="8"/>
    <n v="5"/>
    <n v="0"/>
    <n v="1"/>
    <n v="611700552"/>
    <n v="90"/>
    <s v="F"/>
    <s v="Minor"/>
    <n v="59"/>
    <n v="52"/>
    <x v="1"/>
    <n v="48"/>
    <x v="1"/>
    <n v="38"/>
    <n v="5"/>
    <n v="10"/>
    <n v="11"/>
    <n v="35.582258542704395"/>
  </r>
  <r>
    <x v="146"/>
    <s v="Bomba Est√Ø¬ø¬Ω√Ø¬ø¬Ωreo, Bad B"/>
    <n v="2"/>
    <d v="2022-05-06T00:00:00"/>
    <n v="6135"/>
    <n v="38"/>
    <n v="71"/>
    <n v="113"/>
    <n v="99"/>
    <n v="13"/>
    <n v="28"/>
    <n v="1133865788"/>
    <n v="80"/>
    <s v="D#"/>
    <s v="Minor"/>
    <n v="65"/>
    <n v="27"/>
    <x v="2"/>
    <n v="69"/>
    <x v="0"/>
    <n v="8"/>
    <n v="0"/>
    <n v="53"/>
    <n v="4"/>
    <n v="92.031506018676751"/>
  </r>
  <r>
    <x v="147"/>
    <s v="Keane"/>
    <n v="1"/>
    <d v="2004-01-01T00:00:00"/>
    <n v="20015"/>
    <n v="16"/>
    <n v="107"/>
    <n v="69"/>
    <n v="5239"/>
    <n v="0"/>
    <n v="558"/>
    <n v="1089402494"/>
    <n v="172"/>
    <s v="A"/>
    <s v="Major"/>
    <n v="45"/>
    <n v="33"/>
    <x v="2"/>
    <n v="59"/>
    <x v="0"/>
    <n v="6"/>
    <n v="0"/>
    <n v="8"/>
    <n v="3"/>
    <n v="17.370167961227835"/>
  </r>
  <r>
    <x v="148"/>
    <s v="New West"/>
    <n v="1"/>
    <d v="2019-05-10T00:00:00"/>
    <n v="1507"/>
    <n v="14"/>
    <n v="24"/>
    <n v="71"/>
    <n v="44"/>
    <n v="1"/>
    <n v="195"/>
    <n v="411747614"/>
    <n v="120"/>
    <s v="E"/>
    <s v="Major"/>
    <n v="60"/>
    <n v="24"/>
    <x v="2"/>
    <n v="35"/>
    <x v="1"/>
    <n v="73"/>
    <n v="0"/>
    <n v="31"/>
    <n v="3"/>
    <n v="14.918711959002673"/>
  </r>
  <r>
    <x v="149"/>
    <s v="Chino Pacas"/>
    <n v="1"/>
    <d v="2023-01-27T00:00:00"/>
    <n v="539"/>
    <n v="21"/>
    <n v="7"/>
    <n v="71"/>
    <n v="4"/>
    <n v="2"/>
    <n v="13"/>
    <n v="255932395"/>
    <n v="140"/>
    <s v="G"/>
    <s v="Minor"/>
    <n v="74"/>
    <n v="96"/>
    <x v="0"/>
    <n v="80"/>
    <x v="0"/>
    <n v="18"/>
    <n v="0"/>
    <n v="5"/>
    <n v="5"/>
    <n v="85.597843519687771"/>
  </r>
  <r>
    <x v="150"/>
    <s v="Natanael Cano"/>
    <n v="1"/>
    <d v="2023-06-30T00:00:00"/>
    <n v="86"/>
    <n v="8"/>
    <n v="7"/>
    <n v="76"/>
    <n v="3"/>
    <n v="1"/>
    <n v="93"/>
    <n v="31873544"/>
    <n v="128"/>
    <s v="A"/>
    <s v="Minor"/>
    <n v="81"/>
    <n v="90"/>
    <x v="0"/>
    <n v="77"/>
    <x v="0"/>
    <n v="1"/>
    <n v="0"/>
    <n v="9"/>
    <n v="5"/>
    <n v="27.185958514524511"/>
  </r>
  <r>
    <x v="151"/>
    <s v="Peso Pluma"/>
    <n v="1"/>
    <d v="2023-05-26T00:00:00"/>
    <n v="324"/>
    <n v="14"/>
    <n v="13"/>
    <n v="110"/>
    <n v="8"/>
    <n v="2"/>
    <n v="60"/>
    <n v="95053634"/>
    <n v="122"/>
    <m/>
    <s v="Major"/>
    <n v="78"/>
    <n v="70"/>
    <x v="1"/>
    <n v="81"/>
    <x v="0"/>
    <n v="57"/>
    <n v="0"/>
    <n v="10"/>
    <n v="5"/>
    <n v="20.380994351798666"/>
  </r>
  <r>
    <x v="152"/>
    <s v="Don Omar, Lucenzo"/>
    <n v="2"/>
    <d v="2010-01-01T00:00:00"/>
    <n v="17138"/>
    <n v="37"/>
    <n v="119"/>
    <n v="81"/>
    <n v="974"/>
    <n v="1"/>
    <n v="503"/>
    <n v="1279434863"/>
    <n v="130"/>
    <m/>
    <s v="Major"/>
    <n v="47"/>
    <n v="86"/>
    <x v="0"/>
    <n v="92"/>
    <x v="0"/>
    <n v="8"/>
    <n v="0"/>
    <n v="5"/>
    <n v="24"/>
    <n v="48.5372376718705"/>
  </r>
  <r>
    <x v="153"/>
    <s v="Ana Castela, AgroPlay"/>
    <n v="2"/>
    <d v="2023-02-02T00:00:00"/>
    <n v="894"/>
    <n v="9"/>
    <n v="14"/>
    <n v="88"/>
    <n v="66"/>
    <n v="3"/>
    <n v="72"/>
    <n v="233801632"/>
    <n v="160"/>
    <s v="A"/>
    <s v="Major"/>
    <n v="69"/>
    <n v="61"/>
    <x v="1"/>
    <n v="71"/>
    <x v="0"/>
    <n v="33"/>
    <n v="0"/>
    <n v="31"/>
    <n v="20"/>
    <n v="6.3358583784872913"/>
  </r>
  <r>
    <x v="154"/>
    <s v="Bruno Mars"/>
    <n v="1"/>
    <d v="2012-12-05T00:00:00"/>
    <n v="1622"/>
    <n v="9"/>
    <n v="0"/>
    <n v="0"/>
    <n v="356"/>
    <n v="0"/>
    <n v="0"/>
    <n v="1481349984"/>
    <n v="144"/>
    <s v="F"/>
    <s v="Major"/>
    <n v="73"/>
    <n v="87"/>
    <x v="0"/>
    <n v="70"/>
    <x v="0"/>
    <n v="6"/>
    <n v="0"/>
    <n v="28"/>
    <n v="5"/>
    <n v="29.719003689794675"/>
  </r>
  <r>
    <x v="155"/>
    <s v="Big One, FMK, Ke personajes"/>
    <n v="3"/>
    <d v="2023-04-04T00:00:00"/>
    <n v="561"/>
    <n v="14"/>
    <n v="4"/>
    <n v="14"/>
    <n v="12"/>
    <n v="5"/>
    <n v="56"/>
    <n v="142095275"/>
    <n v="192"/>
    <s v="B"/>
    <s v="Major"/>
    <n v="50"/>
    <n v="85"/>
    <x v="0"/>
    <n v="52"/>
    <x v="0"/>
    <n v="11"/>
    <n v="0"/>
    <n v="28"/>
    <n v="6"/>
    <n v="29.466931881310376"/>
  </r>
  <r>
    <x v="156"/>
    <s v="Drake, 21 Savage"/>
    <n v="2"/>
    <d v="2022-06-17T00:00:00"/>
    <n v="5871"/>
    <n v="27"/>
    <n v="81"/>
    <n v="121"/>
    <n v="58"/>
    <n v="1"/>
    <n v="34"/>
    <n v="618885532"/>
    <n v="163"/>
    <m/>
    <s v="Major"/>
    <n v="54"/>
    <n v="40"/>
    <x v="1"/>
    <n v="67"/>
    <x v="0"/>
    <n v="0"/>
    <n v="0"/>
    <n v="9"/>
    <n v="17"/>
    <n v="54.165745030550269"/>
  </r>
  <r>
    <x v="157"/>
    <s v="OneRepublic"/>
    <n v="1"/>
    <d v="2013-01-01T00:00:00"/>
    <n v="29215"/>
    <n v="43"/>
    <n v="179"/>
    <n v="97"/>
    <n v="3394"/>
    <n v="11"/>
    <n v="153"/>
    <n v="2011464183"/>
    <n v="122"/>
    <s v="C#"/>
    <s v="Minor"/>
    <n v="66"/>
    <n v="48"/>
    <x v="1"/>
    <n v="71"/>
    <x v="0"/>
    <n v="6"/>
    <n v="0"/>
    <n v="12"/>
    <n v="4"/>
    <n v="34.047483042480884"/>
  </r>
  <r>
    <x v="158"/>
    <s v="Justin Bieber"/>
    <n v="1"/>
    <d v="2021-03-19T00:00:00"/>
    <n v="5866"/>
    <n v="24"/>
    <n v="107"/>
    <n v="38"/>
    <n v="95"/>
    <n v="0"/>
    <m/>
    <n v="1167330737"/>
    <n v="154"/>
    <s v="D"/>
    <s v="Major"/>
    <n v="61"/>
    <n v="41"/>
    <x v="1"/>
    <n v="74"/>
    <x v="0"/>
    <n v="21"/>
    <n v="0"/>
    <n v="40"/>
    <n v="6"/>
    <n v="23.452348530100942"/>
  </r>
  <r>
    <x v="159"/>
    <s v="Chris Brown"/>
    <n v="1"/>
    <d v="2019-10-04T00:00:00"/>
    <n v="3859"/>
    <n v="26"/>
    <n v="133"/>
    <n v="181"/>
    <n v="3"/>
    <n v="0"/>
    <m/>
    <n v="929964809"/>
    <n v="117"/>
    <s v="A"/>
    <s v="Minor"/>
    <n v="73"/>
    <n v="31"/>
    <x v="2"/>
    <n v="69"/>
    <x v="0"/>
    <n v="6"/>
    <n v="0"/>
    <n v="11"/>
    <n v="4"/>
    <n v="51.006331502523913"/>
  </r>
  <r>
    <x v="160"/>
    <s v="Natanael Cano, Peso Pluma"/>
    <n v="2"/>
    <d v="2023-01-23T00:00:00"/>
    <n v="961"/>
    <n v="26"/>
    <n v="19"/>
    <n v="143"/>
    <n v="10"/>
    <n v="6"/>
    <n v="15"/>
    <n v="436027885"/>
    <n v="138"/>
    <s v="G"/>
    <s v="Minor"/>
    <n v="78"/>
    <n v="89"/>
    <x v="0"/>
    <n v="83"/>
    <x v="0"/>
    <n v="10"/>
    <n v="0"/>
    <n v="12"/>
    <n v="5"/>
    <n v="84.98604823065898"/>
  </r>
  <r>
    <x v="161"/>
    <s v="Daddy Yankee"/>
    <n v="1"/>
    <d v="2004-07-13T00:00:00"/>
    <n v="6457"/>
    <n v="18"/>
    <n v="98"/>
    <n v="95"/>
    <n v="453"/>
    <n v="0"/>
    <n v="454"/>
    <n v="657723613"/>
    <n v="96"/>
    <m/>
    <s v="Major"/>
    <n v="86"/>
    <n v="74"/>
    <x v="0"/>
    <n v="80"/>
    <x v="0"/>
    <n v="33"/>
    <n v="0"/>
    <n v="8"/>
    <n v="6"/>
    <n v="26.32073159974674"/>
  </r>
  <r>
    <x v="162"/>
    <s v="Drake, WizKid, Kyla"/>
    <n v="3"/>
    <d v="2016-04-04T00:00:00"/>
    <n v="43257"/>
    <n v="24"/>
    <n v="433"/>
    <n v="107"/>
    <n v="3631"/>
    <n v="0"/>
    <n v="26"/>
    <n v="2713922350"/>
    <n v="104"/>
    <s v="C#"/>
    <s v="Major"/>
    <n v="77"/>
    <n v="36"/>
    <x v="2"/>
    <n v="63"/>
    <x v="0"/>
    <n v="1"/>
    <n v="0"/>
    <n v="36"/>
    <n v="5"/>
    <n v="17.039444825650307"/>
  </r>
  <r>
    <x v="163"/>
    <s v="Taylor Swift"/>
    <n v="1"/>
    <d v="2010-01-01T00:00:00"/>
    <n v="4564"/>
    <n v="16"/>
    <n v="24"/>
    <n v="101"/>
    <n v="113"/>
    <n v="0"/>
    <n v="40"/>
    <n v="621660989"/>
    <n v="164"/>
    <s v="G#"/>
    <s v="Major"/>
    <n v="45"/>
    <n v="24"/>
    <x v="2"/>
    <n v="62"/>
    <x v="0"/>
    <n v="8"/>
    <n v="0"/>
    <n v="16"/>
    <n v="3"/>
    <n v="50.349241484554561"/>
  </r>
  <r>
    <x v="164"/>
    <s v="The Weeknd"/>
    <n v="1"/>
    <d v="2020-03-20T00:00:00"/>
    <n v="12688"/>
    <n v="13"/>
    <n v="197"/>
    <n v="115"/>
    <n v="112"/>
    <n v="0"/>
    <n v="200"/>
    <n v="1591223784"/>
    <n v="118"/>
    <m/>
    <s v="Major"/>
    <n v="68"/>
    <n v="61"/>
    <x v="1"/>
    <n v="82"/>
    <x v="0"/>
    <n v="2"/>
    <n v="0"/>
    <n v="50"/>
    <n v="3"/>
    <n v="8.4351143176256915"/>
  </r>
  <r>
    <x v="165"/>
    <s v="Miguel"/>
    <n v="1"/>
    <d v="2010-05-25T00:00:00"/>
    <n v="13801"/>
    <n v="19"/>
    <n v="137"/>
    <n v="125"/>
    <n v="435"/>
    <n v="6"/>
    <n v="285"/>
    <n v="950906471"/>
    <n v="81"/>
    <s v="B"/>
    <s v="Minor"/>
    <n v="68"/>
    <n v="51"/>
    <x v="1"/>
    <n v="60"/>
    <x v="0"/>
    <n v="3"/>
    <n v="0"/>
    <n v="19"/>
    <n v="10"/>
    <n v="89.666725121712659"/>
  </r>
  <r>
    <x v="166"/>
    <s v="The Police"/>
    <n v="1"/>
    <d v="1983-01-06T00:00:00"/>
    <n v="22439"/>
    <n v="19"/>
    <n v="211"/>
    <n v="74"/>
    <n v="929"/>
    <n v="0"/>
    <n v="129"/>
    <n v="1593270737"/>
    <n v="117"/>
    <s v="C#"/>
    <s v="Major"/>
    <n v="82"/>
    <n v="73"/>
    <x v="0"/>
    <n v="45"/>
    <x v="1"/>
    <n v="54"/>
    <n v="0"/>
    <n v="7"/>
    <n v="3"/>
    <n v="58.037893183974191"/>
  </r>
  <r>
    <x v="167"/>
    <s v="Lord Huron"/>
    <n v="1"/>
    <d v="2015-02-02T00:00:00"/>
    <n v="18515"/>
    <n v="35"/>
    <n v="70"/>
    <n v="82"/>
    <n v="939"/>
    <n v="1"/>
    <n v="162"/>
    <n v="1410088830"/>
    <n v="174"/>
    <s v="D"/>
    <s v="Major"/>
    <n v="45"/>
    <n v="10"/>
    <x v="2"/>
    <n v="37"/>
    <x v="1"/>
    <n v="97"/>
    <n v="25"/>
    <n v="64"/>
    <n v="4"/>
    <n v="96.729776397527715"/>
  </r>
  <r>
    <x v="168"/>
    <s v="Rihanna, Calvin Harris"/>
    <n v="2"/>
    <d v="2011-01-01T00:00:00"/>
    <n v="36843"/>
    <n v="21"/>
    <n v="321"/>
    <n v="91"/>
    <n v="4607"/>
    <n v="1"/>
    <n v="58"/>
    <n v="1235005533"/>
    <n v="128"/>
    <s v="C#"/>
    <s v="Major"/>
    <n v="73"/>
    <n v="60"/>
    <x v="1"/>
    <n v="77"/>
    <x v="0"/>
    <n v="3"/>
    <n v="0"/>
    <n v="11"/>
    <n v="4"/>
    <n v="88.538957346426969"/>
  </r>
  <r>
    <x v="169"/>
    <s v="Bruno Mars"/>
    <n v="1"/>
    <d v="2012-12-05T00:00:00"/>
    <n v="2420"/>
    <n v="11"/>
    <n v="0"/>
    <n v="0"/>
    <n v="806"/>
    <n v="0"/>
    <n v="0"/>
    <n v="1661187319"/>
    <n v="145"/>
    <m/>
    <s v="Major"/>
    <n v="60"/>
    <n v="43"/>
    <x v="1"/>
    <n v="27"/>
    <x v="1"/>
    <n v="94"/>
    <n v="0"/>
    <n v="14"/>
    <n v="4"/>
    <n v="22.547892521239245"/>
  </r>
  <r>
    <x v="170"/>
    <s v="Alec Benjamin"/>
    <n v="1"/>
    <d v="2018-05-25T00:00:00"/>
    <n v="5897"/>
    <n v="19"/>
    <n v="0"/>
    <n v="0"/>
    <n v="885"/>
    <n v="0"/>
    <n v="0"/>
    <n v="1374581173"/>
    <n v="150"/>
    <s v="C#"/>
    <s v="Minor"/>
    <n v="65"/>
    <n v="51"/>
    <x v="1"/>
    <n v="55"/>
    <x v="0"/>
    <n v="73"/>
    <n v="0"/>
    <n v="14"/>
    <n v="3"/>
    <n v="75.724104590637253"/>
  </r>
  <r>
    <x v="171"/>
    <s v="A$AP Rocky, Metro Boomin, Roisee"/>
    <n v="3"/>
    <d v="2023-06-02T00:00:00"/>
    <n v="727"/>
    <n v="16"/>
    <n v="17"/>
    <n v="60"/>
    <n v="28"/>
    <n v="1"/>
    <n v="44"/>
    <n v="94186466"/>
    <n v="90"/>
    <s v="A"/>
    <s v="Minor"/>
    <n v="60"/>
    <n v="13"/>
    <x v="2"/>
    <n v="53"/>
    <x v="0"/>
    <n v="4"/>
    <n v="0"/>
    <n v="21"/>
    <n v="4"/>
    <n v="13.103677927453495"/>
  </r>
  <r>
    <x v="172"/>
    <s v="Arctic Monkeys"/>
    <n v="1"/>
    <d v="2013-01-01T00:00:00"/>
    <n v="33783"/>
    <n v="26"/>
    <n v="133"/>
    <n v="92"/>
    <n v="2733"/>
    <n v="1"/>
    <n v="26"/>
    <n v="1788326445"/>
    <n v="85"/>
    <s v="F"/>
    <s v="Major"/>
    <n v="55"/>
    <n v="42"/>
    <x v="1"/>
    <n v="53"/>
    <x v="0"/>
    <n v="17"/>
    <n v="0"/>
    <n v="22"/>
    <n v="3"/>
    <n v="60.361801872808925"/>
  </r>
  <r>
    <x v="173"/>
    <s v="Imagine Dragons"/>
    <n v="1"/>
    <d v="2012-01-01T00:00:00"/>
    <n v="26694"/>
    <n v="13"/>
    <n v="65"/>
    <n v="82"/>
    <n v="3425"/>
    <n v="4"/>
    <n v="13"/>
    <n v="1840364617"/>
    <n v="180"/>
    <s v="D#"/>
    <s v="Major"/>
    <n v="33"/>
    <n v="38"/>
    <x v="2"/>
    <n v="71"/>
    <x v="0"/>
    <n v="20"/>
    <n v="0"/>
    <n v="28"/>
    <n v="5"/>
    <n v="71.130894479009584"/>
  </r>
  <r>
    <x v="174"/>
    <s v="YOASOBI"/>
    <n v="1"/>
    <d v="2023-04-12T00:00:00"/>
    <n v="356"/>
    <n v="16"/>
    <n v="35"/>
    <n v="102"/>
    <n v="8"/>
    <n v="1"/>
    <n v="117"/>
    <n v="143573775"/>
    <n v="166"/>
    <s v="C#"/>
    <s v="Major"/>
    <n v="57"/>
    <n v="84"/>
    <x v="0"/>
    <n v="94"/>
    <x v="0"/>
    <n v="11"/>
    <n v="0"/>
    <n v="37"/>
    <n v="9"/>
    <n v="87.054744715738181"/>
  </r>
  <r>
    <x v="175"/>
    <s v="The Weeknd"/>
    <n v="1"/>
    <d v="2016-11-25T00:00:00"/>
    <n v="6518"/>
    <n v="17"/>
    <n v="45"/>
    <n v="85"/>
    <n v="238"/>
    <n v="1"/>
    <n v="47"/>
    <n v="684675814"/>
    <n v="160"/>
    <s v="G#"/>
    <s v="Major"/>
    <n v="71"/>
    <n v="40"/>
    <x v="1"/>
    <n v="50"/>
    <x v="1"/>
    <n v="16"/>
    <n v="0"/>
    <n v="16"/>
    <n v="22"/>
    <n v="17.245388812199348"/>
  </r>
  <r>
    <x v="176"/>
    <s v="Taylor Swift"/>
    <n v="1"/>
    <d v="2014-01-01T00:00:00"/>
    <n v="21335"/>
    <n v="13"/>
    <n v="328"/>
    <n v="70"/>
    <n v="1378"/>
    <n v="9"/>
    <n v="20"/>
    <n v="1113838873"/>
    <n v="160"/>
    <s v="G"/>
    <s v="Major"/>
    <n v="65"/>
    <n v="95"/>
    <x v="0"/>
    <n v="80"/>
    <x v="0"/>
    <n v="5"/>
    <n v="0"/>
    <n v="41"/>
    <n v="16"/>
    <n v="48.916369249456672"/>
  </r>
  <r>
    <x v="177"/>
    <s v="Arctic Monkeys"/>
    <n v="1"/>
    <d v="2013-01-01T00:00:00"/>
    <n v="23389"/>
    <n v="29"/>
    <n v="54"/>
    <n v="70"/>
    <n v="1089"/>
    <n v="2"/>
    <n v="1"/>
    <n v="1267333350"/>
    <n v="92"/>
    <s v="D"/>
    <s v="Major"/>
    <n v="70"/>
    <n v="81"/>
    <x v="0"/>
    <n v="63"/>
    <x v="0"/>
    <n v="4"/>
    <n v="0"/>
    <n v="8"/>
    <n v="4"/>
    <n v="65.400219362013743"/>
  </r>
  <r>
    <x v="178"/>
    <s v="Rosa Linn"/>
    <n v="1"/>
    <d v="2022-03-19T00:00:00"/>
    <n v="3202"/>
    <n v="18"/>
    <n v="148"/>
    <n v="80"/>
    <n v="226"/>
    <n v="24"/>
    <n v="0"/>
    <n v="726307468"/>
    <n v="170"/>
    <m/>
    <s v="Major"/>
    <n v="56"/>
    <n v="53"/>
    <x v="1"/>
    <n v="64"/>
    <x v="0"/>
    <n v="11"/>
    <n v="0"/>
    <n v="45"/>
    <n v="6"/>
    <n v="52.840371255095839"/>
  </r>
  <r>
    <x v="179"/>
    <s v="Ed Sheeran"/>
    <n v="1"/>
    <d v="2017-01-06T00:00:00"/>
    <n v="32181"/>
    <n v="10"/>
    <n v="33"/>
    <n v="0"/>
    <n v="6808"/>
    <n v="7"/>
    <n v="0"/>
    <n v="3562543890"/>
    <n v="96"/>
    <s v="C#"/>
    <s v="Minor"/>
    <n v="83"/>
    <n v="93"/>
    <x v="0"/>
    <n v="65"/>
    <x v="0"/>
    <n v="58"/>
    <n v="0"/>
    <n v="9"/>
    <n v="8"/>
    <n v="95.902926796098527"/>
  </r>
  <r>
    <x v="180"/>
    <s v="One Direction"/>
    <n v="1"/>
    <d v="2014-11-17T00:00:00"/>
    <n v="7124"/>
    <n v="18"/>
    <n v="60"/>
    <n v="20"/>
    <n v="2"/>
    <n v="0"/>
    <m/>
    <n v="1131090940"/>
    <n v="120"/>
    <s v="G#"/>
    <s v="Major"/>
    <n v="67"/>
    <n v="40"/>
    <x v="1"/>
    <n v="52"/>
    <x v="0"/>
    <n v="86"/>
    <n v="0"/>
    <n v="12"/>
    <n v="4"/>
    <n v="77.635007911924575"/>
  </r>
  <r>
    <x v="181"/>
    <s v="Oscar Maydon, Junior H"/>
    <n v="2"/>
    <d v="2023-01-13T00:00:00"/>
    <n v="592"/>
    <n v="14"/>
    <n v="11"/>
    <n v="84"/>
    <n v="6"/>
    <n v="1"/>
    <n v="30"/>
    <n v="307370144"/>
    <n v="98"/>
    <m/>
    <s v="Major"/>
    <n v="70"/>
    <n v="37"/>
    <x v="2"/>
    <n v="54"/>
    <x v="0"/>
    <n v="6"/>
    <n v="0"/>
    <n v="9"/>
    <n v="8"/>
    <n v="13.020452128895821"/>
  </r>
  <r>
    <x v="182"/>
    <s v="Radiohead"/>
    <n v="1"/>
    <d v="1992-09-21T00:00:00"/>
    <n v="36724"/>
    <n v="7"/>
    <n v="146"/>
    <n v="72"/>
    <n v="6807"/>
    <n v="5"/>
    <n v="80"/>
    <n v="1271293243"/>
    <n v="92"/>
    <s v="G"/>
    <s v="Major"/>
    <n v="53"/>
    <n v="12"/>
    <x v="2"/>
    <n v="34"/>
    <x v="1"/>
    <n v="1"/>
    <n v="0"/>
    <n v="12"/>
    <n v="4"/>
    <n v="98.850202919512981"/>
  </r>
  <r>
    <x v="183"/>
    <s v="James Arthur"/>
    <n v="1"/>
    <d v="2019-10-18T00:00:00"/>
    <n v="794"/>
    <n v="10"/>
    <n v="38"/>
    <n v="25"/>
    <n v="61"/>
    <n v="0"/>
    <n v="263"/>
    <n v="265882712"/>
    <n v="150"/>
    <s v="A"/>
    <s v="Major"/>
    <n v="34"/>
    <n v="24"/>
    <x v="2"/>
    <n v="56"/>
    <x v="0"/>
    <n v="4"/>
    <n v="0"/>
    <n v="11"/>
    <n v="3"/>
    <n v="70.289036504706885"/>
  </r>
  <r>
    <x v="184"/>
    <s v="Cigarettes After Sex"/>
    <n v="1"/>
    <d v="2017-03-21T00:00:00"/>
    <n v="13091"/>
    <n v="17"/>
    <n v="61"/>
    <n v="96"/>
    <n v="790"/>
    <n v="2"/>
    <n v="116"/>
    <n v="841749534"/>
    <n v="94"/>
    <s v="F"/>
    <s v="Major"/>
    <n v="37"/>
    <n v="17"/>
    <x v="2"/>
    <n v="47"/>
    <x v="1"/>
    <n v="2"/>
    <n v="46"/>
    <n v="11"/>
    <n v="3"/>
    <n v="33.06227526285884"/>
  </r>
  <r>
    <x v="185"/>
    <s v="Shubh"/>
    <n v="1"/>
    <d v="2023-05-19T00:00:00"/>
    <n v="67"/>
    <n v="8"/>
    <n v="7"/>
    <n v="10"/>
    <n v="0"/>
    <n v="0"/>
    <n v="57"/>
    <n v="47956378"/>
    <n v="90"/>
    <s v="E"/>
    <s v="Minor"/>
    <n v="74"/>
    <n v="36"/>
    <x v="2"/>
    <n v="63"/>
    <x v="0"/>
    <n v="26"/>
    <n v="0"/>
    <n v="27"/>
    <n v="5"/>
    <n v="58.37061240964082"/>
  </r>
  <r>
    <x v="186"/>
    <s v="Frank Ocean"/>
    <n v="1"/>
    <d v="2016-08-20T00:00:00"/>
    <n v="21574"/>
    <n v="30"/>
    <n v="112"/>
    <n v="68"/>
    <n v="266"/>
    <n v="1"/>
    <n v="39"/>
    <n v="806397070"/>
    <n v="160"/>
    <s v="A"/>
    <s v="Major"/>
    <n v="54"/>
    <n v="54"/>
    <x v="1"/>
    <n v="55"/>
    <x v="0"/>
    <n v="67"/>
    <n v="0"/>
    <n v="42"/>
    <n v="11"/>
    <n v="50.805505774293223"/>
  </r>
  <r>
    <x v="187"/>
    <s v="Post Malone"/>
    <n v="1"/>
    <d v="2019-08-30T00:00:00"/>
    <n v="19664"/>
    <n v="16"/>
    <n v="391"/>
    <n v="73"/>
    <n v="633"/>
    <n v="3"/>
    <n v="37"/>
    <n v="2132335812"/>
    <n v="120"/>
    <m/>
    <s v="Major"/>
    <n v="70"/>
    <n v="59"/>
    <x v="1"/>
    <n v="75"/>
    <x v="0"/>
    <n v="24"/>
    <n v="0"/>
    <n v="9"/>
    <n v="4"/>
    <n v="1.0566849871518347E-2"/>
  </r>
  <r>
    <x v="188"/>
    <s v="Bruno Mars"/>
    <n v="1"/>
    <d v="2010-01-01T00:00:00"/>
    <n v="21106"/>
    <n v="13"/>
    <n v="82"/>
    <n v="0"/>
    <n v="2946"/>
    <n v="0"/>
    <n v="0"/>
    <n v="1641426668"/>
    <n v="109"/>
    <s v="F"/>
    <s v="Major"/>
    <n v="63"/>
    <n v="46"/>
    <x v="1"/>
    <n v="85"/>
    <x v="0"/>
    <n v="1"/>
    <n v="0"/>
    <n v="9"/>
    <n v="5"/>
    <n v="5.5629518691059365"/>
  </r>
  <r>
    <x v="189"/>
    <s v="Hozier"/>
    <n v="1"/>
    <d v="2013-09-13T00:00:00"/>
    <n v="23804"/>
    <n v="31"/>
    <n v="187"/>
    <n v="99"/>
    <n v="4623"/>
    <n v="1"/>
    <n v="0"/>
    <n v="2135158446"/>
    <n v="129"/>
    <s v="E"/>
    <s v="Minor"/>
    <n v="57"/>
    <n v="41"/>
    <x v="1"/>
    <n v="66"/>
    <x v="0"/>
    <n v="63"/>
    <n v="0"/>
    <n v="12"/>
    <n v="5"/>
    <n v="73.959144718477248"/>
  </r>
  <r>
    <x v="190"/>
    <s v="Fuerza Regida, Grupo Frontera"/>
    <n v="2"/>
    <d v="2022-12-16T00:00:00"/>
    <n v="849"/>
    <n v="22"/>
    <n v="27"/>
    <n v="129"/>
    <n v="21"/>
    <n v="7"/>
    <n v="111"/>
    <n v="367316268"/>
    <n v="157"/>
    <s v="G"/>
    <s v="Major"/>
    <n v="54"/>
    <n v="75"/>
    <x v="0"/>
    <n v="60"/>
    <x v="0"/>
    <n v="30"/>
    <n v="0"/>
    <n v="7"/>
    <n v="5"/>
    <n v="82.054032302658527"/>
  </r>
  <r>
    <x v="191"/>
    <s v="Taylor Swift"/>
    <n v="1"/>
    <d v="2021-04-09T00:00:00"/>
    <n v="2619"/>
    <n v="12"/>
    <n v="47"/>
    <n v="90"/>
    <n v="1"/>
    <n v="0"/>
    <n v="7"/>
    <n v="350381515"/>
    <n v="130"/>
    <s v="F#"/>
    <s v="Major"/>
    <n v="63"/>
    <n v="49"/>
    <x v="1"/>
    <n v="73"/>
    <x v="0"/>
    <n v="5"/>
    <n v="0"/>
    <n v="9"/>
    <n v="3"/>
    <n v="2.6428535794323027"/>
  </r>
  <r>
    <x v="192"/>
    <s v="Bad Bunny"/>
    <n v="1"/>
    <d v="2022-05-06T00:00:00"/>
    <n v="9037"/>
    <n v="42"/>
    <n v="124"/>
    <n v="133"/>
    <n v="139"/>
    <n v="14"/>
    <n v="166"/>
    <n v="1264310836"/>
    <n v="107"/>
    <s v="F"/>
    <s v="Minor"/>
    <n v="65"/>
    <n v="19"/>
    <x v="2"/>
    <n v="72"/>
    <x v="0"/>
    <n v="10"/>
    <n v="0"/>
    <n v="13"/>
    <n v="25"/>
    <n v="67.9244565150737"/>
  </r>
  <r>
    <x v="193"/>
    <s v="Taylor Swift"/>
    <n v="1"/>
    <d v="2023-07-07T00:00:00"/>
    <n v="86"/>
    <n v="11"/>
    <n v="3"/>
    <n v="33"/>
    <n v="3"/>
    <n v="0"/>
    <n v="1"/>
    <n v="30343206"/>
    <n v="146"/>
    <s v="B"/>
    <s v="Minor"/>
    <n v="50"/>
    <n v="67"/>
    <x v="1"/>
    <n v="89"/>
    <x v="0"/>
    <n v="0"/>
    <n v="0"/>
    <n v="19"/>
    <n v="8"/>
    <n v="94.964911736150967"/>
  </r>
  <r>
    <x v="194"/>
    <s v="Hotel Ugly"/>
    <n v="1"/>
    <d v="2020-02-10T00:00:00"/>
    <n v="1788"/>
    <n v="14"/>
    <n v="1"/>
    <n v="50"/>
    <n v="19"/>
    <n v="0"/>
    <n v="19"/>
    <n v="405136812"/>
    <n v="139"/>
    <s v="A"/>
    <s v="Minor"/>
    <n v="48"/>
    <n v="37"/>
    <x v="2"/>
    <n v="41"/>
    <x v="1"/>
    <n v="32"/>
    <n v="0"/>
    <n v="10"/>
    <n v="10"/>
    <n v="50.109828129784418"/>
  </r>
  <r>
    <x v="195"/>
    <s v="Creedence Clearwater Revival"/>
    <n v="1"/>
    <d v="1968-07-01T00:00:00"/>
    <n v="15890"/>
    <n v="14"/>
    <n v="71"/>
    <n v="37"/>
    <n v="653"/>
    <n v="0"/>
    <n v="167"/>
    <n v="1145727611"/>
    <n v="116"/>
    <m/>
    <s v="Major"/>
    <n v="74"/>
    <n v="76"/>
    <x v="0"/>
    <n v="70"/>
    <x v="0"/>
    <n v="7"/>
    <n v="0"/>
    <n v="13"/>
    <n v="3"/>
    <n v="57.722706817475625"/>
  </r>
  <r>
    <x v="196"/>
    <s v="Plan B"/>
    <n v="1"/>
    <d v="2010-07-20T00:00:00"/>
    <n v="492"/>
    <n v="36"/>
    <n v="4"/>
    <n v="3"/>
    <n v="19"/>
    <n v="0"/>
    <n v="0"/>
    <n v="540654286"/>
    <n v="95"/>
    <s v="F#"/>
    <s v="Minor"/>
    <n v="84"/>
    <n v="52"/>
    <x v="1"/>
    <n v="77"/>
    <x v="0"/>
    <n v="12"/>
    <n v="0"/>
    <n v="7"/>
    <n v="4"/>
    <n v="25.06090916014978"/>
  </r>
  <r>
    <x v="197"/>
    <s v="Feid, Mora, Saiko, Quevedo"/>
    <n v="4"/>
    <d v="2023-06-08T00:00:00"/>
    <n v="773"/>
    <n v="33"/>
    <n v="20"/>
    <n v="46"/>
    <n v="21"/>
    <n v="8"/>
    <n v="99"/>
    <n v="57312735"/>
    <n v="170"/>
    <s v="G#"/>
    <s v="Minor"/>
    <n v="62"/>
    <n v="55"/>
    <x v="1"/>
    <n v="80"/>
    <x v="0"/>
    <n v="15"/>
    <n v="0"/>
    <n v="37"/>
    <n v="7"/>
    <n v="43.755173717672015"/>
  </r>
  <r>
    <x v="198"/>
    <s v="NewJeans"/>
    <n v="1"/>
    <d v="2022-12-19T00:00:00"/>
    <n v="1154"/>
    <n v="22"/>
    <n v="28"/>
    <n v="125"/>
    <n v="11"/>
    <n v="1"/>
    <n v="51"/>
    <n v="397582059"/>
    <n v="134"/>
    <s v="F#"/>
    <s v="Minor"/>
    <n v="81"/>
    <n v="18"/>
    <x v="2"/>
    <n v="64"/>
    <x v="0"/>
    <n v="3"/>
    <n v="0"/>
    <n v="10"/>
    <n v="11"/>
    <n v="70.65954973106227"/>
  </r>
  <r>
    <x v="199"/>
    <s v="a-ha"/>
    <n v="1"/>
    <d v="1984-10-19T00:00:00"/>
    <n v="44927"/>
    <n v="17"/>
    <n v="34"/>
    <n v="0"/>
    <n v="5108"/>
    <n v="6"/>
    <n v="0"/>
    <n v="1479115056"/>
    <n v="84"/>
    <s v="F#"/>
    <s v="Minor"/>
    <n v="57"/>
    <n v="86"/>
    <x v="0"/>
    <n v="90"/>
    <x v="0"/>
    <n v="2"/>
    <n v="0"/>
    <n v="9"/>
    <n v="5"/>
    <n v="81.507638338806601"/>
  </r>
  <r>
    <x v="200"/>
    <s v="Swae Lee, Lil Wayne, Offset, Metro Boomin"/>
    <n v="4"/>
    <d v="2023-06-02T00:00:00"/>
    <n v="551"/>
    <n v="4"/>
    <n v="13"/>
    <n v="46"/>
    <n v="20"/>
    <n v="1"/>
    <n v="10"/>
    <n v="86773632"/>
    <n v="146"/>
    <s v="B"/>
    <s v="Minor"/>
    <n v="61"/>
    <n v="20"/>
    <x v="2"/>
    <n v="48"/>
    <x v="1"/>
    <n v="21"/>
    <n v="0"/>
    <n v="12"/>
    <n v="6"/>
    <n v="50.926855478102887"/>
  </r>
  <r>
    <x v="201"/>
    <s v="Kodak Black, NLE Choppa, Muni Long, JVKE, Jimin"/>
    <n v="5"/>
    <d v="2023-05-01T00:00:00"/>
    <n v="577"/>
    <n v="14"/>
    <n v="22"/>
    <n v="18"/>
    <n v="15"/>
    <n v="1"/>
    <n v="0"/>
    <n v="133753727"/>
    <n v="74"/>
    <s v="A#"/>
    <s v="Minor"/>
    <n v="53"/>
    <n v="24"/>
    <x v="2"/>
    <n v="67"/>
    <x v="0"/>
    <n v="11"/>
    <n v="0"/>
    <n v="10"/>
    <n v="28"/>
    <n v="89.074630967203305"/>
  </r>
  <r>
    <x v="202"/>
    <s v="Shakira"/>
    <n v="1"/>
    <d v="2023-05-11T00:00:00"/>
    <n v="955"/>
    <n v="29"/>
    <n v="37"/>
    <n v="50"/>
    <n v="79"/>
    <n v="11"/>
    <n v="31"/>
    <n v="123124076"/>
    <n v="144"/>
    <s v="B"/>
    <s v="Major"/>
    <n v="75"/>
    <n v="35"/>
    <x v="2"/>
    <n v="48"/>
    <x v="1"/>
    <n v="84"/>
    <n v="0"/>
    <n v="10"/>
    <n v="12"/>
    <n v="29.125537220400354"/>
  </r>
  <r>
    <x v="203"/>
    <s v="Natanael Cano, Gabito Ballesteros, Peso Pluma"/>
    <n v="3"/>
    <d v="2022-11-24T00:00:00"/>
    <n v="995"/>
    <n v="19"/>
    <n v="12"/>
    <n v="117"/>
    <n v="9"/>
    <n v="5"/>
    <n v="3"/>
    <n v="463564958"/>
    <n v="136"/>
    <s v="B"/>
    <s v="Minor"/>
    <n v="77"/>
    <n v="79"/>
    <x v="0"/>
    <n v="73"/>
    <x v="0"/>
    <n v="15"/>
    <n v="0"/>
    <n v="27"/>
    <n v="10"/>
    <n v="0.42711086256940201"/>
  </r>
  <r>
    <x v="204"/>
    <s v="Arijit Singh, Sachin-Jigar, Amitabha Bhattacharya"/>
    <n v="3"/>
    <d v="2023-05-15T00:00:00"/>
    <n v="178"/>
    <n v="6"/>
    <n v="6"/>
    <n v="71"/>
    <n v="1"/>
    <n v="0"/>
    <n v="31"/>
    <n v="64533040"/>
    <n v="100"/>
    <s v="E"/>
    <s v="Major"/>
    <n v="56"/>
    <n v="53"/>
    <x v="1"/>
    <n v="55"/>
    <x v="0"/>
    <n v="53"/>
    <n v="0"/>
    <n v="12"/>
    <n v="4"/>
    <n v="63.76392939043555"/>
  </r>
  <r>
    <x v="205"/>
    <s v="Stray Kids"/>
    <n v="1"/>
    <d v="2023-06-02T00:00:00"/>
    <n v="290"/>
    <n v="19"/>
    <n v="9"/>
    <n v="101"/>
    <n v="5"/>
    <n v="0"/>
    <n v="73"/>
    <n v="65496046"/>
    <n v="105"/>
    <s v="F"/>
    <s v="Minor"/>
    <n v="89"/>
    <n v="67"/>
    <x v="1"/>
    <n v="78"/>
    <x v="0"/>
    <n v="9"/>
    <n v="0"/>
    <n v="7"/>
    <n v="33"/>
    <n v="87.16024261674869"/>
  </r>
  <r>
    <x v="206"/>
    <s v="Taylor Swift"/>
    <n v="1"/>
    <d v="2023-05-26T00:00:00"/>
    <n v="547"/>
    <n v="0"/>
    <n v="15"/>
    <n v="15"/>
    <n v="6"/>
    <n v="0"/>
    <n v="0"/>
    <n v="68616963"/>
    <n v="106"/>
    <s v="F"/>
    <s v="Major"/>
    <n v="67"/>
    <n v="24"/>
    <x v="2"/>
    <n v="78"/>
    <x v="0"/>
    <n v="15"/>
    <n v="0"/>
    <n v="30"/>
    <n v="4"/>
    <n v="97.985191253980602"/>
  </r>
  <r>
    <x v="207"/>
    <s v="Becky G, Peso Pluma"/>
    <n v="2"/>
    <d v="2023-03-30T00:00:00"/>
    <n v="681"/>
    <n v="10"/>
    <n v="15"/>
    <n v="92"/>
    <n v="21"/>
    <n v="2"/>
    <n v="26"/>
    <n v="161460990"/>
    <n v="132"/>
    <s v="D"/>
    <s v="Major"/>
    <n v="85"/>
    <n v="53"/>
    <x v="1"/>
    <n v="68"/>
    <x v="0"/>
    <n v="40"/>
    <n v="0"/>
    <n v="9"/>
    <n v="4"/>
    <n v="53.453740025007733"/>
  </r>
  <r>
    <x v="208"/>
    <s v="Metro Boomin, Coi Leray"/>
    <n v="2"/>
    <d v="2023-06-02T00:00:00"/>
    <n v="332"/>
    <n v="5"/>
    <n v="18"/>
    <n v="41"/>
    <n v="5"/>
    <n v="0"/>
    <n v="19"/>
    <n v="70106975"/>
    <n v="120"/>
    <s v="A"/>
    <s v="Major"/>
    <n v="78"/>
    <n v="5"/>
    <x v="2"/>
    <n v="30"/>
    <x v="1"/>
    <n v="21"/>
    <n v="0"/>
    <n v="13"/>
    <n v="5"/>
    <n v="59.984160092720259"/>
  </r>
  <r>
    <x v="209"/>
    <s v="Kaliii, Kaliii"/>
    <n v="2"/>
    <d v="2023-03-17T00:00:00"/>
    <n v="1197"/>
    <n v="13"/>
    <n v="44"/>
    <n v="34"/>
    <n v="25"/>
    <n v="1"/>
    <n v="171"/>
    <n v="113509496"/>
    <n v="155"/>
    <s v="C#"/>
    <s v="Major"/>
    <n v="82"/>
    <n v="51"/>
    <x v="1"/>
    <n v="39"/>
    <x v="1"/>
    <n v="2"/>
    <n v="0"/>
    <n v="9"/>
    <n v="49"/>
    <n v="90.126315275200696"/>
  </r>
  <r>
    <x v="210"/>
    <s v="Junior H, Eden Mu√Ø¬ø¬Ω√Ø"/>
    <n v="2"/>
    <d v="2023-05-13T00:00:00"/>
    <n v="262"/>
    <n v="5"/>
    <n v="8"/>
    <n v="60"/>
    <n v="4"/>
    <n v="1"/>
    <n v="109"/>
    <n v="89933133"/>
    <n v="129"/>
    <s v="G#"/>
    <s v="Major"/>
    <n v="70"/>
    <n v="42"/>
    <x v="1"/>
    <n v="43"/>
    <x v="1"/>
    <n v="78"/>
    <n v="0"/>
    <n v="11"/>
    <n v="3"/>
    <n v="13.517835795222954"/>
  </r>
  <r>
    <x v="211"/>
    <s v="Abhijay Sharma, Riar Saab"/>
    <n v="2"/>
    <d v="2022-09-29T00:00:00"/>
    <n v="161"/>
    <n v="6"/>
    <n v="10"/>
    <n v="79"/>
    <n v="2"/>
    <n v="0"/>
    <n v="42"/>
    <n v="71007139"/>
    <n v="135"/>
    <s v="F"/>
    <s v="Minor"/>
    <n v="80"/>
    <n v="85"/>
    <x v="0"/>
    <n v="74"/>
    <x v="0"/>
    <n v="62"/>
    <n v="0"/>
    <n v="8"/>
    <n v="9"/>
    <n v="67.12745923684713"/>
  </r>
  <r>
    <x v="212"/>
    <s v="Semicenk, Do√Ø¬ø¬Ω√Ø¬ø¬Ωu "/>
    <n v="2"/>
    <d v="2023-06-02T00:00:00"/>
    <n v="185"/>
    <n v="3"/>
    <n v="5"/>
    <n v="6"/>
    <n v="4"/>
    <n v="1"/>
    <n v="33"/>
    <n v="43522589"/>
    <n v="98"/>
    <s v="A#"/>
    <s v="Minor"/>
    <n v="73"/>
    <n v="45"/>
    <x v="1"/>
    <n v="62"/>
    <x v="0"/>
    <n v="28"/>
    <n v="0"/>
    <n v="13"/>
    <n v="13"/>
    <n v="75.438071606079248"/>
  </r>
  <r>
    <x v="213"/>
    <s v="JISOO"/>
    <n v="1"/>
    <d v="2023-03-31T00:00:00"/>
    <n v="839"/>
    <n v="18"/>
    <n v="20"/>
    <n v="110"/>
    <n v="20"/>
    <n v="0"/>
    <n v="69"/>
    <n v="232896922"/>
    <n v="124"/>
    <s v="A"/>
    <s v="Minor"/>
    <n v="84"/>
    <n v="64"/>
    <x v="1"/>
    <n v="39"/>
    <x v="1"/>
    <n v="3"/>
    <n v="0"/>
    <n v="11"/>
    <n v="4"/>
    <n v="90.681838582908568"/>
  </r>
  <r>
    <x v="214"/>
    <s v="Future, Lil Uzi Vert, Metro Boomin"/>
    <n v="3"/>
    <d v="2023-06-02T00:00:00"/>
    <n v="259"/>
    <n v="0"/>
    <n v="5"/>
    <n v="17"/>
    <n v="5"/>
    <n v="0"/>
    <n v="0"/>
    <n v="37126685"/>
    <n v="135"/>
    <s v="A"/>
    <s v="Minor"/>
    <n v="77"/>
    <n v="28"/>
    <x v="2"/>
    <n v="55"/>
    <x v="0"/>
    <n v="18"/>
    <n v="0"/>
    <n v="22"/>
    <n v="15"/>
    <n v="73.688981004683583"/>
  </r>
  <r>
    <x v="215"/>
    <s v="Ed Sheeran"/>
    <n v="1"/>
    <d v="2023-03-23T00:00:00"/>
    <n v="2915"/>
    <n v="30"/>
    <n v="116"/>
    <n v="69"/>
    <n v="107"/>
    <n v="3"/>
    <n v="675"/>
    <n v="195576623"/>
    <n v="107"/>
    <s v="D"/>
    <s v="Major"/>
    <n v="78"/>
    <n v="39"/>
    <x v="2"/>
    <n v="53"/>
    <x v="0"/>
    <n v="30"/>
    <n v="0"/>
    <n v="11"/>
    <n v="6"/>
    <n v="64.6008252111465"/>
  </r>
  <r>
    <x v="216"/>
    <s v="RAYE, 070 Shake"/>
    <n v="2"/>
    <d v="2022-10-12T00:00:00"/>
    <n v="5129"/>
    <n v="25"/>
    <n v="116"/>
    <n v="84"/>
    <n v="114"/>
    <n v="18"/>
    <n v="348"/>
    <n v="532336353"/>
    <n v="96"/>
    <s v="D"/>
    <s v="Major"/>
    <n v="54"/>
    <n v="25"/>
    <x v="2"/>
    <n v="74"/>
    <x v="0"/>
    <n v="14"/>
    <n v="0"/>
    <n v="9"/>
    <n v="11"/>
    <n v="14.755224340740403"/>
  </r>
  <r>
    <x v="217"/>
    <s v="Arcangel, Bad Bunny"/>
    <n v="2"/>
    <d v="2022-11-30T00:00:00"/>
    <n v="3794"/>
    <n v="34"/>
    <n v="47"/>
    <n v="77"/>
    <n v="53"/>
    <n v="10"/>
    <n v="8"/>
    <n v="538115192"/>
    <n v="123"/>
    <s v="G#"/>
    <s v="Major"/>
    <n v="71"/>
    <n v="58"/>
    <x v="1"/>
    <n v="70"/>
    <x v="0"/>
    <n v="30"/>
    <n v="0"/>
    <n v="32"/>
    <n v="19"/>
    <n v="49.315081377519476"/>
  </r>
  <r>
    <x v="218"/>
    <s v="Taylor Swift, Ice Spice"/>
    <n v="2"/>
    <d v="2023-05-26T00:00:00"/>
    <n v="588"/>
    <n v="0"/>
    <n v="23"/>
    <n v="21"/>
    <n v="31"/>
    <n v="0"/>
    <n v="0"/>
    <n v="46142772"/>
    <n v="90"/>
    <s v="G#"/>
    <s v="Major"/>
    <n v="62"/>
    <n v="7"/>
    <x v="2"/>
    <n v="62"/>
    <x v="0"/>
    <n v="6"/>
    <n v="0"/>
    <n v="58"/>
    <n v="6"/>
    <n v="7.43121037198331"/>
  </r>
  <r>
    <x v="219"/>
    <s v="Future, Chris Brown, Metro Boomin"/>
    <n v="3"/>
    <d v="2022-12-02T00:00:00"/>
    <n v="2959"/>
    <n v="16"/>
    <n v="41"/>
    <n v="69"/>
    <n v="38"/>
    <n v="0"/>
    <n v="36"/>
    <n v="401036314"/>
    <n v="117"/>
    <s v="F"/>
    <s v="Minor"/>
    <n v="72"/>
    <n v="45"/>
    <x v="1"/>
    <n v="59"/>
    <x v="0"/>
    <n v="14"/>
    <n v="0"/>
    <n v="20"/>
    <n v="21"/>
    <n v="30.307359425483394"/>
  </r>
  <r>
    <x v="220"/>
    <s v="BLESSD, Peso Pluma"/>
    <n v="2"/>
    <d v="2023-04-04T00:00:00"/>
    <n v="291"/>
    <n v="8"/>
    <n v="8"/>
    <n v="78"/>
    <n v="4"/>
    <n v="1"/>
    <n v="1"/>
    <n v="127026613"/>
    <n v="133"/>
    <s v="A"/>
    <s v="Minor"/>
    <n v="78"/>
    <n v="90"/>
    <x v="0"/>
    <n v="84"/>
    <x v="0"/>
    <n v="31"/>
    <n v="0"/>
    <n v="7"/>
    <n v="4"/>
    <n v="39.022896272925919"/>
  </r>
  <r>
    <x v="221"/>
    <s v="Feid"/>
    <n v="1"/>
    <d v="2022-12-02T00:00:00"/>
    <n v="2321"/>
    <n v="36"/>
    <n v="29"/>
    <n v="65"/>
    <n v="34"/>
    <n v="5"/>
    <n v="3"/>
    <n v="345031710"/>
    <n v="96"/>
    <s v="G#"/>
    <s v="Minor"/>
    <n v="74"/>
    <n v="61"/>
    <x v="1"/>
    <n v="83"/>
    <x v="0"/>
    <n v="11"/>
    <n v="0"/>
    <n v="35"/>
    <n v="6"/>
    <n v="31.828352577341811"/>
  </r>
  <r>
    <x v="222"/>
    <s v="Fuerza Regida, Natanael Cano"/>
    <n v="2"/>
    <d v="2022-12-01T00:00:00"/>
    <n v="536"/>
    <n v="10"/>
    <n v="10"/>
    <n v="72"/>
    <n v="8"/>
    <n v="3"/>
    <n v="14"/>
    <n v="288101651"/>
    <n v="149"/>
    <s v="G#"/>
    <s v="Major"/>
    <n v="66"/>
    <n v="85"/>
    <x v="0"/>
    <n v="60"/>
    <x v="0"/>
    <n v="40"/>
    <n v="0"/>
    <n v="14"/>
    <n v="13"/>
    <n v="55.555646880705979"/>
  </r>
  <r>
    <x v="223"/>
    <s v="Lana Del Rey, Taylor Swift"/>
    <n v="2"/>
    <d v="2023-05-26T00:00:00"/>
    <n v="359"/>
    <n v="2"/>
    <n v="1"/>
    <n v="0"/>
    <n v="9"/>
    <n v="0"/>
    <n v="0"/>
    <n v="60350538"/>
    <n v="110"/>
    <s v="F#"/>
    <s v="Minor"/>
    <n v="66"/>
    <n v="32"/>
    <x v="2"/>
    <n v="40"/>
    <x v="1"/>
    <n v="81"/>
    <n v="0"/>
    <n v="11"/>
    <n v="3"/>
    <n v="33.775009183736039"/>
  </r>
  <r>
    <x v="224"/>
    <s v="Coi Leray"/>
    <n v="1"/>
    <d v="2022-11-30T00:00:00"/>
    <n v="4096"/>
    <n v="6"/>
    <n v="118"/>
    <n v="48"/>
    <n v="143"/>
    <n v="0"/>
    <n v="240"/>
    <n v="335074782"/>
    <n v="105"/>
    <s v="F#"/>
    <s v="Major"/>
    <n v="95"/>
    <n v="62"/>
    <x v="1"/>
    <n v="52"/>
    <x v="0"/>
    <n v="3"/>
    <n v="0"/>
    <n v="5"/>
    <n v="16"/>
    <n v="18.22237564078657"/>
  </r>
  <r>
    <x v="225"/>
    <s v="ENHYPEN"/>
    <n v="1"/>
    <d v="2023-05-22T00:00:00"/>
    <n v="349"/>
    <n v="69"/>
    <n v="8"/>
    <n v="96"/>
    <n v="5"/>
    <n v="0"/>
    <n v="56"/>
    <n v="76767396"/>
    <n v="105"/>
    <s v="C#"/>
    <s v="Major"/>
    <n v="80"/>
    <n v="69"/>
    <x v="1"/>
    <n v="78"/>
    <x v="0"/>
    <n v="28"/>
    <n v="0"/>
    <n v="11"/>
    <n v="14"/>
    <n v="86.591658356413092"/>
  </r>
  <r>
    <x v="226"/>
    <s v="Lil Durk, Morgan Wallen"/>
    <n v="2"/>
    <d v="2023-05-26T00:00:00"/>
    <n v="381"/>
    <n v="5"/>
    <n v="23"/>
    <n v="82"/>
    <n v="6"/>
    <n v="0"/>
    <n v="113"/>
    <n v="46065667"/>
    <n v="134"/>
    <s v="B"/>
    <s v="Major"/>
    <n v="76"/>
    <n v="61"/>
    <x v="1"/>
    <n v="58"/>
    <x v="0"/>
    <n v="6"/>
    <n v="0"/>
    <n v="16"/>
    <n v="3"/>
    <n v="61.445475414715844"/>
  </r>
  <r>
    <x v="227"/>
    <s v="Feid"/>
    <n v="1"/>
    <d v="2022-07-08T00:00:00"/>
    <n v="2461"/>
    <n v="36"/>
    <n v="47"/>
    <n v="66"/>
    <n v="45"/>
    <n v="5"/>
    <n v="6"/>
    <n v="459276435"/>
    <n v="170"/>
    <s v="E"/>
    <s v="Minor"/>
    <n v="71"/>
    <n v="59"/>
    <x v="1"/>
    <n v="56"/>
    <x v="0"/>
    <n v="4"/>
    <n v="0"/>
    <n v="27"/>
    <n v="12"/>
    <n v="48.547035406931606"/>
  </r>
  <r>
    <x v="228"/>
    <s v="James Blake, Metro Boomin"/>
    <n v="2"/>
    <d v="2023-06-02T00:00:00"/>
    <n v="277"/>
    <n v="1"/>
    <n v="1"/>
    <n v="20"/>
    <n v="5"/>
    <n v="0"/>
    <n v="1"/>
    <n v="39666245"/>
    <n v="81"/>
    <s v="F#"/>
    <s v="Major"/>
    <n v="59"/>
    <n v="26"/>
    <x v="2"/>
    <n v="60"/>
    <x v="0"/>
    <n v="46"/>
    <n v="1"/>
    <n v="25"/>
    <n v="13"/>
    <n v="0.72199690633539815"/>
  </r>
  <r>
    <x v="229"/>
    <s v="Israel &amp; Rodolffo, Mari Fernandez"/>
    <n v="2"/>
    <d v="2023-03-01T00:00:00"/>
    <n v="967"/>
    <n v="5"/>
    <n v="7"/>
    <n v="29"/>
    <n v="51"/>
    <n v="1"/>
    <n v="29"/>
    <n v="138517666"/>
    <n v="154"/>
    <s v="F#"/>
    <s v="Major"/>
    <n v="63"/>
    <n v="75"/>
    <x v="0"/>
    <n v="92"/>
    <x v="0"/>
    <n v="31"/>
    <n v="0"/>
    <n v="91"/>
    <n v="5"/>
    <n v="89.26664606607838"/>
  </r>
  <r>
    <x v="230"/>
    <s v="Steve Lacy"/>
    <n v="1"/>
    <d v="2022-06-29T00:00:00"/>
    <n v="8186"/>
    <n v="12"/>
    <n v="155"/>
    <n v="72"/>
    <n v="131"/>
    <n v="16"/>
    <n v="29"/>
    <n v="822633917"/>
    <n v="169"/>
    <s v="C#"/>
    <s v="Major"/>
    <n v="69"/>
    <n v="69"/>
    <x v="1"/>
    <n v="51"/>
    <x v="0"/>
    <n v="63"/>
    <n v="0"/>
    <n v="38"/>
    <n v="4"/>
    <n v="68.41944927483857"/>
  </r>
  <r>
    <x v="231"/>
    <s v="Beyonc√Ø¬ø"/>
    <n v="1"/>
    <d v="2022-07-29T00:00:00"/>
    <n v="7842"/>
    <n v="10"/>
    <n v="215"/>
    <n v="88"/>
    <n v="330"/>
    <n v="26"/>
    <n v="23"/>
    <n v="595900742"/>
    <n v="115"/>
    <s v="G"/>
    <s v="Major"/>
    <n v="78"/>
    <n v="64"/>
    <x v="1"/>
    <n v="69"/>
    <x v="0"/>
    <n v="4"/>
    <n v="0"/>
    <n v="7"/>
    <n v="14"/>
    <n v="58.638967553407561"/>
  </r>
  <r>
    <x v="232"/>
    <s v="Halsey, Suga"/>
    <n v="2"/>
    <d v="2023-06-05T00:00:00"/>
    <n v="215"/>
    <n v="6"/>
    <n v="6"/>
    <n v="14"/>
    <n v="8"/>
    <n v="2"/>
    <n v="4"/>
    <n v="51985779"/>
    <n v="84"/>
    <s v="A"/>
    <s v="Minor"/>
    <n v="43"/>
    <n v="14"/>
    <x v="2"/>
    <n v="74"/>
    <x v="0"/>
    <n v="1"/>
    <n v="0"/>
    <n v="19"/>
    <n v="8"/>
    <n v="43.195337778936469"/>
  </r>
  <r>
    <x v="233"/>
    <s v="Nicky Jam, Feid"/>
    <n v="2"/>
    <d v="2023-05-18T00:00:00"/>
    <n v="1134"/>
    <n v="22"/>
    <n v="39"/>
    <n v="14"/>
    <n v="48"/>
    <n v="2"/>
    <n v="3"/>
    <n v="57945987"/>
    <n v="93"/>
    <s v="G#"/>
    <s v="Major"/>
    <n v="79"/>
    <n v="58"/>
    <x v="1"/>
    <n v="62"/>
    <x v="0"/>
    <n v="11"/>
    <n v="0"/>
    <n v="11"/>
    <n v="23"/>
    <n v="5.6874488282414699"/>
  </r>
  <r>
    <x v="234"/>
    <s v="Sean Paul, Feid"/>
    <n v="2"/>
    <d v="2023-04-21T00:00:00"/>
    <n v="1305"/>
    <n v="34"/>
    <n v="29"/>
    <n v="26"/>
    <n v="43"/>
    <n v="5"/>
    <n v="44"/>
    <n v="115010040"/>
    <n v="91"/>
    <s v="G"/>
    <s v="Major"/>
    <n v="82"/>
    <n v="47"/>
    <x v="1"/>
    <n v="62"/>
    <x v="0"/>
    <n v="10"/>
    <n v="0"/>
    <n v="10"/>
    <n v="15"/>
    <n v="46.163664326903621"/>
  </r>
  <r>
    <x v="235"/>
    <s v="Drake"/>
    <n v="1"/>
    <d v="2023-04-07T00:00:00"/>
    <n v="2066"/>
    <n v="6"/>
    <n v="58"/>
    <n v="70"/>
    <n v="43"/>
    <n v="0"/>
    <n v="182"/>
    <n v="175097833"/>
    <n v="142"/>
    <s v="A#"/>
    <s v="Minor"/>
    <n v="82"/>
    <n v="54"/>
    <x v="1"/>
    <n v="44"/>
    <x v="1"/>
    <n v="6"/>
    <n v="0"/>
    <n v="33"/>
    <n v="7"/>
    <n v="32.633045234392135"/>
  </r>
  <r>
    <x v="236"/>
    <s v="Kendrick Lamar, Beyonc√Ø¬ø"/>
    <n v="2"/>
    <d v="2023-05-19T00:00:00"/>
    <n v="896"/>
    <n v="0"/>
    <n v="34"/>
    <n v="2"/>
    <n v="33"/>
    <n v="0"/>
    <n v="1"/>
    <n v="57089066"/>
    <n v="126"/>
    <s v="C#"/>
    <s v="Major"/>
    <n v="78"/>
    <n v="20"/>
    <x v="2"/>
    <n v="70"/>
    <x v="0"/>
    <n v="1"/>
    <n v="0"/>
    <n v="16"/>
    <n v="4"/>
    <n v="28.693950372303423"/>
  </r>
  <r>
    <x v="237"/>
    <s v="Taylor Swift"/>
    <n v="1"/>
    <d v="2022-10-21T00:00:00"/>
    <n v="3763"/>
    <n v="8"/>
    <n v="51"/>
    <n v="43"/>
    <n v="38"/>
    <n v="10"/>
    <n v="1"/>
    <n v="488386797"/>
    <n v="97"/>
    <s v="A#"/>
    <s v="Major"/>
    <n v="73"/>
    <n v="10"/>
    <x v="2"/>
    <n v="44"/>
    <x v="1"/>
    <n v="26"/>
    <n v="0"/>
    <n v="16"/>
    <n v="8"/>
    <n v="7.1580742505368171"/>
  </r>
  <r>
    <x v="238"/>
    <s v="WizKid, Toian, Metro Boomin, Don Toliver, Beam"/>
    <n v="5"/>
    <d v="2023-06-02T00:00:00"/>
    <n v="197"/>
    <n v="0"/>
    <n v="3"/>
    <n v="10"/>
    <n v="3"/>
    <n v="0"/>
    <n v="0"/>
    <n v="32761689"/>
    <n v="101"/>
    <s v="F"/>
    <s v="Major"/>
    <n v="92"/>
    <n v="59"/>
    <x v="1"/>
    <n v="51"/>
    <x v="0"/>
    <n v="41"/>
    <n v="51"/>
    <n v="26"/>
    <n v="8"/>
    <n v="80.92224344507018"/>
  </r>
  <r>
    <x v="239"/>
    <s v="Bad Bunny"/>
    <n v="1"/>
    <d v="2022-05-06T00:00:00"/>
    <n v="4004"/>
    <n v="33"/>
    <n v="34"/>
    <n v="65"/>
    <n v="43"/>
    <n v="6"/>
    <n v="2"/>
    <n v="1047480053"/>
    <n v="98"/>
    <s v="G"/>
    <s v="Minor"/>
    <n v="80"/>
    <n v="23"/>
    <x v="2"/>
    <n v="48"/>
    <x v="1"/>
    <n v="14"/>
    <n v="0"/>
    <n v="6"/>
    <n v="5"/>
    <n v="91.952748049968179"/>
  </r>
  <r>
    <x v="240"/>
    <s v="Simone Mendes"/>
    <n v="1"/>
    <d v="2023-01-27T00:00:00"/>
    <n v="984"/>
    <n v="5"/>
    <n v="8"/>
    <n v="57"/>
    <n v="76"/>
    <n v="2"/>
    <n v="49"/>
    <n v="153454328"/>
    <n v="154"/>
    <s v="F#"/>
    <s v="Major"/>
    <n v="59"/>
    <n v="63"/>
    <x v="1"/>
    <n v="89"/>
    <x v="0"/>
    <n v="18"/>
    <n v="0"/>
    <n v="80"/>
    <n v="9"/>
    <n v="79.396560559606172"/>
  </r>
  <r>
    <x v="241"/>
    <s v="Tini"/>
    <n v="1"/>
    <d v="2023-02-14T00:00:00"/>
    <n v="1240"/>
    <n v="24"/>
    <n v="51"/>
    <n v="29"/>
    <n v="63"/>
    <n v="4"/>
    <n v="54"/>
    <n v="217672943"/>
    <n v="120"/>
    <s v="A"/>
    <s v="Major"/>
    <n v="91"/>
    <n v="63"/>
    <x v="1"/>
    <n v="58"/>
    <x v="0"/>
    <n v="52"/>
    <n v="0"/>
    <n v="31"/>
    <n v="22"/>
    <n v="26.292274570687646"/>
  </r>
  <r>
    <x v="242"/>
    <s v="Lil Uzi Vert"/>
    <n v="1"/>
    <d v="2022-10-17T00:00:00"/>
    <n v="3995"/>
    <n v="13"/>
    <n v="72"/>
    <n v="27"/>
    <n v="47"/>
    <n v="0"/>
    <n v="0"/>
    <n v="457184829"/>
    <n v="150"/>
    <s v="B"/>
    <s v="Major"/>
    <n v="49"/>
    <n v="4"/>
    <x v="2"/>
    <n v="55"/>
    <x v="0"/>
    <n v="7"/>
    <n v="0"/>
    <n v="6"/>
    <n v="3"/>
    <n v="88.080851180520654"/>
  </r>
  <r>
    <x v="243"/>
    <s v="Sia"/>
    <n v="1"/>
    <d v="2016-01-21T00:00:00"/>
    <n v="7681"/>
    <n v="13"/>
    <n v="119"/>
    <n v="66"/>
    <n v="1145"/>
    <n v="2"/>
    <m/>
    <n v="939844851"/>
    <n v="174"/>
    <s v="A"/>
    <s v="Major"/>
    <n v="47"/>
    <n v="27"/>
    <x v="2"/>
    <n v="78"/>
    <x v="0"/>
    <n v="11"/>
    <n v="0"/>
    <n v="10"/>
    <n v="8"/>
    <n v="67.743957927351119"/>
  </r>
  <r>
    <x v="244"/>
    <s v="Stephen Sanchez"/>
    <n v="1"/>
    <d v="2021-09-01T00:00:00"/>
    <n v="4427"/>
    <n v="4"/>
    <n v="69"/>
    <n v="100"/>
    <n v="154"/>
    <n v="20"/>
    <n v="438"/>
    <n v="726434358"/>
    <n v="202"/>
    <s v="A#"/>
    <s v="Major"/>
    <n v="34"/>
    <n v="25"/>
    <x v="2"/>
    <n v="51"/>
    <x v="0"/>
    <n v="69"/>
    <n v="0"/>
    <n v="18"/>
    <n v="4"/>
    <n v="68.153032732162075"/>
  </r>
  <r>
    <x v="245"/>
    <s v="Drake, 21 Savage"/>
    <n v="2"/>
    <d v="2022-11-04T00:00:00"/>
    <n v="4657"/>
    <n v="18"/>
    <n v="84"/>
    <n v="84"/>
    <n v="42"/>
    <n v="0"/>
    <n v="23"/>
    <n v="573633020"/>
    <n v="153"/>
    <s v="B"/>
    <s v="Minor"/>
    <n v="56"/>
    <n v="42"/>
    <x v="1"/>
    <n v="52"/>
    <x v="0"/>
    <n v="5"/>
    <n v="0"/>
    <n v="36"/>
    <n v="24"/>
    <n v="8.0233015361219522"/>
  </r>
  <r>
    <x v="246"/>
    <s v="Adele"/>
    <n v="1"/>
    <d v="2021-10-14T00:00:00"/>
    <n v="10195"/>
    <n v="20"/>
    <n v="258"/>
    <n v="87"/>
    <n v="657"/>
    <n v="22"/>
    <n v="9"/>
    <n v="1406111294"/>
    <n v="142"/>
    <s v="F"/>
    <s v="Major"/>
    <n v="60"/>
    <n v="13"/>
    <x v="2"/>
    <n v="37"/>
    <x v="1"/>
    <n v="58"/>
    <n v="0"/>
    <n v="13"/>
    <n v="3"/>
    <n v="0.24730478455646798"/>
  </r>
  <r>
    <x v="247"/>
    <s v="MC Caverinha, KayBlack"/>
    <n v="2"/>
    <d v="2023-05-11T00:00:00"/>
    <n v="269"/>
    <n v="4"/>
    <n v="7"/>
    <n v="2"/>
    <n v="30"/>
    <n v="1"/>
    <n v="11"/>
    <n v="71573339"/>
    <n v="108"/>
    <s v="A"/>
    <s v="Minor"/>
    <n v="84"/>
    <n v="55"/>
    <x v="1"/>
    <n v="47"/>
    <x v="1"/>
    <n v="26"/>
    <n v="0"/>
    <n v="20"/>
    <n v="64"/>
    <n v="52.256148383038592"/>
  </r>
  <r>
    <x v="248"/>
    <s v="Offset, JID"/>
    <n v="2"/>
    <d v="2023-06-02T00:00:00"/>
    <n v="214"/>
    <n v="0"/>
    <n v="3"/>
    <n v="3"/>
    <n v="6"/>
    <n v="0"/>
    <n v="0"/>
    <n v="24975653"/>
    <n v="143"/>
    <s v="B"/>
    <s v="Major"/>
    <n v="83"/>
    <n v="25"/>
    <x v="2"/>
    <n v="69"/>
    <x v="0"/>
    <n v="4"/>
    <n v="0"/>
    <n v="23"/>
    <n v="12"/>
    <n v="7.4329345504487225"/>
  </r>
  <r>
    <x v="249"/>
    <s v="Z√Ø¬ø¬Ω√Ø¬ø¬Ω Neto &amp; Crist"/>
    <n v="1"/>
    <d v="2023-02-14T00:00:00"/>
    <n v="845"/>
    <n v="2"/>
    <n v="12"/>
    <n v="57"/>
    <n v="47"/>
    <n v="1"/>
    <n v="33"/>
    <n v="145458418"/>
    <n v="108"/>
    <s v="D"/>
    <s v="Major"/>
    <n v="67"/>
    <n v="55"/>
    <x v="1"/>
    <n v="67"/>
    <x v="0"/>
    <n v="60"/>
    <n v="0"/>
    <n v="80"/>
    <n v="5"/>
    <n v="98.781958317579651"/>
  </r>
  <r>
    <x v="250"/>
    <s v="Eminem"/>
    <n v="1"/>
    <d v="2000-01-01T00:00:00"/>
    <n v="20763"/>
    <n v="27"/>
    <n v="81"/>
    <n v="53"/>
    <n v="3271"/>
    <n v="1"/>
    <n v="17"/>
    <n v="1424589568"/>
    <n v="104"/>
    <s v="F"/>
    <s v="Minor"/>
    <n v="95"/>
    <n v="78"/>
    <x v="0"/>
    <n v="66"/>
    <x v="0"/>
    <n v="3"/>
    <n v="0"/>
    <n v="4"/>
    <n v="6"/>
    <n v="35.414339052588083"/>
  </r>
  <r>
    <x v="251"/>
    <s v="Migrantes, LiL CaKe, Nico Valdi"/>
    <n v="3"/>
    <d v="2022-12-16T00:00:00"/>
    <n v="1267"/>
    <n v="20"/>
    <n v="41"/>
    <n v="22"/>
    <n v="56"/>
    <n v="4"/>
    <n v="84"/>
    <n v="231332117"/>
    <n v="93"/>
    <s v="F#"/>
    <s v="Minor"/>
    <n v="84"/>
    <n v="96"/>
    <x v="0"/>
    <n v="79"/>
    <x v="0"/>
    <n v="43"/>
    <n v="0"/>
    <n v="18"/>
    <n v="11"/>
    <n v="47.790872721128544"/>
  </r>
  <r>
    <x v="252"/>
    <s v="Tory Lanez"/>
    <n v="1"/>
    <d v="2021-12-10T00:00:00"/>
    <n v="2585"/>
    <n v="32"/>
    <n v="3"/>
    <n v="79"/>
    <n v="21"/>
    <n v="1"/>
    <n v="54"/>
    <n v="415932686"/>
    <n v="105"/>
    <s v="F#"/>
    <s v="Minor"/>
    <n v="65"/>
    <n v="46"/>
    <x v="1"/>
    <n v="53"/>
    <x v="0"/>
    <n v="16"/>
    <n v="0"/>
    <n v="9"/>
    <n v="5"/>
    <n v="91.2887801792792"/>
  </r>
  <r>
    <x v="253"/>
    <s v="Joji"/>
    <n v="1"/>
    <d v="2022-06-10T00:00:00"/>
    <n v="6330"/>
    <n v="6"/>
    <n v="109"/>
    <n v="42"/>
    <n v="158"/>
    <n v="3"/>
    <n v="31"/>
    <n v="988515741"/>
    <n v="170"/>
    <s v="G#"/>
    <s v="Major"/>
    <n v="44"/>
    <n v="27"/>
    <x v="2"/>
    <n v="32"/>
    <x v="1"/>
    <n v="89"/>
    <n v="0"/>
    <n v="14"/>
    <n v="5"/>
    <n v="60.556353972164011"/>
  </r>
  <r>
    <x v="254"/>
    <s v="Mambo Kingz, DJ Luian, Anuel Aa"/>
    <n v="3"/>
    <d v="2023-05-04T00:00:00"/>
    <n v="675"/>
    <n v="1"/>
    <n v="9"/>
    <n v="13"/>
    <n v="11"/>
    <n v="0"/>
    <n v="1"/>
    <n v="50847624"/>
    <n v="178"/>
    <s v="C#"/>
    <s v="Minor"/>
    <n v="62"/>
    <n v="56"/>
    <x v="1"/>
    <n v="66"/>
    <x v="0"/>
    <n v="18"/>
    <n v="0"/>
    <n v="12"/>
    <n v="5"/>
    <n v="24.598026321565115"/>
  </r>
  <r>
    <x v="255"/>
    <s v="Ed Sheeran"/>
    <n v="1"/>
    <d v="2023-05-05T00:00:00"/>
    <n v="715"/>
    <n v="0"/>
    <n v="37"/>
    <n v="3"/>
    <n v="27"/>
    <n v="0"/>
    <n v="50"/>
    <n v="39893489"/>
    <n v="176"/>
    <s v="F#"/>
    <s v="Minor"/>
    <n v="50"/>
    <n v="44"/>
    <x v="1"/>
    <n v="76"/>
    <x v="0"/>
    <n v="10"/>
    <n v="0"/>
    <n v="32"/>
    <n v="5"/>
    <n v="61.057993144900379"/>
  </r>
  <r>
    <x v="256"/>
    <s v="Nile Rodgers, LE SSERAFIM"/>
    <n v="2"/>
    <d v="2023-05-01T00:00:00"/>
    <n v="327"/>
    <n v="13"/>
    <n v="14"/>
    <n v="110"/>
    <n v="9"/>
    <n v="0"/>
    <n v="49"/>
    <n v="92035115"/>
    <n v="104"/>
    <s v="E"/>
    <s v="Minor"/>
    <n v="80"/>
    <n v="38"/>
    <x v="2"/>
    <n v="88"/>
    <x v="0"/>
    <n v="11"/>
    <n v="0"/>
    <n v="11"/>
    <n v="5"/>
    <n v="18.577504196815752"/>
  </r>
  <r>
    <x v="257"/>
    <s v="Agust D"/>
    <n v="1"/>
    <d v="2023-04-21T00:00:00"/>
    <n v="244"/>
    <n v="12"/>
    <n v="6"/>
    <n v="84"/>
    <n v="10"/>
    <n v="2"/>
    <n v="9"/>
    <n v="118810253"/>
    <n v="85"/>
    <s v="G"/>
    <s v="Major"/>
    <n v="70"/>
    <n v="83"/>
    <x v="0"/>
    <n v="84"/>
    <x v="0"/>
    <n v="31"/>
    <n v="0"/>
    <n v="47"/>
    <n v="30"/>
    <n v="16.363379470939641"/>
  </r>
  <r>
    <x v="258"/>
    <s v="Rich The Kid, Matu√Ø¬ø"/>
    <n v="2"/>
    <d v="2023-04-30T00:00:00"/>
    <n v="385"/>
    <n v="4"/>
    <n v="17"/>
    <n v="7"/>
    <n v="41"/>
    <n v="1"/>
    <n v="29"/>
    <n v="77233241"/>
    <n v="117"/>
    <s v="F#"/>
    <s v="Minor"/>
    <n v="77"/>
    <n v="69"/>
    <x v="1"/>
    <n v="58"/>
    <x v="0"/>
    <n v="39"/>
    <n v="0"/>
    <n v="26"/>
    <n v="5"/>
    <n v="9.3972751743871754"/>
  </r>
  <r>
    <x v="259"/>
    <s v="Karol G"/>
    <n v="1"/>
    <d v="2023-02-24T00:00:00"/>
    <n v="1020"/>
    <n v="35"/>
    <n v="15"/>
    <n v="26"/>
    <n v="30"/>
    <n v="6"/>
    <n v="0"/>
    <n v="206399629"/>
    <n v="80"/>
    <m/>
    <s v="Major"/>
    <n v="52"/>
    <n v="57"/>
    <x v="1"/>
    <n v="48"/>
    <x v="1"/>
    <n v="86"/>
    <n v="0"/>
    <n v="15"/>
    <n v="39"/>
    <n v="7.6486891968369219"/>
  </r>
  <r>
    <x v="260"/>
    <s v="Labrinth"/>
    <n v="1"/>
    <d v="2023-04-07T00:00:00"/>
    <n v="1730"/>
    <n v="3"/>
    <n v="46"/>
    <n v="5"/>
    <n v="51"/>
    <n v="0"/>
    <n v="20"/>
    <n v="117747907"/>
    <n v="98"/>
    <s v="F"/>
    <s v="Major"/>
    <n v="44"/>
    <n v="36"/>
    <x v="2"/>
    <n v="41"/>
    <x v="1"/>
    <n v="50"/>
    <n v="0"/>
    <n v="38"/>
    <n v="5"/>
    <n v="83.021012193605799"/>
  </r>
  <r>
    <x v="261"/>
    <s v="Karol G, Romeo Santos"/>
    <n v="2"/>
    <d v="2023-02-02T00:00:00"/>
    <n v="2127"/>
    <n v="33"/>
    <n v="45"/>
    <n v="80"/>
    <n v="53"/>
    <n v="8"/>
    <n v="4"/>
    <n v="266624541"/>
    <n v="178"/>
    <s v="C#"/>
    <s v="Minor"/>
    <n v="79"/>
    <n v="58"/>
    <x v="1"/>
    <n v="78"/>
    <x v="0"/>
    <n v="34"/>
    <n v="0"/>
    <n v="11"/>
    <n v="25"/>
    <n v="85.068774466915571"/>
  </r>
  <r>
    <x v="262"/>
    <s v="Lizzy McAlpine"/>
    <n v="1"/>
    <d v="2022-04-08T00:00:00"/>
    <n v="3242"/>
    <n v="9"/>
    <n v="67"/>
    <n v="55"/>
    <n v="48"/>
    <n v="0"/>
    <n v="6"/>
    <n v="293186992"/>
    <n v="148"/>
    <s v="A"/>
    <s v="Major"/>
    <n v="51"/>
    <n v="27"/>
    <x v="2"/>
    <n v="33"/>
    <x v="1"/>
    <n v="48"/>
    <n v="0"/>
    <n v="22"/>
    <n v="3"/>
    <n v="42.018603242396125"/>
  </r>
  <r>
    <x v="263"/>
    <s v="Fifty Fifty"/>
    <n v="1"/>
    <d v="2023-02-24T00:00:00"/>
    <n v="526"/>
    <n v="10"/>
    <n v="15"/>
    <n v="93"/>
    <n v="30"/>
    <n v="0"/>
    <n v="320"/>
    <n v="139681964"/>
    <n v="120"/>
    <s v="D"/>
    <s v="Major"/>
    <n v="77"/>
    <n v="94"/>
    <x v="0"/>
    <n v="66"/>
    <x v="0"/>
    <n v="65"/>
    <n v="0"/>
    <n v="38"/>
    <n v="3"/>
    <n v="63.262522902037631"/>
  </r>
  <r>
    <x v="264"/>
    <s v="IVE"/>
    <n v="1"/>
    <d v="2023-04-10T00:00:00"/>
    <n v="366"/>
    <n v="15"/>
    <n v="16"/>
    <n v="102"/>
    <n v="7"/>
    <n v="0"/>
    <n v="55"/>
    <n v="123132751"/>
    <n v="122"/>
    <s v="E"/>
    <s v="Minor"/>
    <n v="68"/>
    <n v="38"/>
    <x v="2"/>
    <n v="88"/>
    <x v="0"/>
    <n v="1"/>
    <n v="0"/>
    <n v="8"/>
    <n v="5"/>
    <n v="63.505775509331656"/>
  </r>
  <r>
    <x v="265"/>
    <s v="sped up 8282"/>
    <n v="1"/>
    <d v="1997-01-01T00:00:00"/>
    <n v="472"/>
    <n v="2"/>
    <n v="0"/>
    <n v="0"/>
    <n v="6"/>
    <n v="0"/>
    <n v="0"/>
    <n v="103762518"/>
    <n v="144"/>
    <s v="F"/>
    <s v="Major"/>
    <n v="74"/>
    <n v="75"/>
    <x v="0"/>
    <n v="73"/>
    <x v="0"/>
    <n v="42"/>
    <n v="0"/>
    <n v="9"/>
    <n v="4"/>
    <n v="60.604366599410177"/>
  </r>
  <r>
    <x v="266"/>
    <s v="Cartel De Santa, La Kelly"/>
    <n v="2"/>
    <d v="2023-03-04T00:00:00"/>
    <n v="432"/>
    <n v="12"/>
    <n v="8"/>
    <n v="14"/>
    <n v="12"/>
    <n v="2"/>
    <n v="33"/>
    <n v="162887075"/>
    <n v="96"/>
    <s v="D"/>
    <s v="Major"/>
    <n v="93"/>
    <n v="47"/>
    <x v="1"/>
    <n v="47"/>
    <x v="1"/>
    <n v="33"/>
    <n v="0"/>
    <n v="10"/>
    <n v="36"/>
    <n v="23.700385734077955"/>
  </r>
  <r>
    <x v="267"/>
    <s v="SEVENTEEN"/>
    <n v="1"/>
    <d v="2023-04-24T00:00:00"/>
    <n v="271"/>
    <n v="12"/>
    <n v="16"/>
    <n v="103"/>
    <n v="9"/>
    <n v="0"/>
    <n v="55"/>
    <n v="91221625"/>
    <n v="137"/>
    <s v="G#"/>
    <s v="Major"/>
    <n v="77"/>
    <n v="35"/>
    <x v="2"/>
    <n v="88"/>
    <x v="0"/>
    <n v="16"/>
    <n v="0"/>
    <n v="17"/>
    <n v="9"/>
    <n v="49.512858364111977"/>
  </r>
  <r>
    <x v="268"/>
    <s v="NLE Choppa"/>
    <n v="1"/>
    <d v="2022-04-22T00:00:00"/>
    <n v="816"/>
    <n v="4"/>
    <n v="21"/>
    <n v="4"/>
    <n v="13"/>
    <n v="0"/>
    <n v="4"/>
    <n v="190490915"/>
    <n v="121"/>
    <s v="F#"/>
    <s v="Minor"/>
    <n v="94"/>
    <n v="71"/>
    <x v="0"/>
    <n v="61"/>
    <x v="0"/>
    <n v="12"/>
    <n v="0"/>
    <n v="53"/>
    <n v="42"/>
    <n v="99.458128107242089"/>
  </r>
  <r>
    <x v="269"/>
    <s v="The Weeknd, Future"/>
    <n v="2"/>
    <d v="2023-04-21T00:00:00"/>
    <n v="1169"/>
    <n v="0"/>
    <n v="36"/>
    <n v="65"/>
    <n v="28"/>
    <n v="0"/>
    <n v="0"/>
    <n v="96180277"/>
    <n v="119"/>
    <s v="A"/>
    <s v="Minor"/>
    <n v="60"/>
    <n v="10"/>
    <x v="2"/>
    <n v="57"/>
    <x v="0"/>
    <n v="1"/>
    <n v="0"/>
    <n v="50"/>
    <n v="3"/>
    <n v="66.314028295872831"/>
  </r>
  <r>
    <x v="270"/>
    <s v="Taylor Swift"/>
    <n v="1"/>
    <d v="2019-08-23T00:00:00"/>
    <n v="1282"/>
    <n v="6"/>
    <n v="26"/>
    <n v="6"/>
    <n v="19"/>
    <n v="0"/>
    <n v="5"/>
    <n v="185240616"/>
    <n v="96"/>
    <s v="D"/>
    <s v="Major"/>
    <n v="72"/>
    <n v="40"/>
    <x v="1"/>
    <n v="47"/>
    <x v="1"/>
    <n v="71"/>
    <n v="0"/>
    <n v="13"/>
    <n v="4"/>
    <n v="64.593867946492011"/>
  </r>
  <r>
    <x v="271"/>
    <s v="Karol G"/>
    <n v="1"/>
    <d v="2022-04-21T00:00:00"/>
    <n v="6587"/>
    <n v="34"/>
    <n v="114"/>
    <n v="104"/>
    <n v="147"/>
    <n v="11"/>
    <n v="20"/>
    <n v="885093467"/>
    <n v="111"/>
    <s v="C#"/>
    <s v="Major"/>
    <n v="87"/>
    <n v="53"/>
    <x v="1"/>
    <n v="52"/>
    <x v="0"/>
    <n v="66"/>
    <n v="1"/>
    <n v="11"/>
    <n v="5"/>
    <n v="5.6423180084610554"/>
  </r>
  <r>
    <x v="272"/>
    <s v="Nicki Minaj, Ice Spice"/>
    <n v="2"/>
    <d v="2023-04-14T00:00:00"/>
    <n v="1444"/>
    <n v="4"/>
    <n v="0"/>
    <n v="0"/>
    <n v="0"/>
    <n v="0"/>
    <n v="0"/>
    <n v="104992946"/>
    <n v="148"/>
    <s v="A"/>
    <s v="Major"/>
    <n v="90"/>
    <n v="74"/>
    <x v="0"/>
    <n v="68"/>
    <x v="0"/>
    <n v="14"/>
    <n v="0"/>
    <n v="10"/>
    <n v="19"/>
    <n v="98.882540960187583"/>
  </r>
  <r>
    <x v="273"/>
    <s v="Grupo Marca Registrada, Grupo Frontera"/>
    <n v="2"/>
    <d v="2023-02-03T00:00:00"/>
    <n v="356"/>
    <n v="10"/>
    <n v="4"/>
    <n v="64"/>
    <n v="4"/>
    <n v="2"/>
    <n v="37"/>
    <n v="147290338"/>
    <n v="182"/>
    <s v="A"/>
    <s v="Major"/>
    <n v="57"/>
    <n v="80"/>
    <x v="0"/>
    <n v="59"/>
    <x v="0"/>
    <n v="8"/>
    <n v="0"/>
    <n v="6"/>
    <n v="5"/>
    <n v="65.7847045023791"/>
  </r>
  <r>
    <x v="274"/>
    <s v="Ed Sheeran"/>
    <n v="1"/>
    <d v="2021-09-09T00:00:00"/>
    <n v="10147"/>
    <n v="30"/>
    <n v="234"/>
    <n v="71"/>
    <n v="543"/>
    <n v="18"/>
    <m/>
    <n v="1302184087"/>
    <n v="141"/>
    <s v="D"/>
    <s v="Major"/>
    <n v="79"/>
    <n v="82"/>
    <x v="0"/>
    <n v="86"/>
    <x v="0"/>
    <n v="28"/>
    <n v="0"/>
    <n v="4"/>
    <n v="9"/>
    <n v="79.273989034789153"/>
  </r>
  <r>
    <x v="275"/>
    <s v="Fuerza Regida, Peso Pluma"/>
    <n v="2"/>
    <d v="2022-12-30T00:00:00"/>
    <n v="265"/>
    <n v="6"/>
    <n v="8"/>
    <n v="84"/>
    <n v="5"/>
    <n v="1"/>
    <n v="4"/>
    <n v="158950978"/>
    <n v="145"/>
    <s v="E"/>
    <s v="Minor"/>
    <n v="76"/>
    <n v="80"/>
    <x v="0"/>
    <n v="81"/>
    <x v="0"/>
    <n v="19"/>
    <n v="0"/>
    <n v="6"/>
    <n v="9"/>
    <n v="71.314852363022752"/>
  </r>
  <r>
    <x v="276"/>
    <s v="TAEYANG, Lisa"/>
    <n v="2"/>
    <d v="2023-04-25T00:00:00"/>
    <n v="351"/>
    <n v="9"/>
    <n v="16"/>
    <n v="90"/>
    <n v="10"/>
    <n v="0"/>
    <n v="64"/>
    <n v="76910644"/>
    <n v="110"/>
    <s v="B"/>
    <s v="Minor"/>
    <n v="76"/>
    <n v="26"/>
    <x v="2"/>
    <n v="70"/>
    <x v="0"/>
    <n v="1"/>
    <n v="0"/>
    <n v="41"/>
    <n v="6"/>
    <n v="92.245606964312231"/>
  </r>
  <r>
    <x v="277"/>
    <s v="Raim Laode"/>
    <n v="1"/>
    <d v="2022-08-16T00:00:00"/>
    <n v="158"/>
    <n v="4"/>
    <n v="5"/>
    <n v="6"/>
    <n v="1"/>
    <n v="1"/>
    <n v="18"/>
    <n v="137123880"/>
    <n v="134"/>
    <s v="G"/>
    <s v="Major"/>
    <n v="70"/>
    <n v="35"/>
    <x v="2"/>
    <n v="41"/>
    <x v="1"/>
    <n v="41"/>
    <n v="0"/>
    <n v="10"/>
    <n v="3"/>
    <n v="22.155107716320533"/>
  </r>
  <r>
    <x v="278"/>
    <s v="ROSAL√Ø¬ø¬Ω"/>
    <n v="1"/>
    <d v="2022-07-28T00:00:00"/>
    <n v="7613"/>
    <n v="33"/>
    <n v="180"/>
    <n v="90"/>
    <n v="422"/>
    <n v="15"/>
    <n v="55"/>
    <n v="782369383"/>
    <n v="130"/>
    <s v="G"/>
    <s v="Major"/>
    <n v="92"/>
    <n v="78"/>
    <x v="0"/>
    <n v="62"/>
    <x v="0"/>
    <n v="18"/>
    <n v="0"/>
    <n v="6"/>
    <n v="10"/>
    <n v="34.957327061199784"/>
  </r>
  <r>
    <x v="279"/>
    <s v="Meghan Trainor"/>
    <n v="1"/>
    <d v="2022-10-21T00:00:00"/>
    <n v="3956"/>
    <n v="6"/>
    <n v="142"/>
    <n v="23"/>
    <n v="127"/>
    <n v="3"/>
    <n v="16"/>
    <n v="502574952"/>
    <n v="145"/>
    <s v="A#"/>
    <s v="Major"/>
    <n v="84"/>
    <n v="88"/>
    <x v="0"/>
    <n v="53"/>
    <x v="0"/>
    <n v="35"/>
    <n v="0"/>
    <n v="8"/>
    <n v="7"/>
    <n v="76.884140558353437"/>
  </r>
  <r>
    <x v="280"/>
    <s v="sped up nightcore, ARIZONATEARS, Lil Uzi Vert"/>
    <n v="3"/>
    <d v="2023-02-05T00:00:00"/>
    <n v="1638"/>
    <n v="10"/>
    <n v="0"/>
    <n v="0"/>
    <n v="21"/>
    <n v="0"/>
    <n v="0"/>
    <n v="207033255"/>
    <n v="130"/>
    <s v="B"/>
    <s v="Minor"/>
    <n v="69"/>
    <n v="36"/>
    <x v="2"/>
    <n v="90"/>
    <x v="0"/>
    <n v="1"/>
    <n v="10"/>
    <n v="15"/>
    <n v="4"/>
    <n v="4.2609988368261575"/>
  </r>
  <r>
    <x v="281"/>
    <s v="Grupo Frontera"/>
    <n v="1"/>
    <d v="2022-04-28T00:00:00"/>
    <n v="924"/>
    <n v="18"/>
    <n v="17"/>
    <n v="80"/>
    <n v="22"/>
    <n v="9"/>
    <n v="38"/>
    <n v="404887295"/>
    <n v="173"/>
    <m/>
    <s v="Major"/>
    <n v="59"/>
    <n v="69"/>
    <x v="1"/>
    <n v="53"/>
    <x v="0"/>
    <n v="12"/>
    <n v="0"/>
    <n v="23"/>
    <n v="3"/>
    <n v="16.078114261597431"/>
  </r>
  <r>
    <x v="282"/>
    <s v="Quevedo"/>
    <n v="1"/>
    <d v="2022-11-04T00:00:00"/>
    <n v="1985"/>
    <n v="35"/>
    <n v="34"/>
    <n v="26"/>
    <n v="37"/>
    <n v="5"/>
    <n v="1"/>
    <n v="381161027"/>
    <n v="92"/>
    <s v="B"/>
    <s v="Minor"/>
    <n v="75"/>
    <n v="55"/>
    <x v="1"/>
    <n v="76"/>
    <x v="0"/>
    <n v="25"/>
    <n v="0"/>
    <n v="10"/>
    <n v="15"/>
    <n v="97.077257112020476"/>
  </r>
  <r>
    <x v="283"/>
    <s v="TV Girl"/>
    <n v="1"/>
    <d v="2014-06-05T00:00:00"/>
    <n v="6339"/>
    <n v="13"/>
    <n v="3"/>
    <n v="1"/>
    <n v="36"/>
    <n v="1"/>
    <n v="37"/>
    <n v="466231982"/>
    <n v="105"/>
    <s v="F"/>
    <s v="Minor"/>
    <n v="56"/>
    <n v="57"/>
    <x v="1"/>
    <n v="87"/>
    <x v="0"/>
    <n v="0"/>
    <n v="1"/>
    <n v="10"/>
    <n v="4"/>
    <n v="8.7967450203305546"/>
  </r>
  <r>
    <x v="284"/>
    <s v="INTERWORLD"/>
    <n v="1"/>
    <d v="2021-11-25T00:00:00"/>
    <n v="1561"/>
    <n v="24"/>
    <n v="18"/>
    <n v="78"/>
    <n v="24"/>
    <n v="0"/>
    <n v="30"/>
    <n v="357580552"/>
    <n v="175"/>
    <s v="G"/>
    <s v="Minor"/>
    <n v="59"/>
    <n v="15"/>
    <x v="2"/>
    <n v="64"/>
    <x v="0"/>
    <n v="43"/>
    <n v="90"/>
    <n v="12"/>
    <n v="10"/>
    <n v="42.806290719523474"/>
  </r>
  <r>
    <x v="285"/>
    <s v="Quevedo, Jhayco"/>
    <n v="2"/>
    <d v="2023-04-27T00:00:00"/>
    <n v="875"/>
    <n v="4"/>
    <n v="17"/>
    <n v="13"/>
    <n v="27"/>
    <n v="0"/>
    <n v="43"/>
    <n v="61105704"/>
    <n v="120"/>
    <s v="G"/>
    <s v="Minor"/>
    <n v="80"/>
    <n v="33"/>
    <x v="2"/>
    <n v="70"/>
    <x v="0"/>
    <n v="22"/>
    <n v="0"/>
    <n v="9"/>
    <n v="4"/>
    <n v="59.333541212838512"/>
  </r>
  <r>
    <x v="286"/>
    <s v="El Chachito, Junior H"/>
    <n v="2"/>
    <d v="2022-12-24T00:00:00"/>
    <n v="406"/>
    <n v="5"/>
    <n v="3"/>
    <n v="31"/>
    <n v="2"/>
    <n v="1"/>
    <n v="0"/>
    <n v="198275403"/>
    <n v="139"/>
    <s v="D#"/>
    <s v="Minor"/>
    <n v="70"/>
    <n v="77"/>
    <x v="0"/>
    <n v="48"/>
    <x v="1"/>
    <n v="37"/>
    <n v="0"/>
    <n v="12"/>
    <n v="5"/>
    <n v="49.660862365238025"/>
  </r>
  <r>
    <x v="287"/>
    <s v="Jimin"/>
    <n v="1"/>
    <d v="2023-03-17T00:00:00"/>
    <n v="340"/>
    <n v="13"/>
    <n v="4"/>
    <n v="71"/>
    <n v="16"/>
    <n v="1"/>
    <n v="9"/>
    <n v="168448603"/>
    <n v="132"/>
    <m/>
    <s v="Minor"/>
    <n v="59"/>
    <n v="56"/>
    <x v="1"/>
    <n v="82"/>
    <x v="0"/>
    <n v="12"/>
    <n v="0"/>
    <n v="12"/>
    <n v="6"/>
    <n v="86.771930289139391"/>
  </r>
  <r>
    <x v="288"/>
    <s v="The Weeknd, Gesaffelstein"/>
    <n v="2"/>
    <d v="2018-03-29T00:00:00"/>
    <n v="4188"/>
    <n v="15"/>
    <n v="30"/>
    <n v="70"/>
    <n v="142"/>
    <n v="0"/>
    <n v="27"/>
    <n v="705469769"/>
    <n v="114"/>
    <s v="A#"/>
    <s v="Major"/>
    <n v="32"/>
    <n v="17"/>
    <x v="2"/>
    <n v="74"/>
    <x v="0"/>
    <n v="14"/>
    <n v="0"/>
    <n v="17"/>
    <n v="3"/>
    <n v="71.401551472178639"/>
  </r>
  <r>
    <x v="289"/>
    <s v="RM, Colde"/>
    <n v="2"/>
    <d v="2023-05-04T00:00:00"/>
    <n v="105"/>
    <n v="0"/>
    <n v="5"/>
    <n v="9"/>
    <n v="5"/>
    <n v="0"/>
    <n v="0"/>
    <n v="34502215"/>
    <n v="145"/>
    <s v="B"/>
    <s v="Minor"/>
    <n v="54"/>
    <n v="19"/>
    <x v="2"/>
    <n v="48"/>
    <x v="1"/>
    <n v="36"/>
    <n v="0"/>
    <n v="37"/>
    <n v="5"/>
    <n v="3.5035955934165974"/>
  </r>
  <r>
    <x v="290"/>
    <s v="BLACKPINK"/>
    <n v="1"/>
    <d v="2022-09-16T00:00:00"/>
    <n v="1524"/>
    <n v="17"/>
    <n v="53"/>
    <n v="120"/>
    <n v="62"/>
    <n v="0"/>
    <n v="2"/>
    <n v="482175240"/>
    <n v="110"/>
    <m/>
    <s v="Major"/>
    <n v="82"/>
    <n v="67"/>
    <x v="1"/>
    <n v="69"/>
    <x v="0"/>
    <n v="0"/>
    <n v="0"/>
    <n v="18"/>
    <n v="4"/>
    <n v="15.035895109107678"/>
  </r>
  <r>
    <x v="291"/>
    <s v="Nengo Flow, Bad Bunny"/>
    <n v="2"/>
    <d v="2022-12-22T00:00:00"/>
    <n v="2651"/>
    <n v="30"/>
    <n v="21"/>
    <n v="55"/>
    <n v="32"/>
    <n v="3"/>
    <n v="0"/>
    <n v="304118600"/>
    <n v="94"/>
    <s v="G#"/>
    <s v="Major"/>
    <n v="89"/>
    <n v="61"/>
    <x v="1"/>
    <n v="66"/>
    <x v="0"/>
    <n v="17"/>
    <n v="0"/>
    <n v="36"/>
    <n v="16"/>
    <n v="21.047878286175148"/>
  </r>
  <r>
    <x v="292"/>
    <s v="The Weeknd"/>
    <n v="1"/>
    <d v="2018-03-29T00:00:00"/>
    <n v="11087"/>
    <n v="6"/>
    <n v="151"/>
    <n v="107"/>
    <n v="801"/>
    <n v="1"/>
    <n v="105"/>
    <n v="1449799467"/>
    <n v="134"/>
    <s v="C#"/>
    <s v="Major"/>
    <n v="45"/>
    <n v="17"/>
    <x v="2"/>
    <n v="60"/>
    <x v="0"/>
    <n v="21"/>
    <n v="0"/>
    <n v="33"/>
    <n v="4"/>
    <n v="91.297488209155304"/>
  </r>
  <r>
    <x v="293"/>
    <s v="Jimin"/>
    <n v="1"/>
    <d v="2023-03-24T00:00:00"/>
    <n v="373"/>
    <n v="19"/>
    <n v="4"/>
    <n v="72"/>
    <n v="5"/>
    <n v="0"/>
    <n v="5"/>
    <n v="173627354"/>
    <n v="120"/>
    <s v="G"/>
    <s v="Major"/>
    <n v="62"/>
    <n v="32"/>
    <x v="2"/>
    <n v="76"/>
    <x v="0"/>
    <n v="0"/>
    <n v="0"/>
    <n v="39"/>
    <n v="4"/>
    <n v="6.4379780737251036"/>
  </r>
  <r>
    <x v="294"/>
    <s v="Jasiel Nu√Ø¬ø¬Ω√Ø¬ø¬Ωez, Peso P"/>
    <n v="2"/>
    <d v="2023-02-02T00:00:00"/>
    <n v="200"/>
    <n v="4"/>
    <n v="8"/>
    <n v="77"/>
    <n v="2"/>
    <n v="1"/>
    <n v="1"/>
    <n v="90025258"/>
    <n v="123"/>
    <s v="G"/>
    <s v="Minor"/>
    <n v="70"/>
    <n v="86"/>
    <x v="0"/>
    <n v="68"/>
    <x v="0"/>
    <n v="24"/>
    <n v="0"/>
    <n v="11"/>
    <n v="4"/>
    <n v="97.795536676918005"/>
  </r>
  <r>
    <x v="295"/>
    <s v="Nicky Youre, Dazy"/>
    <n v="2"/>
    <d v="2021-12-03T00:00:00"/>
    <n v="3741"/>
    <n v="17"/>
    <n v="156"/>
    <n v="35"/>
    <n v="110"/>
    <n v="19"/>
    <n v="0"/>
    <n v="652704649"/>
    <n v="131"/>
    <s v="A#"/>
    <s v="Major"/>
    <n v="77"/>
    <n v="84"/>
    <x v="0"/>
    <n v="71"/>
    <x v="0"/>
    <n v="35"/>
    <n v="0"/>
    <n v="15"/>
    <n v="4"/>
    <n v="30.905761871844849"/>
  </r>
  <r>
    <x v="296"/>
    <s v="Eminem"/>
    <n v="1"/>
    <d v="2002-01-01T00:00:00"/>
    <n v="32502"/>
    <n v="21"/>
    <n v="247"/>
    <n v="54"/>
    <n v="5567"/>
    <n v="1"/>
    <n v="51"/>
    <n v="1829992958"/>
    <n v="171"/>
    <s v="D"/>
    <s v="Major"/>
    <n v="70"/>
    <n v="6"/>
    <x v="2"/>
    <n v="73"/>
    <x v="0"/>
    <n v="1"/>
    <n v="0"/>
    <n v="36"/>
    <n v="26"/>
    <n v="35.592275815893728"/>
  </r>
  <r>
    <x v="297"/>
    <s v="Eminem, Dina Rae"/>
    <n v="2"/>
    <d v="2002-05-26T00:00:00"/>
    <n v="7615"/>
    <n v="14"/>
    <n v="18"/>
    <n v="51"/>
    <n v="1005"/>
    <n v="0"/>
    <n v="0"/>
    <n v="655466831"/>
    <n v="130"/>
    <s v="E"/>
    <s v="Minor"/>
    <n v="80"/>
    <n v="64"/>
    <x v="1"/>
    <n v="76"/>
    <x v="0"/>
    <n v="2"/>
    <n v="0"/>
    <n v="20"/>
    <n v="6"/>
    <n v="29.186417882108383"/>
  </r>
  <r>
    <x v="298"/>
    <s v="Mambo Kingz, DJ Luian, Anuel Aa"/>
    <n v="3"/>
    <d v="2023-03-02T00:00:00"/>
    <n v="1208"/>
    <n v="34"/>
    <n v="10"/>
    <n v="41"/>
    <n v="20"/>
    <n v="0"/>
    <n v="1"/>
    <n v="146409671"/>
    <n v="94"/>
    <s v="B"/>
    <s v="Major"/>
    <n v="82"/>
    <n v="53"/>
    <x v="1"/>
    <n v="67"/>
    <x v="0"/>
    <n v="34"/>
    <n v="0"/>
    <n v="9"/>
    <n v="8"/>
    <n v="88.365389371893116"/>
  </r>
  <r>
    <x v="299"/>
    <s v="IU, Agust D"/>
    <n v="2"/>
    <d v="2023-04-07T00:00:00"/>
    <n v="209"/>
    <n v="4"/>
    <n v="4"/>
    <n v="45"/>
    <n v="11"/>
    <n v="2"/>
    <n v="24"/>
    <n v="95816024"/>
    <n v="89"/>
    <s v="G"/>
    <s v="Minor"/>
    <n v="73"/>
    <n v="44"/>
    <x v="1"/>
    <n v="57"/>
    <x v="0"/>
    <n v="39"/>
    <n v="0"/>
    <n v="32"/>
    <n v="6"/>
    <n v="31.395919965363984"/>
  </r>
  <r>
    <x v="300"/>
    <s v="Feid"/>
    <n v="1"/>
    <d v="2023-03-17T00:00:00"/>
    <n v="1235"/>
    <n v="9"/>
    <n v="20"/>
    <n v="8"/>
    <n v="15"/>
    <n v="0"/>
    <n v="6"/>
    <n v="117206995"/>
    <n v="87"/>
    <s v="F"/>
    <s v="Minor"/>
    <n v="65"/>
    <n v="71"/>
    <x v="0"/>
    <n v="56"/>
    <x v="0"/>
    <n v="4"/>
    <n v="0"/>
    <n v="15"/>
    <n v="20"/>
    <n v="60.649270510136574"/>
  </r>
  <r>
    <x v="301"/>
    <s v="Arcangel, Bizarrap"/>
    <n v="2"/>
    <d v="2023-03-22T00:00:00"/>
    <n v="654"/>
    <n v="3"/>
    <n v="11"/>
    <n v="3"/>
    <n v="18"/>
    <n v="1"/>
    <n v="1"/>
    <n v="100409613"/>
    <n v="124"/>
    <s v="B"/>
    <s v="Minor"/>
    <n v="72"/>
    <n v="79"/>
    <x v="0"/>
    <n v="78"/>
    <x v="0"/>
    <n v="55"/>
    <n v="0"/>
    <n v="15"/>
    <n v="30"/>
    <n v="37.359531368825351"/>
  </r>
  <r>
    <x v="302"/>
    <s v="Tyler, The Creator"/>
    <n v="2"/>
    <d v="2023-03-27T00:00:00"/>
    <n v="1479"/>
    <n v="0"/>
    <n v="23"/>
    <n v="0"/>
    <n v="18"/>
    <n v="0"/>
    <n v="33"/>
    <n v="80758350"/>
    <n v="78"/>
    <s v="G#"/>
    <s v="Major"/>
    <n v="71"/>
    <n v="80"/>
    <x v="0"/>
    <n v="65"/>
    <x v="0"/>
    <n v="51"/>
    <n v="0"/>
    <n v="22"/>
    <n v="32"/>
    <n v="93.101099236646363"/>
  </r>
  <r>
    <x v="303"/>
    <s v="Ti√Ø¬ø¬Ω√Ø¬ø¬Ωsto, Tate M"/>
    <n v="2"/>
    <d v="2022-11-01T00:00:00"/>
    <n v="4942"/>
    <n v="26"/>
    <n v="190"/>
    <n v="104"/>
    <n v="147"/>
    <n v="18"/>
    <n v="63"/>
    <n v="325592432"/>
    <n v="120"/>
    <s v="G#"/>
    <s v="Major"/>
    <n v="70"/>
    <n v="70"/>
    <x v="1"/>
    <n v="79"/>
    <x v="0"/>
    <n v="7"/>
    <n v="0"/>
    <n v="18"/>
    <n v="10"/>
    <n v="58.667758768005605"/>
  </r>
  <r>
    <x v="304"/>
    <s v="Tyler, The Creator"/>
    <n v="2"/>
    <d v="2023-03-31T00:00:00"/>
    <n v="709"/>
    <n v="0"/>
    <n v="8"/>
    <n v="1"/>
    <n v="13"/>
    <n v="0"/>
    <n v="0"/>
    <n v="58473276"/>
    <n v="96"/>
    <s v="F#"/>
    <s v="Minor"/>
    <n v="48"/>
    <n v="50"/>
    <x v="1"/>
    <n v="80"/>
    <x v="0"/>
    <n v="40"/>
    <n v="0"/>
    <n v="37"/>
    <n v="20"/>
    <n v="54.531736021025324"/>
  </r>
  <r>
    <x v="305"/>
    <s v="NF"/>
    <n v="1"/>
    <d v="2023-03-25T00:00:00"/>
    <n v="660"/>
    <n v="0"/>
    <n v="22"/>
    <n v="7"/>
    <n v="11"/>
    <n v="0"/>
    <n v="78"/>
    <n v="52722996"/>
    <n v="106"/>
    <s v="G"/>
    <s v="Major"/>
    <n v="73"/>
    <n v="22"/>
    <x v="2"/>
    <n v="86"/>
    <x v="0"/>
    <n v="31"/>
    <n v="0"/>
    <n v="12"/>
    <n v="4"/>
    <n v="70.331005630198291"/>
  </r>
  <r>
    <x v="306"/>
    <s v="Yng Lvcas"/>
    <n v="1"/>
    <d v="2021-12-24T00:00:00"/>
    <n v="489"/>
    <n v="17"/>
    <n v="4"/>
    <n v="11"/>
    <n v="5"/>
    <n v="1"/>
    <n v="2"/>
    <n v="191945597"/>
    <n v="170"/>
    <s v="D"/>
    <s v="Minor"/>
    <n v="78"/>
    <n v="75"/>
    <x v="0"/>
    <n v="46"/>
    <x v="1"/>
    <n v="62"/>
    <n v="0"/>
    <n v="12"/>
    <n v="35"/>
    <n v="2.5734164454693009"/>
  </r>
  <r>
    <x v="307"/>
    <s v="Kanii, PR1ISVX"/>
    <n v="2"/>
    <d v="2023-03-24T00:00:00"/>
    <n v="407"/>
    <n v="0"/>
    <n v="16"/>
    <n v="15"/>
    <n v="5"/>
    <n v="0"/>
    <n v="1"/>
    <n v="77377503"/>
    <n v="134"/>
    <s v="B"/>
    <s v="Minor"/>
    <n v="67"/>
    <n v="11"/>
    <x v="2"/>
    <n v="76"/>
    <x v="0"/>
    <n v="8"/>
    <n v="47"/>
    <n v="30"/>
    <n v="7"/>
    <n v="51.418092564319153"/>
  </r>
  <r>
    <x v="308"/>
    <s v="Harry Styles"/>
    <n v="1"/>
    <d v="2022-05-20T00:00:00"/>
    <n v="7461"/>
    <n v="8"/>
    <n v="166"/>
    <n v="42"/>
    <n v="199"/>
    <n v="16"/>
    <n v="58"/>
    <n v="743693613"/>
    <n v="115"/>
    <s v="A#"/>
    <s v="Major"/>
    <n v="71"/>
    <n v="90"/>
    <x v="0"/>
    <n v="73"/>
    <x v="0"/>
    <n v="30"/>
    <n v="0"/>
    <n v="11"/>
    <n v="5"/>
    <n v="90.440215215461066"/>
  </r>
  <r>
    <x v="309"/>
    <s v="Mar√Ø¬ø¬Ω√Ø¬ø¬Ωlia Mendo"/>
    <n v="1"/>
    <d v="2022-12-09T00:00:00"/>
    <n v="993"/>
    <n v="4"/>
    <n v="30"/>
    <n v="84"/>
    <n v="88"/>
    <n v="1"/>
    <n v="28"/>
    <n v="267789608"/>
    <n v="130"/>
    <s v="F#"/>
    <s v="Major"/>
    <n v="74"/>
    <n v="79"/>
    <x v="0"/>
    <n v="87"/>
    <x v="0"/>
    <n v="45"/>
    <n v="0"/>
    <n v="30"/>
    <n v="3"/>
    <n v="40.095103462786078"/>
  </r>
  <r>
    <x v="310"/>
    <s v="Ariana Grande, The Weeknd"/>
    <n v="2"/>
    <d v="2020-03-20T00:00:00"/>
    <n v="9161"/>
    <n v="5"/>
    <n v="240"/>
    <n v="98"/>
    <n v="468"/>
    <n v="3"/>
    <n v="10"/>
    <n v="1221813483"/>
    <n v="118"/>
    <m/>
    <s v="Major"/>
    <n v="65"/>
    <n v="63"/>
    <x v="1"/>
    <n v="79"/>
    <x v="0"/>
    <n v="3"/>
    <n v="0"/>
    <n v="10"/>
    <n v="3"/>
    <n v="76.791282881182326"/>
  </r>
  <r>
    <x v="311"/>
    <s v="Zach Bryan"/>
    <n v="1"/>
    <d v="2022-04-22T00:00:00"/>
    <n v="3282"/>
    <n v="12"/>
    <n v="67"/>
    <n v="84"/>
    <n v="46"/>
    <n v="16"/>
    <n v="117"/>
    <n v="449701773"/>
    <n v="110"/>
    <s v="G"/>
    <s v="Major"/>
    <n v="59"/>
    <n v="22"/>
    <x v="2"/>
    <n v="38"/>
    <x v="1"/>
    <n v="42"/>
    <n v="0"/>
    <n v="12"/>
    <n v="3"/>
    <n v="79.43174246024374"/>
  </r>
  <r>
    <x v="312"/>
    <s v="Melanie Martinez"/>
    <n v="1"/>
    <d v="2023-03-29T00:00:00"/>
    <n v="596"/>
    <n v="0"/>
    <n v="29"/>
    <n v="9"/>
    <n v="12"/>
    <n v="0"/>
    <n v="52"/>
    <n v="67070410"/>
    <n v="100"/>
    <s v="A"/>
    <s v="Major"/>
    <n v="72"/>
    <n v="42"/>
    <x v="1"/>
    <n v="66"/>
    <x v="0"/>
    <n v="18"/>
    <n v="4"/>
    <n v="19"/>
    <n v="4"/>
    <n v="15.362925049474907"/>
  </r>
  <r>
    <x v="313"/>
    <s v="Fuerza Regida, Chino Pacas"/>
    <n v="2"/>
    <d v="2023-03-14T00:00:00"/>
    <n v="320"/>
    <n v="6"/>
    <n v="5"/>
    <n v="48"/>
    <n v="2"/>
    <n v="1"/>
    <n v="9"/>
    <n v="116334601"/>
    <n v="142"/>
    <s v="G"/>
    <s v="Minor"/>
    <n v="70"/>
    <n v="76"/>
    <x v="0"/>
    <n v="79"/>
    <x v="0"/>
    <n v="26"/>
    <n v="0"/>
    <n v="11"/>
    <n v="7"/>
    <n v="32.000954754913927"/>
  </r>
  <r>
    <x v="314"/>
    <s v="Taylor Swift"/>
    <n v="1"/>
    <d v="2022-10-21T00:00:00"/>
    <n v="2612"/>
    <n v="4"/>
    <n v="19"/>
    <n v="29"/>
    <n v="21"/>
    <n v="0"/>
    <n v="0"/>
    <n v="433356509"/>
    <n v="140"/>
    <m/>
    <s v="Major"/>
    <n v="64"/>
    <n v="18"/>
    <x v="2"/>
    <n v="37"/>
    <x v="1"/>
    <n v="72"/>
    <n v="0"/>
    <n v="12"/>
    <n v="7"/>
    <n v="0.64036311816592084"/>
  </r>
  <r>
    <x v="315"/>
    <s v="Mae Stephens"/>
    <n v="1"/>
    <d v="2023-02-10T00:00:00"/>
    <n v="2040"/>
    <n v="4"/>
    <n v="81"/>
    <n v="27"/>
    <n v="66"/>
    <n v="9"/>
    <n v="444"/>
    <n v="165584767"/>
    <n v="116"/>
    <s v="G"/>
    <s v="Major"/>
    <n v="90"/>
    <n v="96"/>
    <x v="0"/>
    <n v="73"/>
    <x v="0"/>
    <n v="62"/>
    <n v="0"/>
    <n v="9"/>
    <n v="4"/>
    <n v="41.751736260458728"/>
  </r>
  <r>
    <x v="316"/>
    <s v="Morgan Wallen"/>
    <n v="1"/>
    <d v="2022-05-13T00:00:00"/>
    <n v="2128"/>
    <n v="9"/>
    <n v="37"/>
    <n v="88"/>
    <n v="9"/>
    <n v="0"/>
    <n v="14"/>
    <n v="367814306"/>
    <n v="120"/>
    <s v="A"/>
    <s v="Major"/>
    <n v="73"/>
    <n v="64"/>
    <x v="1"/>
    <n v="85"/>
    <x v="0"/>
    <n v="25"/>
    <n v="0"/>
    <n v="61"/>
    <n v="3"/>
    <n v="41.235128492351095"/>
  </r>
  <r>
    <x v="317"/>
    <s v="Feid, Mora"/>
    <n v="2"/>
    <d v="2022-04-01T00:00:00"/>
    <n v="2598"/>
    <n v="37"/>
    <n v="28"/>
    <n v="57"/>
    <n v="43"/>
    <n v="8"/>
    <n v="85"/>
    <n v="477033549"/>
    <n v="92"/>
    <s v="F"/>
    <s v="Minor"/>
    <n v="76"/>
    <n v="46"/>
    <x v="1"/>
    <n v="79"/>
    <x v="0"/>
    <n v="31"/>
    <n v="0"/>
    <n v="7"/>
    <n v="6"/>
    <n v="11.620128748018688"/>
  </r>
  <r>
    <x v="318"/>
    <s v="Kenia OS"/>
    <n v="1"/>
    <d v="2022-10-26T00:00:00"/>
    <n v="542"/>
    <n v="2"/>
    <n v="23"/>
    <n v="2"/>
    <n v="21"/>
    <n v="0"/>
    <n v="0"/>
    <n v="156214700"/>
    <n v="110"/>
    <s v="G#"/>
    <s v="Minor"/>
    <n v="81"/>
    <n v="64"/>
    <x v="1"/>
    <n v="79"/>
    <x v="0"/>
    <n v="5"/>
    <n v="0"/>
    <n v="31"/>
    <n v="3"/>
    <n v="69.826221647876409"/>
  </r>
  <r>
    <x v="319"/>
    <s v="Kordhell"/>
    <n v="1"/>
    <d v="2022-01-21T00:00:00"/>
    <n v="2459"/>
    <n v="20"/>
    <n v="20"/>
    <n v="68"/>
    <n v="50"/>
    <n v="0"/>
    <n v="22"/>
    <n v="448843705"/>
    <n v="120"/>
    <s v="A#"/>
    <s v="Major"/>
    <n v="71"/>
    <n v="57"/>
    <x v="1"/>
    <n v="97"/>
    <x v="0"/>
    <n v="1"/>
    <n v="0"/>
    <n v="13"/>
    <n v="11"/>
    <n v="90.419142941644964"/>
  </r>
  <r>
    <x v="320"/>
    <s v="Coolio, L.V."/>
    <n v="2"/>
    <d v="1995-07-11T00:00:00"/>
    <n v="10624"/>
    <n v="17"/>
    <n v="21"/>
    <n v="0"/>
    <n v="386"/>
    <n v="0"/>
    <m/>
    <n v="1357608774"/>
    <n v="80"/>
    <s v="G#"/>
    <s v="Major"/>
    <n v="63"/>
    <n v="40"/>
    <x v="1"/>
    <n v="61"/>
    <x v="0"/>
    <n v="9"/>
    <n v="0"/>
    <n v="56"/>
    <n v="6"/>
    <n v="89.816936393301262"/>
  </r>
  <r>
    <x v="321"/>
    <s v="Karol G, Ovy On The Drums"/>
    <n v="2"/>
    <d v="2022-11-13T00:00:00"/>
    <n v="2418"/>
    <n v="26"/>
    <n v="52"/>
    <n v="66"/>
    <n v="55"/>
    <n v="1"/>
    <n v="16"/>
    <n v="294352144"/>
    <n v="115"/>
    <s v="F"/>
    <s v="Minor"/>
    <n v="95"/>
    <n v="43"/>
    <x v="1"/>
    <n v="69"/>
    <x v="0"/>
    <n v="47"/>
    <n v="0"/>
    <n v="9"/>
    <n v="31"/>
    <n v="60.808078300537403"/>
  </r>
  <r>
    <x v="322"/>
    <s v="The Walters"/>
    <n v="1"/>
    <d v="2014-11-28T00:00:00"/>
    <n v="7536"/>
    <n v="7"/>
    <n v="44"/>
    <n v="19"/>
    <n v="135"/>
    <n v="0"/>
    <n v="6"/>
    <n v="972164968"/>
    <n v="76"/>
    <s v="A#"/>
    <s v="Major"/>
    <n v="58"/>
    <n v="46"/>
    <x v="1"/>
    <n v="67"/>
    <x v="0"/>
    <n v="65"/>
    <n v="0"/>
    <n v="13"/>
    <n v="4"/>
    <n v="44.297795901522207"/>
  </r>
  <r>
    <x v="323"/>
    <s v="Steve Lacy"/>
    <n v="1"/>
    <d v="2017-02-20T00:00:00"/>
    <n v="10431"/>
    <n v="7"/>
    <n v="71"/>
    <n v="53"/>
    <n v="181"/>
    <n v="0"/>
    <n v="10"/>
    <n v="920045682"/>
    <n v="172"/>
    <s v="F#"/>
    <s v="Major"/>
    <n v="60"/>
    <n v="77"/>
    <x v="0"/>
    <n v="78"/>
    <x v="0"/>
    <n v="45"/>
    <n v="0"/>
    <n v="12"/>
    <n v="6"/>
    <n v="87.779169478739192"/>
  </r>
  <r>
    <x v="324"/>
    <s v="James Arthur"/>
    <n v="1"/>
    <d v="2016-09-09T00:00:00"/>
    <n v="15722"/>
    <n v="16"/>
    <n v="231"/>
    <n v="37"/>
    <n v="1509"/>
    <n v="0"/>
    <n v="13"/>
    <n v="2420461338"/>
    <n v="99"/>
    <s v="A#"/>
    <s v="Major"/>
    <n v="40"/>
    <n v="45"/>
    <x v="1"/>
    <n v="56"/>
    <x v="0"/>
    <n v="69"/>
    <n v="0"/>
    <n v="9"/>
    <n v="5"/>
    <n v="38.867235752925787"/>
  </r>
  <r>
    <x v="325"/>
    <s v="The Weeknd"/>
    <n v="1"/>
    <d v="2015-05-27T00:00:00"/>
    <n v="25744"/>
    <n v="4"/>
    <n v="122"/>
    <n v="94"/>
    <n v="1992"/>
    <n v="0"/>
    <n v="18"/>
    <n v="1947371785"/>
    <n v="136"/>
    <m/>
    <s v="Minor"/>
    <n v="36"/>
    <n v="12"/>
    <x v="2"/>
    <n v="57"/>
    <x v="0"/>
    <n v="9"/>
    <n v="0"/>
    <n v="14"/>
    <n v="8"/>
    <n v="31.45571826238055"/>
  </r>
  <r>
    <x v="326"/>
    <s v="Mac DeMarco"/>
    <n v="1"/>
    <d v="2019-05-10T00:00:00"/>
    <n v="1640"/>
    <n v="0"/>
    <n v="27"/>
    <n v="27"/>
    <n v="29"/>
    <n v="1"/>
    <n v="1"/>
    <n v="244658767"/>
    <n v="150"/>
    <s v="G#"/>
    <s v="Minor"/>
    <n v="90"/>
    <n v="64"/>
    <x v="1"/>
    <n v="14"/>
    <x v="1"/>
    <n v="67"/>
    <n v="35"/>
    <n v="11"/>
    <n v="10"/>
    <n v="2.9378898689076616"/>
  </r>
  <r>
    <x v="327"/>
    <s v="Jack Black"/>
    <n v="1"/>
    <d v="2023-04-07T00:00:00"/>
    <n v="34"/>
    <n v="0"/>
    <n v="0"/>
    <n v="0"/>
    <n v="0"/>
    <n v="0"/>
    <n v="0"/>
    <n v="68216992"/>
    <n v="92"/>
    <s v="A#"/>
    <s v="Minor"/>
    <n v="71"/>
    <n v="41"/>
    <x v="1"/>
    <n v="31"/>
    <x v="1"/>
    <n v="79"/>
    <n v="0"/>
    <n v="10"/>
    <n v="5"/>
    <n v="89.673004949039054"/>
  </r>
  <r>
    <x v="328"/>
    <s v="Duki, NICKI NICOLE, Cris Mj, Standly, Stars Music Chile"/>
    <n v="5"/>
    <d v="2022-12-15T00:00:00"/>
    <n v="1845"/>
    <n v="16"/>
    <n v="20"/>
    <n v="8"/>
    <n v="30"/>
    <n v="2"/>
    <n v="0"/>
    <n v="223582566"/>
    <n v="95"/>
    <s v="C#"/>
    <s v="Major"/>
    <n v="77"/>
    <n v="72"/>
    <x v="0"/>
    <n v="87"/>
    <x v="0"/>
    <n v="17"/>
    <n v="0"/>
    <n v="7"/>
    <n v="5"/>
    <n v="39.509643521921149"/>
  </r>
  <r>
    <x v="329"/>
    <s v="Brray, Rauw Alejandro, Lyanno"/>
    <n v="3"/>
    <d v="2022-07-25T00:00:00"/>
    <n v="3301"/>
    <n v="30"/>
    <n v="72"/>
    <n v="64"/>
    <n v="64"/>
    <n v="6"/>
    <n v="3"/>
    <n v="471819764"/>
    <n v="102"/>
    <s v="B"/>
    <s v="Minor"/>
    <n v="83"/>
    <n v="58"/>
    <x v="1"/>
    <n v="83"/>
    <x v="0"/>
    <n v="21"/>
    <n v="0"/>
    <n v="10"/>
    <n v="5"/>
    <n v="22.732613533209634"/>
  </r>
  <r>
    <x v="330"/>
    <s v="SZA"/>
    <n v="1"/>
    <d v="2022-12-09T00:00:00"/>
    <n v="1911"/>
    <n v="0"/>
    <n v="23"/>
    <n v="71"/>
    <n v="14"/>
    <n v="0"/>
    <n v="9"/>
    <n v="272377463"/>
    <n v="145"/>
    <m/>
    <s v="Minor"/>
    <n v="70"/>
    <n v="34"/>
    <x v="2"/>
    <n v="55"/>
    <x v="0"/>
    <n v="43"/>
    <n v="0"/>
    <n v="16"/>
    <n v="6"/>
    <n v="94.027354727717039"/>
  </r>
  <r>
    <x v="331"/>
    <s v="Linkin Park"/>
    <n v="1"/>
    <d v="2003-03-24T00:00:00"/>
    <n v="20111"/>
    <n v="5"/>
    <n v="39"/>
    <n v="0"/>
    <n v="7341"/>
    <n v="0"/>
    <n v="0"/>
    <n v="1361425037"/>
    <n v="110"/>
    <s v="A"/>
    <s v="Major"/>
    <n v="50"/>
    <n v="24"/>
    <x v="2"/>
    <n v="86"/>
    <x v="0"/>
    <n v="0"/>
    <n v="0"/>
    <n v="64"/>
    <n v="4"/>
    <n v="74.524803861097837"/>
  </r>
  <r>
    <x v="332"/>
    <s v="Gorillaz, Bad Bunny"/>
    <n v="2"/>
    <d v="2023-02-24T00:00:00"/>
    <n v="1529"/>
    <n v="0"/>
    <n v="32"/>
    <n v="18"/>
    <n v="39"/>
    <n v="2"/>
    <n v="0"/>
    <n v="149778242"/>
    <n v="95"/>
    <m/>
    <s v="Major"/>
    <n v="64"/>
    <n v="30"/>
    <x v="2"/>
    <n v="77"/>
    <x v="0"/>
    <n v="46"/>
    <n v="0"/>
    <n v="38"/>
    <n v="6"/>
    <n v="80.172546296802892"/>
  </r>
  <r>
    <x v="333"/>
    <s v="j-hope, J. Cole"/>
    <n v="2"/>
    <d v="2023-03-03T00:00:00"/>
    <n v="615"/>
    <n v="2"/>
    <n v="22"/>
    <n v="82"/>
    <n v="8"/>
    <n v="0"/>
    <n v="9"/>
    <n v="116599790"/>
    <n v="94"/>
    <s v="B"/>
    <s v="Minor"/>
    <n v="68"/>
    <n v="81"/>
    <x v="0"/>
    <n v="82"/>
    <x v="0"/>
    <n v="53"/>
    <n v="0"/>
    <n v="9"/>
    <n v="13"/>
    <n v="59.284047136849594"/>
  </r>
  <r>
    <x v="334"/>
    <s v="Morgan Wallen"/>
    <n v="1"/>
    <d v="2022-12-02T00:00:00"/>
    <n v="811"/>
    <n v="4"/>
    <n v="11"/>
    <n v="58"/>
    <n v="5"/>
    <n v="0"/>
    <n v="21"/>
    <n v="148469433"/>
    <n v="142"/>
    <s v="G"/>
    <s v="Major"/>
    <n v="61"/>
    <n v="92"/>
    <x v="0"/>
    <n v="91"/>
    <x v="0"/>
    <n v="0"/>
    <n v="0"/>
    <n v="26"/>
    <n v="3"/>
    <n v="73.243222900726536"/>
  </r>
  <r>
    <x v="335"/>
    <s v="Robin Schulz, Oliver Tree"/>
    <n v="2"/>
    <d v="2022-08-05T00:00:00"/>
    <n v="5730"/>
    <n v="10"/>
    <n v="108"/>
    <n v="16"/>
    <n v="197"/>
    <n v="3"/>
    <n v="165"/>
    <n v="497225336"/>
    <n v="145"/>
    <s v="F#"/>
    <s v="Minor"/>
    <n v="59"/>
    <n v="20"/>
    <x v="2"/>
    <n v="74"/>
    <x v="0"/>
    <n v="1"/>
    <n v="0"/>
    <n v="15"/>
    <n v="5"/>
    <n v="63.505078164680938"/>
  </r>
  <r>
    <x v="336"/>
    <s v="Morgan Wallen"/>
    <n v="1"/>
    <d v="2023-03-03T00:00:00"/>
    <n v="356"/>
    <n v="4"/>
    <n v="4"/>
    <n v="20"/>
    <n v="0"/>
    <n v="0"/>
    <n v="0"/>
    <n v="88791109"/>
    <n v="121"/>
    <s v="F#"/>
    <s v="Minor"/>
    <n v="64"/>
    <n v="67"/>
    <x v="1"/>
    <n v="80"/>
    <x v="0"/>
    <n v="0"/>
    <n v="0"/>
    <n v="36"/>
    <n v="3"/>
    <n v="90.217747377792477"/>
  </r>
  <r>
    <x v="337"/>
    <s v="Morgan Wallen"/>
    <n v="1"/>
    <d v="2023-03-03T00:00:00"/>
    <n v="604"/>
    <n v="6"/>
    <n v="22"/>
    <n v="101"/>
    <n v="0"/>
    <n v="0"/>
    <n v="66"/>
    <n v="125917280"/>
    <n v="140"/>
    <s v="D#"/>
    <s v="Minor"/>
    <n v="66"/>
    <n v="43"/>
    <x v="1"/>
    <n v="76"/>
    <x v="0"/>
    <n v="49"/>
    <n v="0"/>
    <n v="12"/>
    <n v="3"/>
    <n v="26.768668271955743"/>
  </r>
  <r>
    <x v="338"/>
    <s v="Don Toliver, Future, Justin Bieber"/>
    <n v="3"/>
    <d v="2023-02-23T00:00:00"/>
    <n v="1190"/>
    <n v="0"/>
    <n v="29"/>
    <n v="3"/>
    <n v="18"/>
    <n v="0"/>
    <n v="19"/>
    <n v="105062254"/>
    <n v="137"/>
    <s v="C#"/>
    <s v="Minor"/>
    <n v="84"/>
    <n v="44"/>
    <x v="1"/>
    <n v="67"/>
    <x v="0"/>
    <n v="8"/>
    <n v="0"/>
    <n v="11"/>
    <n v="6"/>
    <n v="31.598956130516576"/>
  </r>
  <r>
    <x v="339"/>
    <s v="Morgan Wallen"/>
    <n v="1"/>
    <d v="2023-01-31T00:00:00"/>
    <n v="579"/>
    <n v="0"/>
    <n v="11"/>
    <n v="54"/>
    <n v="0"/>
    <n v="0"/>
    <n v="103"/>
    <n v="95623148"/>
    <n v="104"/>
    <s v="G#"/>
    <s v="Major"/>
    <n v="56"/>
    <n v="72"/>
    <x v="0"/>
    <n v="85"/>
    <x v="0"/>
    <n v="0"/>
    <n v="0"/>
    <n v="15"/>
    <n v="3"/>
    <n v="89.248462747181705"/>
  </r>
  <r>
    <x v="340"/>
    <s v="Niall Horan"/>
    <n v="1"/>
    <d v="2023-02-17T00:00:00"/>
    <n v="1553"/>
    <n v="2"/>
    <n v="61"/>
    <n v="6"/>
    <n v="48"/>
    <n v="0"/>
    <n v="150"/>
    <n v="144584800"/>
    <n v="92"/>
    <s v="F"/>
    <s v="Major"/>
    <n v="57"/>
    <n v="68"/>
    <x v="1"/>
    <n v="76"/>
    <x v="0"/>
    <n v="7"/>
    <n v="0"/>
    <n v="33"/>
    <n v="3"/>
    <n v="67.415677257932586"/>
  </r>
  <r>
    <x v="341"/>
    <s v="Central Cee"/>
    <n v="1"/>
    <d v="2022-12-15T00:00:00"/>
    <n v="2301"/>
    <n v="20"/>
    <n v="49"/>
    <n v="23"/>
    <n v="110"/>
    <n v="0"/>
    <n v="8"/>
    <n v="298063749"/>
    <n v="146"/>
    <s v="D"/>
    <s v="Minor"/>
    <n v="74"/>
    <n v="51"/>
    <x v="1"/>
    <n v="45"/>
    <x v="1"/>
    <n v="86"/>
    <n v="0"/>
    <n v="21"/>
    <n v="38"/>
    <n v="51.0991995890098"/>
  </r>
  <r>
    <x v="342"/>
    <s v="Mahalini"/>
    <n v="1"/>
    <d v="2023-01-23T00:00:00"/>
    <n v="134"/>
    <n v="4"/>
    <n v="4"/>
    <n v="6"/>
    <n v="0"/>
    <n v="0"/>
    <n v="23"/>
    <n v="166570053"/>
    <n v="120"/>
    <s v="D"/>
    <s v="Major"/>
    <n v="56"/>
    <n v="20"/>
    <x v="2"/>
    <n v="43"/>
    <x v="1"/>
    <n v="89"/>
    <n v="0"/>
    <n v="12"/>
    <n v="4"/>
    <n v="49.96085575683302"/>
  </r>
  <r>
    <x v="343"/>
    <s v="Morgan Wallen"/>
    <n v="1"/>
    <d v="2023-01-31T00:00:00"/>
    <n v="430"/>
    <n v="0"/>
    <n v="15"/>
    <n v="17"/>
    <n v="0"/>
    <n v="0"/>
    <n v="0"/>
    <n v="83021468"/>
    <n v="144"/>
    <s v="D"/>
    <s v="Major"/>
    <n v="68"/>
    <n v="83"/>
    <x v="0"/>
    <n v="81"/>
    <x v="0"/>
    <n v="9"/>
    <n v="0"/>
    <n v="8"/>
    <n v="4"/>
    <n v="12.065428823122881"/>
  </r>
  <r>
    <x v="344"/>
    <s v="Arijit Singh, Sachin-Jigar"/>
    <n v="2"/>
    <d v="2022-11-05T00:00:00"/>
    <n v="86"/>
    <n v="0"/>
    <n v="11"/>
    <n v="101"/>
    <n v="0"/>
    <n v="0"/>
    <n v="48"/>
    <n v="139836056"/>
    <n v="94"/>
    <s v="A"/>
    <s v="Major"/>
    <n v="59"/>
    <n v="44"/>
    <x v="1"/>
    <n v="56"/>
    <x v="0"/>
    <n v="80"/>
    <n v="0"/>
    <n v="6"/>
    <n v="3"/>
    <n v="21.85122441591254"/>
  </r>
  <r>
    <x v="345"/>
    <s v="ThxSoMch"/>
    <n v="1"/>
    <d v="2022-10-31T00:00:00"/>
    <n v="629"/>
    <n v="14"/>
    <n v="32"/>
    <n v="3"/>
    <n v="9"/>
    <n v="0"/>
    <n v="0"/>
    <n v="303216294"/>
    <n v="94"/>
    <s v="G#"/>
    <s v="Major"/>
    <n v="73"/>
    <n v="65"/>
    <x v="1"/>
    <n v="79"/>
    <x v="0"/>
    <n v="5"/>
    <n v="2"/>
    <n v="11"/>
    <n v="6"/>
    <n v="7.721853739611884"/>
  </r>
  <r>
    <x v="346"/>
    <s v="Myke Towers, Quevedo"/>
    <n v="2"/>
    <d v="2022-12-15T00:00:00"/>
    <n v="1701"/>
    <n v="15"/>
    <n v="30"/>
    <n v="15"/>
    <n v="34"/>
    <n v="2"/>
    <n v="47"/>
    <n v="221409663"/>
    <n v="113"/>
    <s v="G"/>
    <s v="Minor"/>
    <n v="79"/>
    <n v="66"/>
    <x v="1"/>
    <n v="74"/>
    <x v="0"/>
    <n v="8"/>
    <n v="0"/>
    <n v="11"/>
    <n v="5"/>
    <n v="5.0526164766662385"/>
  </r>
  <r>
    <x v="347"/>
    <s v="Morgan Wallen, Eric Church"/>
    <n v="2"/>
    <d v="2023-03-03T00:00:00"/>
    <n v="329"/>
    <n v="0"/>
    <n v="14"/>
    <n v="35"/>
    <n v="1"/>
    <n v="0"/>
    <n v="0"/>
    <n v="58890931"/>
    <n v="148"/>
    <s v="E"/>
    <s v="Major"/>
    <n v="50"/>
    <n v="49"/>
    <x v="1"/>
    <n v="76"/>
    <x v="0"/>
    <n v="12"/>
    <n v="0"/>
    <n v="12"/>
    <n v="3"/>
    <n v="92.687785895003955"/>
  </r>
  <r>
    <x v="348"/>
    <s v="Nicki Minaj"/>
    <n v="1"/>
    <d v="2023-03-03T00:00:00"/>
    <n v="1168"/>
    <n v="0"/>
    <n v="45"/>
    <n v="11"/>
    <n v="20"/>
    <n v="0"/>
    <n v="21"/>
    <n v="81419389"/>
    <n v="98"/>
    <s v="C#"/>
    <s v="Major"/>
    <n v="70"/>
    <n v="29"/>
    <x v="2"/>
    <n v="73"/>
    <x v="0"/>
    <n v="12"/>
    <n v="0"/>
    <n v="11"/>
    <n v="26"/>
    <n v="25.104402914825151"/>
  </r>
  <r>
    <x v="349"/>
    <s v="Kaifi Khalil"/>
    <n v="1"/>
    <d v="2022-05-31T00:00:00"/>
    <n v="162"/>
    <n v="6"/>
    <n v="1"/>
    <n v="10"/>
    <n v="1"/>
    <n v="0"/>
    <n v="1"/>
    <n v="156777415"/>
    <n v="140"/>
    <s v="B"/>
    <s v="Major"/>
    <n v="58"/>
    <n v="26"/>
    <x v="2"/>
    <n v="38"/>
    <x v="1"/>
    <n v="91"/>
    <n v="0"/>
    <n v="10"/>
    <n v="4"/>
    <n v="77.193906743529084"/>
  </r>
  <r>
    <x v="350"/>
    <s v="SZA"/>
    <n v="1"/>
    <d v="2022-12-09T00:00:00"/>
    <n v="2536"/>
    <n v="6"/>
    <n v="59"/>
    <n v="100"/>
    <n v="58"/>
    <n v="13"/>
    <n v="2"/>
    <n v="284908316"/>
    <n v="100"/>
    <s v="G"/>
    <s v="Major"/>
    <n v="36"/>
    <n v="28"/>
    <x v="2"/>
    <n v="28"/>
    <x v="1"/>
    <n v="81"/>
    <n v="0"/>
    <n v="18"/>
    <n v="3"/>
    <n v="73.941384275266117"/>
  </r>
  <r>
    <x v="351"/>
    <s v="Karol G, Quevedo"/>
    <n v="2"/>
    <d v="2023-02-23T00:00:00"/>
    <n v="387"/>
    <n v="11"/>
    <n v="11"/>
    <n v="15"/>
    <n v="14"/>
    <n v="3"/>
    <n v="1"/>
    <n v="93438910"/>
    <n v="140"/>
    <s v="F#"/>
    <s v="Major"/>
    <n v="86"/>
    <n v="68"/>
    <x v="1"/>
    <n v="79"/>
    <x v="0"/>
    <n v="39"/>
    <n v="0"/>
    <n v="11"/>
    <n v="29"/>
    <n v="47.774401162684995"/>
  </r>
  <r>
    <x v="352"/>
    <s v="NewJeans"/>
    <n v="1"/>
    <d v="2022-08-01T00:00:00"/>
    <n v="892"/>
    <n v="17"/>
    <n v="20"/>
    <n v="119"/>
    <n v="12"/>
    <n v="2"/>
    <n v="7"/>
    <n v="363472647"/>
    <n v="100"/>
    <s v="E"/>
    <s v="Minor"/>
    <n v="59"/>
    <n v="78"/>
    <x v="0"/>
    <n v="94"/>
    <x v="0"/>
    <n v="27"/>
    <n v="0"/>
    <n v="29"/>
    <n v="23"/>
    <n v="94.137955176409037"/>
  </r>
  <r>
    <x v="353"/>
    <s v="Lady Gaga"/>
    <n v="1"/>
    <d v="2011-01-01T00:00:00"/>
    <n v="3909"/>
    <n v="0"/>
    <n v="66"/>
    <n v="26"/>
    <n v="277"/>
    <n v="3"/>
    <n v="734"/>
    <n v="372476382"/>
    <n v="100"/>
    <s v="A"/>
    <s v="Minor"/>
    <n v="59"/>
    <n v="49"/>
    <x v="1"/>
    <n v="65"/>
    <x v="0"/>
    <n v="2"/>
    <n v="0"/>
    <n v="13"/>
    <n v="3"/>
    <n v="60.36979038385347"/>
  </r>
  <r>
    <x v="354"/>
    <s v="Ozuna, Shakira"/>
    <n v="2"/>
    <d v="2022-10-19T00:00:00"/>
    <n v="3645"/>
    <n v="15"/>
    <n v="118"/>
    <n v="34"/>
    <n v="150"/>
    <n v="4"/>
    <n v="19"/>
    <n v="380726517"/>
    <n v="132"/>
    <m/>
    <s v="Minor"/>
    <n v="87"/>
    <n v="82"/>
    <x v="0"/>
    <n v="70"/>
    <x v="0"/>
    <n v="42"/>
    <n v="0"/>
    <n v="21"/>
    <n v="5"/>
    <n v="99.475634230292272"/>
  </r>
  <r>
    <x v="355"/>
    <s v="Morgan Wallen"/>
    <n v="1"/>
    <d v="2023-03-03T00:00:00"/>
    <n v="282"/>
    <n v="0"/>
    <n v="6"/>
    <n v="15"/>
    <n v="0"/>
    <n v="0"/>
    <n v="0"/>
    <n v="56533272"/>
    <n v="142"/>
    <s v="D"/>
    <s v="Major"/>
    <n v="49"/>
    <n v="48"/>
    <x v="1"/>
    <n v="67"/>
    <x v="0"/>
    <n v="10"/>
    <n v="0"/>
    <n v="26"/>
    <n v="3"/>
    <n v="88.155489595061169"/>
  </r>
  <r>
    <x v="356"/>
    <s v="Quevedo"/>
    <n v="1"/>
    <d v="2023-01-20T00:00:00"/>
    <n v="888"/>
    <n v="22"/>
    <n v="11"/>
    <n v="24"/>
    <n v="7"/>
    <n v="1"/>
    <n v="7"/>
    <n v="175399345"/>
    <n v="176"/>
    <s v="E"/>
    <s v="Minor"/>
    <n v="72"/>
    <n v="96"/>
    <x v="0"/>
    <n v="63"/>
    <x v="0"/>
    <n v="25"/>
    <n v="0"/>
    <n v="21"/>
    <n v="7"/>
    <n v="77.563876085928115"/>
  </r>
  <r>
    <x v="357"/>
    <s v="Morgan Wallen"/>
    <n v="1"/>
    <d v="2022-05-06T00:00:00"/>
    <n v="968"/>
    <n v="4"/>
    <n v="16"/>
    <n v="53"/>
    <n v="1"/>
    <n v="0"/>
    <n v="61"/>
    <n v="203221468"/>
    <n v="140"/>
    <s v="F#"/>
    <s v="Major"/>
    <n v="53"/>
    <n v="51"/>
    <x v="1"/>
    <n v="70"/>
    <x v="0"/>
    <n v="49"/>
    <n v="0"/>
    <n v="14"/>
    <n v="3"/>
    <n v="82.874607040545072"/>
  </r>
  <r>
    <x v="358"/>
    <s v="Linkin Park"/>
    <n v="1"/>
    <d v="2000-10-24T00:00:00"/>
    <n v="25065"/>
    <n v="6"/>
    <n v="63"/>
    <n v="0"/>
    <n v="6808"/>
    <n v="2"/>
    <n v="0"/>
    <n v="1624165576"/>
    <n v="105"/>
    <s v="D#"/>
    <s v="Minor"/>
    <n v="55"/>
    <n v="40"/>
    <x v="1"/>
    <n v="90"/>
    <x v="0"/>
    <n v="1"/>
    <n v="0"/>
    <n v="32"/>
    <n v="6"/>
    <n v="66.061143413907871"/>
  </r>
  <r>
    <x v="359"/>
    <s v="Leo Santana"/>
    <n v="1"/>
    <d v="2022-12-08T00:00:00"/>
    <n v="531"/>
    <n v="4"/>
    <n v="20"/>
    <n v="1"/>
    <n v="71"/>
    <n v="2"/>
    <n v="0"/>
    <n v="134294498"/>
    <n v="135"/>
    <s v="F"/>
    <s v="Major"/>
    <n v="81"/>
    <n v="97"/>
    <x v="0"/>
    <n v="77"/>
    <x v="0"/>
    <n v="75"/>
    <n v="0"/>
    <n v="35"/>
    <n v="3"/>
    <n v="94.703073205173652"/>
  </r>
  <r>
    <x v="360"/>
    <s v="Treyce"/>
    <n v="1"/>
    <d v="2022-07-28T00:00:00"/>
    <n v="242"/>
    <n v="0"/>
    <n v="12"/>
    <n v="2"/>
    <n v="13"/>
    <n v="0"/>
    <n v="4"/>
    <n v="70069745"/>
    <n v="128"/>
    <s v="E"/>
    <s v="Minor"/>
    <n v="82"/>
    <n v="61"/>
    <x v="1"/>
    <n v="59"/>
    <x v="0"/>
    <n v="30"/>
    <n v="0"/>
    <n v="12"/>
    <n v="4"/>
    <n v="55.8357522171978"/>
  </r>
  <r>
    <x v="361"/>
    <s v="Post Malone, Doja Cat"/>
    <n v="2"/>
    <d v="2022-06-03T00:00:00"/>
    <n v="5281"/>
    <n v="14"/>
    <n v="94"/>
    <n v="21"/>
    <n v="80"/>
    <n v="15"/>
    <n v="38"/>
    <n v="609293408"/>
    <n v="101"/>
    <s v="F"/>
    <s v="Major"/>
    <n v="74"/>
    <n v="43"/>
    <x v="1"/>
    <n v="69"/>
    <x v="0"/>
    <n v="12"/>
    <n v="0"/>
    <n v="12"/>
    <n v="7"/>
    <n v="59.942680667038893"/>
  </r>
  <r>
    <x v="362"/>
    <s v="Bad Bunny"/>
    <n v="1"/>
    <d v="2022-05-06T00:00:00"/>
    <n v="2590"/>
    <n v="30"/>
    <n v="20"/>
    <n v="64"/>
    <n v="35"/>
    <n v="6"/>
    <n v="0"/>
    <n v="671365962"/>
    <n v="122"/>
    <s v="A#"/>
    <s v="Major"/>
    <n v="88"/>
    <n v="43"/>
    <x v="1"/>
    <n v="50"/>
    <x v="1"/>
    <n v="7"/>
    <n v="0"/>
    <n v="14"/>
    <n v="5"/>
    <n v="81.508620170866763"/>
  </r>
  <r>
    <x v="363"/>
    <s v="Quevedo"/>
    <n v="1"/>
    <d v="2022-09-08T00:00:00"/>
    <n v="1769"/>
    <n v="34"/>
    <n v="16"/>
    <n v="19"/>
    <n v="21"/>
    <n v="3"/>
    <n v="4"/>
    <n v="362361576"/>
    <n v="105"/>
    <m/>
    <s v="Minor"/>
    <n v="76"/>
    <n v="49"/>
    <x v="1"/>
    <n v="56"/>
    <x v="0"/>
    <n v="80"/>
    <n v="12"/>
    <n v="10"/>
    <n v="13"/>
    <n v="69.832606924563677"/>
  </r>
  <r>
    <x v="364"/>
    <s v="MC Xenon, Os Gemeos da Putaria"/>
    <n v="2"/>
    <d v="2022-12-23T00:00:00"/>
    <n v="454"/>
    <n v="4"/>
    <n v="6"/>
    <n v="1"/>
    <n v="21"/>
    <n v="0"/>
    <n v="1"/>
    <n v="93587665"/>
    <n v="83"/>
    <s v="C#"/>
    <s v="Major"/>
    <n v="53"/>
    <n v="40"/>
    <x v="1"/>
    <n v="36"/>
    <x v="1"/>
    <n v="73"/>
    <n v="0"/>
    <n v="11"/>
    <n v="33"/>
    <n v="76.600559113810093"/>
  </r>
  <r>
    <x v="365"/>
    <s v="Imagine Dragons, League of Legends, JID, Arcane"/>
    <n v="4"/>
    <d v="2021-09-03T00:00:00"/>
    <n v="6180"/>
    <n v="7"/>
    <n v="122"/>
    <n v="88"/>
    <n v="580"/>
    <n v="21"/>
    <n v="10"/>
    <n v="1223481149"/>
    <n v="77"/>
    <s v="B"/>
    <s v="Minor"/>
    <n v="72"/>
    <n v="59"/>
    <x v="1"/>
    <n v="76"/>
    <x v="0"/>
    <n v="24"/>
    <n v="0"/>
    <n v="42"/>
    <n v="28"/>
    <n v="79.802524155260173"/>
  </r>
  <r>
    <x v="366"/>
    <s v="XXXTENTACION"/>
    <n v="1"/>
    <d v="2017-08-25T00:00:00"/>
    <n v="3600"/>
    <n v="11"/>
    <n v="7"/>
    <n v="0"/>
    <n v="203"/>
    <n v="0"/>
    <n v="2"/>
    <n v="1022258230"/>
    <n v="140"/>
    <s v="B"/>
    <s v="Minor"/>
    <n v="75"/>
    <n v="18"/>
    <x v="2"/>
    <n v="25"/>
    <x v="1"/>
    <n v="78"/>
    <n v="0"/>
    <n v="11"/>
    <n v="26"/>
    <n v="72.145438952860772"/>
  </r>
  <r>
    <x v="367"/>
    <s v="Israel &amp; Rodolffo, Ana Castela"/>
    <n v="2"/>
    <d v="2022-11-03T00:00:00"/>
    <n v="1254"/>
    <n v="6"/>
    <n v="26"/>
    <n v="69"/>
    <n v="73"/>
    <n v="2"/>
    <n v="6"/>
    <n v="263453310"/>
    <n v="158"/>
    <s v="C#"/>
    <s v="Major"/>
    <n v="65"/>
    <n v="72"/>
    <x v="0"/>
    <n v="95"/>
    <x v="0"/>
    <n v="31"/>
    <n v="0"/>
    <n v="92"/>
    <n v="5"/>
    <n v="57.729950836769106"/>
  </r>
  <r>
    <x v="368"/>
    <s v="J Balvin, Bad Bunny"/>
    <n v="2"/>
    <d v="2019-06-28T00:00:00"/>
    <n v="6398"/>
    <n v="31"/>
    <n v="177"/>
    <n v="109"/>
    <n v="305"/>
    <n v="3"/>
    <n v="5"/>
    <n v="1435127549"/>
    <n v="176"/>
    <s v="G"/>
    <s v="Major"/>
    <n v="75"/>
    <n v="43"/>
    <x v="1"/>
    <n v="65"/>
    <x v="0"/>
    <n v="15"/>
    <n v="0"/>
    <n v="11"/>
    <n v="32"/>
    <n v="13.180104838504125"/>
  </r>
  <r>
    <x v="369"/>
    <s v="Yuridia, Angela Aguilar"/>
    <n v="2"/>
    <d v="2022-10-20T00:00:00"/>
    <n v="660"/>
    <n v="15"/>
    <n v="19"/>
    <n v="59"/>
    <n v="18"/>
    <n v="5"/>
    <n v="52"/>
    <n v="236857112"/>
    <n v="98"/>
    <s v="B"/>
    <s v="Major"/>
    <n v="73"/>
    <n v="88"/>
    <x v="0"/>
    <n v="57"/>
    <x v="0"/>
    <n v="56"/>
    <n v="0"/>
    <n v="5"/>
    <n v="2"/>
    <n v="22.017499581100619"/>
  </r>
  <r>
    <x v="370"/>
    <s v="The Kid Laroi"/>
    <n v="1"/>
    <d v="2023-01-27T00:00:00"/>
    <n v="1283"/>
    <n v="0"/>
    <n v="57"/>
    <n v="4"/>
    <n v="48"/>
    <n v="0"/>
    <n v="0"/>
    <n v="147538971"/>
    <n v="107"/>
    <s v="B"/>
    <s v="Minor"/>
    <n v="66"/>
    <n v="47"/>
    <x v="1"/>
    <n v="40"/>
    <x v="1"/>
    <n v="72"/>
    <n v="0"/>
    <n v="11"/>
    <n v="3"/>
    <n v="21.047890905182143"/>
  </r>
  <r>
    <x v="371"/>
    <s v="The Weeknd"/>
    <n v="1"/>
    <d v="2020-02-19T00:00:00"/>
    <n v="8084"/>
    <n v="6"/>
    <n v="45"/>
    <n v="115"/>
    <n v="218"/>
    <n v="1"/>
    <n v="221"/>
    <n v="698086140"/>
    <n v="109"/>
    <s v="F"/>
    <s v="Minor"/>
    <n v="66"/>
    <n v="16"/>
    <x v="2"/>
    <n v="57"/>
    <x v="0"/>
    <n v="10"/>
    <n v="1"/>
    <n v="12"/>
    <n v="3"/>
    <n v="50.401662308530483"/>
  </r>
  <r>
    <x v="372"/>
    <s v="Lizzo"/>
    <n v="1"/>
    <d v="2022-07-15T00:00:00"/>
    <n v="2332"/>
    <n v="2"/>
    <n v="0"/>
    <n v="0"/>
    <n v="25"/>
    <n v="0"/>
    <n v="0"/>
    <n v="723894473"/>
    <n v="109"/>
    <s v="A#"/>
    <s v="Minor"/>
    <n v="84"/>
    <n v="72"/>
    <x v="0"/>
    <n v="74"/>
    <x v="0"/>
    <n v="10"/>
    <n v="0"/>
    <n v="34"/>
    <n v="7"/>
    <n v="44.515989740687147"/>
  </r>
  <r>
    <x v="373"/>
    <s v="Morgan Wallen"/>
    <n v="1"/>
    <d v="2023-03-03T00:00:00"/>
    <n v="203"/>
    <n v="0"/>
    <n v="5"/>
    <n v="9"/>
    <n v="0"/>
    <n v="0"/>
    <n v="0"/>
    <n v="34450974"/>
    <n v="148"/>
    <m/>
    <s v="Major"/>
    <n v="53"/>
    <n v="61"/>
    <x v="1"/>
    <n v="81"/>
    <x v="0"/>
    <n v="5"/>
    <n v="0"/>
    <n v="36"/>
    <n v="4"/>
    <n v="21.09399080661828"/>
  </r>
  <r>
    <x v="374"/>
    <s v="Fujii Kaze"/>
    <n v="1"/>
    <d v="2020-05-20T00:00:00"/>
    <n v="685"/>
    <n v="14"/>
    <n v="24"/>
    <n v="94"/>
    <n v="9"/>
    <n v="0"/>
    <n v="23"/>
    <n v="403097450"/>
    <n v="158"/>
    <s v="F#"/>
    <s v="Minor"/>
    <n v="60"/>
    <n v="52"/>
    <x v="1"/>
    <n v="76"/>
    <x v="0"/>
    <n v="17"/>
    <n v="0"/>
    <n v="19"/>
    <n v="5"/>
    <n v="71.808264581711924"/>
  </r>
  <r>
    <x v="375"/>
    <s v="Wisin &amp; Yandel, ROSAL√Ø¬ø¬Ω"/>
    <n v="2"/>
    <d v="2022-09-29T00:00:00"/>
    <n v="2460"/>
    <n v="13"/>
    <n v="53"/>
    <n v="7"/>
    <n v="56"/>
    <n v="3"/>
    <n v="1"/>
    <n v="309483971"/>
    <n v="94"/>
    <s v="F"/>
    <s v="Minor"/>
    <n v="74"/>
    <n v="64"/>
    <x v="1"/>
    <n v="73"/>
    <x v="0"/>
    <n v="6"/>
    <n v="0"/>
    <n v="10"/>
    <n v="6"/>
    <n v="89.710051153835053"/>
  </r>
  <r>
    <x v="376"/>
    <s v="King"/>
    <n v="1"/>
    <d v="2022-10-12T00:00:00"/>
    <n v="288"/>
    <n v="6"/>
    <n v="11"/>
    <n v="80"/>
    <n v="1"/>
    <n v="0"/>
    <n v="8"/>
    <n v="319566866"/>
    <n v="96"/>
    <s v="F#"/>
    <s v="Minor"/>
    <n v="70"/>
    <n v="40"/>
    <x v="1"/>
    <n v="51"/>
    <x v="0"/>
    <n v="35"/>
    <n v="0"/>
    <n v="10"/>
    <n v="4"/>
    <n v="95.135373310870065"/>
  </r>
  <r>
    <x v="377"/>
    <s v="Bad Bunny"/>
    <n v="1"/>
    <d v="2022-05-06T00:00:00"/>
    <n v="4572"/>
    <n v="33"/>
    <n v="74"/>
    <n v="113"/>
    <n v="85"/>
    <n v="9"/>
    <n v="2"/>
    <n v="909001996"/>
    <n v="100"/>
    <s v="F"/>
    <s v="Minor"/>
    <n v="80"/>
    <n v="29"/>
    <x v="2"/>
    <n v="67"/>
    <x v="0"/>
    <n v="29"/>
    <n v="0"/>
    <n v="12"/>
    <n v="3"/>
    <n v="93.594383075173781"/>
  </r>
  <r>
    <x v="378"/>
    <s v="Coldplay, BTS"/>
    <n v="2"/>
    <d v="2021-09-24T00:00:00"/>
    <n v="6127"/>
    <n v="13"/>
    <n v="0"/>
    <n v="0"/>
    <n v="0"/>
    <n v="0"/>
    <n v="0"/>
    <n v="1061966512"/>
    <n v="105"/>
    <s v="A"/>
    <s v="Major"/>
    <n v="58"/>
    <n v="42"/>
    <x v="1"/>
    <n v="68"/>
    <x v="0"/>
    <n v="1"/>
    <n v="0"/>
    <n v="14"/>
    <n v="4"/>
    <n v="12.809711851066918"/>
  </r>
  <r>
    <x v="379"/>
    <s v="Morgan Wallen"/>
    <n v="1"/>
    <d v="2023-03-03T00:00:00"/>
    <n v="166"/>
    <n v="0"/>
    <n v="2"/>
    <n v="10"/>
    <n v="0"/>
    <n v="0"/>
    <n v="0"/>
    <n v="32526947"/>
    <n v="125"/>
    <m/>
    <s v="Major"/>
    <n v="53"/>
    <n v="32"/>
    <x v="2"/>
    <n v="66"/>
    <x v="0"/>
    <n v="38"/>
    <n v="0"/>
    <n v="9"/>
    <n v="3"/>
    <n v="32.194224511516147"/>
  </r>
  <r>
    <x v="380"/>
    <s v="ROSAL√Ø¬ø¬Ω"/>
    <n v="1"/>
    <d v="2023-01-27T00:00:00"/>
    <n v="1838"/>
    <n v="0"/>
    <n v="105"/>
    <n v="41"/>
    <n v="114"/>
    <n v="1"/>
    <n v="59"/>
    <n v="124988687"/>
    <n v="170"/>
    <s v="F#"/>
    <s v="Minor"/>
    <n v="56"/>
    <n v="56"/>
    <x v="1"/>
    <n v="63"/>
    <x v="0"/>
    <n v="13"/>
    <n v="0"/>
    <n v="19"/>
    <n v="27"/>
    <n v="17.496912148080945"/>
  </r>
  <r>
    <x v="381"/>
    <s v="Sam Smith, Calvin Harris, Jessie Reyez"/>
    <n v="3"/>
    <d v="2023-01-27T00:00:00"/>
    <n v="1890"/>
    <n v="0"/>
    <n v="86"/>
    <n v="1"/>
    <n v="49"/>
    <n v="0"/>
    <n v="9"/>
    <n v="103787664"/>
    <n v="115"/>
    <m/>
    <s v="Major"/>
    <n v="70"/>
    <n v="84"/>
    <x v="0"/>
    <n v="90"/>
    <x v="0"/>
    <n v="17"/>
    <n v="0"/>
    <n v="41"/>
    <n v="6"/>
    <n v="59.04294821541356"/>
  </r>
  <r>
    <x v="382"/>
    <s v="P!nk"/>
    <n v="1"/>
    <d v="2023-01-27T00:00:00"/>
    <n v="2098"/>
    <n v="16"/>
    <n v="88"/>
    <n v="24"/>
    <n v="101"/>
    <n v="7"/>
    <n v="451"/>
    <n v="134255790"/>
    <n v="122"/>
    <s v="G#"/>
    <s v="Major"/>
    <n v="64"/>
    <n v="25"/>
    <x v="2"/>
    <n v="89"/>
    <x v="0"/>
    <n v="0"/>
    <n v="0"/>
    <n v="15"/>
    <n v="9"/>
    <n v="58.058200037919406"/>
  </r>
  <r>
    <x v="383"/>
    <s v="LE SSERAFIM"/>
    <n v="1"/>
    <d v="2022-10-17T00:00:00"/>
    <n v="761"/>
    <n v="12"/>
    <n v="23"/>
    <n v="95"/>
    <n v="11"/>
    <n v="0"/>
    <n v="3"/>
    <n v="301051721"/>
    <n v="105"/>
    <s v="A#"/>
    <s v="Minor"/>
    <n v="88"/>
    <n v="82"/>
    <x v="0"/>
    <n v="80"/>
    <x v="0"/>
    <n v="8"/>
    <n v="0"/>
    <n v="11"/>
    <n v="8"/>
    <n v="55.791117800557345"/>
  </r>
  <r>
    <x v="384"/>
    <s v="PinkPantheress"/>
    <n v="1"/>
    <d v="2022-11-30T00:00:00"/>
    <n v="1225"/>
    <n v="0"/>
    <n v="27"/>
    <n v="0"/>
    <n v="28"/>
    <n v="13"/>
    <n v="0"/>
    <n v="156338624"/>
    <n v="133"/>
    <s v="F"/>
    <s v="Major"/>
    <n v="66"/>
    <n v="74"/>
    <x v="0"/>
    <n v="84"/>
    <x v="0"/>
    <n v="25"/>
    <n v="0"/>
    <n v="21"/>
    <n v="4"/>
    <n v="28.288481092482588"/>
  </r>
  <r>
    <x v="385"/>
    <s v="TAEYANG, Jimin"/>
    <n v="2"/>
    <d v="2023-01-13T00:00:00"/>
    <n v="415"/>
    <n v="2"/>
    <n v="15"/>
    <n v="40"/>
    <n v="21"/>
    <n v="1"/>
    <n v="15"/>
    <n v="152850295"/>
    <n v="100"/>
    <m/>
    <s v="Major"/>
    <n v="79"/>
    <n v="60"/>
    <x v="1"/>
    <n v="68"/>
    <x v="0"/>
    <n v="7"/>
    <n v="0"/>
    <n v="26"/>
    <n v="4"/>
    <n v="2.5810446331000936"/>
  </r>
  <r>
    <x v="386"/>
    <s v="SZA"/>
    <n v="1"/>
    <d v="2022-10-28T00:00:00"/>
    <n v="3469"/>
    <n v="0"/>
    <n v="71"/>
    <n v="95"/>
    <n v="31"/>
    <n v="0"/>
    <n v="2"/>
    <n v="309653982"/>
    <n v="120"/>
    <s v="D#"/>
    <s v="Minor"/>
    <n v="82"/>
    <n v="55"/>
    <x v="1"/>
    <n v="45"/>
    <x v="1"/>
    <n v="15"/>
    <n v="3"/>
    <n v="9"/>
    <n v="10"/>
    <n v="92.148153592409514"/>
  </r>
  <r>
    <x v="387"/>
    <s v="Rihanna"/>
    <n v="1"/>
    <d v="2022-10-28T00:00:00"/>
    <n v="3311"/>
    <n v="0"/>
    <n v="129"/>
    <n v="31"/>
    <n v="212"/>
    <n v="1"/>
    <n v="41"/>
    <n v="297328960"/>
    <n v="177"/>
    <s v="A"/>
    <s v="Major"/>
    <n v="25"/>
    <n v="17"/>
    <x v="2"/>
    <n v="30"/>
    <x v="1"/>
    <n v="90"/>
    <n v="0"/>
    <n v="13"/>
    <n v="3"/>
    <n v="56.790488042252804"/>
  </r>
  <r>
    <x v="388"/>
    <s v="Lil Nas X"/>
    <n v="1"/>
    <d v="2022-09-22T00:00:00"/>
    <n v="2616"/>
    <n v="0"/>
    <n v="113"/>
    <n v="17"/>
    <n v="208"/>
    <n v="0"/>
    <n v="192"/>
    <n v="332506354"/>
    <n v="142"/>
    <s v="D"/>
    <s v="Minor"/>
    <n v="64"/>
    <n v="31"/>
    <x v="2"/>
    <n v="72"/>
    <x v="0"/>
    <n v="15"/>
    <n v="0"/>
    <n v="9"/>
    <n v="5"/>
    <n v="55.134611848878109"/>
  </r>
  <r>
    <x v="389"/>
    <s v="Beach Weather"/>
    <n v="1"/>
    <d v="2016-11-04T00:00:00"/>
    <n v="3006"/>
    <n v="16"/>
    <n v="47"/>
    <n v="60"/>
    <n v="87"/>
    <n v="12"/>
    <n v="124"/>
    <n v="480507035"/>
    <n v="144"/>
    <s v="E"/>
    <s v="Minor"/>
    <n v="57"/>
    <n v="47"/>
    <x v="1"/>
    <n v="84"/>
    <x v="0"/>
    <n v="1"/>
    <n v="1"/>
    <n v="52"/>
    <n v="4"/>
    <n v="40.505045210576405"/>
  </r>
  <r>
    <x v="390"/>
    <s v="Halsey, BTS"/>
    <n v="2"/>
    <d v="2019-04-12T00:00:00"/>
    <n v="4260"/>
    <n v="0"/>
    <n v="113"/>
    <n v="92"/>
    <n v="259"/>
    <n v="0"/>
    <n v="1"/>
    <n v="1065580332"/>
    <n v="120"/>
    <s v="B"/>
    <s v="Minor"/>
    <n v="65"/>
    <n v="80"/>
    <x v="0"/>
    <n v="86"/>
    <x v="0"/>
    <n v="9"/>
    <n v="0"/>
    <n v="19"/>
    <n v="10"/>
    <n v="22.713521754413502"/>
  </r>
  <r>
    <x v="391"/>
    <s v="Baby Tate"/>
    <n v="1"/>
    <d v="2016-09-27T00:00:00"/>
    <n v="482"/>
    <n v="0"/>
    <n v="9"/>
    <n v="1"/>
    <n v="12"/>
    <n v="4"/>
    <n v="3"/>
    <n v="122763672"/>
    <n v="135"/>
    <s v="D"/>
    <s v="Major"/>
    <n v="92"/>
    <n v="73"/>
    <x v="0"/>
    <n v="51"/>
    <x v="0"/>
    <n v="55"/>
    <n v="0"/>
    <n v="15"/>
    <n v="6"/>
    <n v="82.473303340037745"/>
  </r>
  <r>
    <x v="392"/>
    <s v="R√Ø¬ø¬Ω√Ø"/>
    <n v="1"/>
    <d v="2022-02-09T00:00:00"/>
    <n v="4013"/>
    <n v="10"/>
    <n v="107"/>
    <n v="44"/>
    <n v="750"/>
    <n v="22"/>
    <m/>
    <n v="445763624"/>
    <n v="107"/>
    <s v="B"/>
    <s v="Major"/>
    <n v="81"/>
    <n v="82"/>
    <x v="0"/>
    <n v="78"/>
    <x v="0"/>
    <n v="38"/>
    <n v="0"/>
    <n v="12"/>
    <n v="4"/>
    <n v="48.664957740276002"/>
  </r>
  <r>
    <x v="393"/>
    <s v="Arijit Singh, Vishal Dadlani, Sukriti Kakar, Vishal-Shekhar, Shekhar Ravjiani, Kumaar"/>
    <n v="6"/>
    <d v="2022-12-22T00:00:00"/>
    <n v="138"/>
    <n v="4"/>
    <n v="13"/>
    <n v="78"/>
    <n v="2"/>
    <n v="0"/>
    <n v="0"/>
    <n v="1365184"/>
    <n v="105"/>
    <s v="G"/>
    <s v="Major"/>
    <n v="82"/>
    <n v="62"/>
    <x v="1"/>
    <n v="74"/>
    <x v="0"/>
    <n v="10"/>
    <n v="0"/>
    <n v="33"/>
    <n v="7"/>
    <n v="39.315434057154576"/>
  </r>
  <r>
    <x v="394"/>
    <s v="RAYE, 070 Shake"/>
    <n v="2"/>
    <d v="2022-11-25T00:00:00"/>
    <n v="1368"/>
    <n v="0"/>
    <n v="12"/>
    <n v="1"/>
    <n v="11"/>
    <n v="0"/>
    <n v="8"/>
    <n v="184308753"/>
    <n v="108"/>
    <s v="F#"/>
    <s v="Minor"/>
    <n v="44"/>
    <n v="38"/>
    <x v="2"/>
    <n v="77"/>
    <x v="0"/>
    <n v="9"/>
    <n v="0"/>
    <n v="9"/>
    <n v="20"/>
    <n v="93.813036618634101"/>
  </r>
  <r>
    <x v="395"/>
    <s v="Beach House"/>
    <n v="1"/>
    <d v="2015-01-01T00:00:00"/>
    <n v="17852"/>
    <n v="4"/>
    <n v="69"/>
    <n v="76"/>
    <n v="335"/>
    <n v="0"/>
    <m/>
    <n v="789753877"/>
    <n v="147"/>
    <m/>
    <s v="Minor"/>
    <n v="51"/>
    <n v="62"/>
    <x v="1"/>
    <n v="79"/>
    <x v="0"/>
    <n v="22"/>
    <n v="13"/>
    <n v="14"/>
    <n v="3"/>
    <n v="49.167605616246526"/>
  </r>
  <r>
    <x v="396"/>
    <s v="BTS, Jung Kook, FIFA Sound"/>
    <n v="3"/>
    <d v="2022-11-20T00:00:00"/>
    <n v="889"/>
    <n v="20"/>
    <n v="11"/>
    <n v="78"/>
    <n v="35"/>
    <n v="0"/>
    <n v="21"/>
    <n v="323358833"/>
    <n v="115"/>
    <m/>
    <s v="Major"/>
    <n v="71"/>
    <n v="34"/>
    <x v="2"/>
    <n v="88"/>
    <x v="0"/>
    <n v="16"/>
    <n v="0"/>
    <n v="44"/>
    <n v="4"/>
    <n v="9.4913402314333872"/>
  </r>
  <r>
    <x v="397"/>
    <s v="Shakira, Rauw Alejandro"/>
    <n v="2"/>
    <d v="2022-04-21T00:00:00"/>
    <n v="4796"/>
    <n v="9"/>
    <n v="124"/>
    <n v="66"/>
    <n v="212"/>
    <n v="13"/>
    <n v="1"/>
    <n v="606361689"/>
    <n v="174"/>
    <s v="F"/>
    <s v="Major"/>
    <n v="70"/>
    <n v="57"/>
    <x v="1"/>
    <n v="64"/>
    <x v="0"/>
    <n v="23"/>
    <n v="0"/>
    <n v="8"/>
    <n v="32"/>
    <n v="1.5066298012079704"/>
  </r>
  <r>
    <x v="398"/>
    <s v="Steve Aoki, Tini, La Joaqui"/>
    <n v="3"/>
    <d v="2023-01-12T00:00:00"/>
    <n v="658"/>
    <n v="6"/>
    <n v="33"/>
    <n v="7"/>
    <n v="53"/>
    <n v="2"/>
    <n v="0"/>
    <n v="120972253"/>
    <n v="90"/>
    <s v="A#"/>
    <s v="Minor"/>
    <n v="68"/>
    <n v="83"/>
    <x v="0"/>
    <n v="71"/>
    <x v="0"/>
    <n v="3"/>
    <n v="0"/>
    <n v="31"/>
    <n v="8"/>
    <n v="36.605288359005783"/>
  </r>
  <r>
    <x v="399"/>
    <s v="Billie Eilish"/>
    <n v="1"/>
    <d v="2022-07-21T00:00:00"/>
    <n v="3009"/>
    <n v="2"/>
    <n v="68"/>
    <n v="89"/>
    <n v="65"/>
    <n v="0"/>
    <n v="25"/>
    <n v="338564981"/>
    <n v="141"/>
    <s v="E"/>
    <s v="Minor"/>
    <n v="41"/>
    <n v="9"/>
    <x v="2"/>
    <n v="25"/>
    <x v="1"/>
    <n v="84"/>
    <n v="1"/>
    <n v="14"/>
    <n v="4"/>
    <n v="45.421057168837883"/>
  </r>
  <r>
    <x v="400"/>
    <s v="Sam Smith"/>
    <n v="1"/>
    <d v="2014-01-01T00:00:00"/>
    <n v="17492"/>
    <n v="3"/>
    <n v="136"/>
    <n v="24"/>
    <n v="1959"/>
    <n v="0"/>
    <n v="30"/>
    <n v="1606986953"/>
    <n v="82"/>
    <s v="F"/>
    <s v="Major"/>
    <n v="68"/>
    <n v="50"/>
    <x v="1"/>
    <n v="49"/>
    <x v="1"/>
    <n v="56"/>
    <n v="0"/>
    <n v="8"/>
    <n v="4"/>
    <n v="59.467981197255504"/>
  </r>
  <r>
    <x v="401"/>
    <s v="Conan Gray"/>
    <n v="1"/>
    <d v="2020-03-20T00:00:00"/>
    <n v="6170"/>
    <n v="7"/>
    <n v="82"/>
    <n v="1"/>
    <n v="231"/>
    <n v="0"/>
    <n v="2"/>
    <n v="1301799902"/>
    <n v="92"/>
    <s v="F"/>
    <s v="Major"/>
    <n v="47"/>
    <n v="25"/>
    <x v="2"/>
    <n v="43"/>
    <x v="1"/>
    <n v="62"/>
    <n v="0"/>
    <n v="32"/>
    <n v="3"/>
    <n v="91.172830858348448"/>
  </r>
  <r>
    <x v="402"/>
    <s v="Vishal-Shekhar, Shilpa Rao, Caralisa Monteiro, Kumaar, Vishal Dadlani, Shekhar Ravjiani"/>
    <n v="6"/>
    <d v="2022-12-12T00:00:00"/>
    <n v="130"/>
    <n v="4"/>
    <n v="21"/>
    <n v="79"/>
    <n v="2"/>
    <n v="0"/>
    <n v="0"/>
    <n v="140187018"/>
    <n v="116"/>
    <s v="G#"/>
    <s v="Minor"/>
    <n v="77"/>
    <n v="65"/>
    <x v="1"/>
    <n v="80"/>
    <x v="0"/>
    <n v="6"/>
    <n v="0"/>
    <n v="15"/>
    <n v="4"/>
    <n v="16.535508416329925"/>
  </r>
  <r>
    <x v="403"/>
    <s v="Calvin Harris, Dua Lipa"/>
    <n v="2"/>
    <d v="2017-06-02T00:00:00"/>
    <n v="27705"/>
    <n v="10"/>
    <n v="537"/>
    <n v="122"/>
    <n v="2726"/>
    <n v="6"/>
    <m/>
    <n v="1897517891"/>
    <n v="124"/>
    <s v="A"/>
    <s v="Minor"/>
    <n v="79"/>
    <n v="59"/>
    <x v="1"/>
    <n v="86"/>
    <x v="0"/>
    <n v="4"/>
    <n v="0"/>
    <n v="8"/>
    <n v="11"/>
    <n v="59.1835136495664"/>
  </r>
  <r>
    <x v="404"/>
    <s v="TOMORROW X TOGETHER"/>
    <n v="1"/>
    <d v="2023-01-27T00:00:00"/>
    <n v="359"/>
    <n v="0"/>
    <n v="12"/>
    <n v="56"/>
    <n v="13"/>
    <n v="0"/>
    <n v="13"/>
    <n v="107642809"/>
    <n v="125"/>
    <s v="A#"/>
    <s v="Minor"/>
    <n v="71"/>
    <n v="83"/>
    <x v="0"/>
    <n v="89"/>
    <x v="0"/>
    <n v="1"/>
    <n v="0"/>
    <n v="17"/>
    <n v="9"/>
    <n v="75.321544590566461"/>
  </r>
  <r>
    <x v="405"/>
    <s v="BLACKPINK"/>
    <n v="1"/>
    <d v="2022-08-19T00:00:00"/>
    <n v="1963"/>
    <n v="16"/>
    <n v="57"/>
    <n v="119"/>
    <n v="77"/>
    <n v="1"/>
    <n v="13"/>
    <n v="551305895"/>
    <n v="90"/>
    <m/>
    <s v="Major"/>
    <n v="80"/>
    <n v="71"/>
    <x v="0"/>
    <n v="69"/>
    <x v="0"/>
    <n v="2"/>
    <n v="0"/>
    <n v="27"/>
    <n v="10"/>
    <n v="82.384109429782271"/>
  </r>
  <r>
    <x v="406"/>
    <s v="Drake, Future, Tems"/>
    <n v="3"/>
    <d v="2022-04-27T00:00:00"/>
    <n v="5491"/>
    <n v="14"/>
    <n v="128"/>
    <n v="84"/>
    <n v="75"/>
    <n v="0"/>
    <n v="35"/>
    <n v="556585270"/>
    <n v="83"/>
    <s v="C#"/>
    <s v="Major"/>
    <n v="46"/>
    <n v="34"/>
    <x v="2"/>
    <n v="64"/>
    <x v="0"/>
    <n v="31"/>
    <n v="0"/>
    <n v="7"/>
    <n v="34"/>
    <n v="66.961798342711759"/>
  </r>
  <r>
    <x v="407"/>
    <s v="Dua Lipa"/>
    <n v="1"/>
    <d v="2019-10-31T00:00:00"/>
    <n v="27119"/>
    <n v="0"/>
    <n v="532"/>
    <n v="77"/>
    <n v="1535"/>
    <n v="3"/>
    <n v="8"/>
    <n v="2303033973"/>
    <n v="124"/>
    <s v="B"/>
    <s v="Minor"/>
    <n v="79"/>
    <n v="68"/>
    <x v="1"/>
    <n v="79"/>
    <x v="0"/>
    <n v="1"/>
    <n v="0"/>
    <n v="10"/>
    <n v="8"/>
    <n v="43.939520157821491"/>
  </r>
  <r>
    <x v="408"/>
    <s v="Mr.Kitty"/>
    <n v="1"/>
    <d v="2014-08-08T00:00:00"/>
    <n v="1776"/>
    <n v="14"/>
    <n v="1"/>
    <n v="9"/>
    <n v="3"/>
    <n v="0"/>
    <n v="0"/>
    <n v="646886885"/>
    <n v="140"/>
    <s v="G#"/>
    <s v="Major"/>
    <n v="58"/>
    <n v="4"/>
    <x v="2"/>
    <n v="60"/>
    <x v="0"/>
    <n v="7"/>
    <n v="41"/>
    <n v="8"/>
    <n v="3"/>
    <n v="61.377774350548044"/>
  </r>
  <r>
    <x v="409"/>
    <s v="Gustavo Mioto, Mari Fernandez"/>
    <n v="2"/>
    <d v="2022-09-16T00:00:00"/>
    <n v="1473"/>
    <n v="4"/>
    <n v="27"/>
    <n v="64"/>
    <n v="66"/>
    <n v="1"/>
    <n v="4"/>
    <n v="222612678"/>
    <n v="154"/>
    <m/>
    <s v="Major"/>
    <n v="64"/>
    <n v="61"/>
    <x v="1"/>
    <n v="91"/>
    <x v="0"/>
    <n v="15"/>
    <n v="0"/>
    <n v="72"/>
    <n v="4"/>
    <n v="10.42857119257029"/>
  </r>
  <r>
    <x v="410"/>
    <s v="Jack Harlow, Lil Nas X"/>
    <n v="2"/>
    <d v="2021-07-23T00:00:00"/>
    <n v="13315"/>
    <n v="0"/>
    <n v="300"/>
    <n v="47"/>
    <n v="690"/>
    <n v="0"/>
    <m/>
    <n v="1814349763"/>
    <n v="150"/>
    <s v="D#"/>
    <s v="Minor"/>
    <n v="74"/>
    <n v="89"/>
    <x v="0"/>
    <n v="70"/>
    <x v="0"/>
    <n v="2"/>
    <n v="0"/>
    <n v="5"/>
    <n v="6"/>
    <n v="35.484916528166231"/>
  </r>
  <r>
    <x v="411"/>
    <s v="Elley Duh√Ø¬ø"/>
    <n v="1"/>
    <d v="2020-01-10T00:00:00"/>
    <n v="4057"/>
    <n v="8"/>
    <n v="78"/>
    <n v="21"/>
    <n v="240"/>
    <n v="1"/>
    <n v="52"/>
    <n v="872137015"/>
    <n v="186"/>
    <s v="E"/>
    <s v="Minor"/>
    <n v="41"/>
    <n v="9"/>
    <x v="2"/>
    <n v="61"/>
    <x v="0"/>
    <n v="2"/>
    <n v="0"/>
    <n v="12"/>
    <n v="5"/>
    <n v="91.827521100472225"/>
  </r>
  <r>
    <x v="412"/>
    <s v="Seafret"/>
    <n v="1"/>
    <d v="2015-04-22T00:00:00"/>
    <n v="3045"/>
    <n v="6"/>
    <n v="43"/>
    <n v="53"/>
    <n v="134"/>
    <n v="1"/>
    <n v="32"/>
    <n v="571386359"/>
    <n v="166"/>
    <s v="G#"/>
    <s v="Minor"/>
    <n v="40"/>
    <n v="23"/>
    <x v="2"/>
    <n v="48"/>
    <x v="1"/>
    <n v="5"/>
    <n v="0"/>
    <n v="12"/>
    <n v="3"/>
    <n v="46.400139611459423"/>
  </r>
  <r>
    <x v="413"/>
    <s v="Baby Rasta, Rauw Alejandro"/>
    <n v="2"/>
    <d v="2022-09-22T00:00:00"/>
    <n v="3006"/>
    <n v="12"/>
    <n v="54"/>
    <n v="32"/>
    <n v="66"/>
    <n v="2"/>
    <n v="0"/>
    <n v="304079786"/>
    <n v="107"/>
    <m/>
    <s v="Major"/>
    <n v="87"/>
    <n v="20"/>
    <x v="2"/>
    <n v="83"/>
    <x v="0"/>
    <n v="0"/>
    <n v="4"/>
    <n v="31"/>
    <n v="9"/>
    <n v="56.452708849158931"/>
  </r>
  <r>
    <x v="414"/>
    <s v="DJ Escobar, MC MENOR SG, MC MENOR HR"/>
    <n v="3"/>
    <d v="2022-09-09T00:00:00"/>
    <n v="852"/>
    <n v="0"/>
    <n v="14"/>
    <n v="1"/>
    <n v="50"/>
    <n v="0"/>
    <n v="0"/>
    <n v="174006928"/>
    <n v="87"/>
    <s v="G"/>
    <s v="Major"/>
    <n v="87"/>
    <n v="52"/>
    <x v="1"/>
    <n v="52"/>
    <x v="0"/>
    <n v="31"/>
    <n v="0"/>
    <n v="28"/>
    <n v="24"/>
    <n v="59.06692910429291"/>
  </r>
  <r>
    <x v="415"/>
    <s v="Dean Lewis"/>
    <n v="1"/>
    <d v="2022-08-05T00:00:00"/>
    <n v="2163"/>
    <n v="15"/>
    <n v="72"/>
    <n v="97"/>
    <n v="58"/>
    <n v="0"/>
    <n v="154"/>
    <n v="284785823"/>
    <n v="82"/>
    <s v="G#"/>
    <s v="Major"/>
    <n v="40"/>
    <n v="39"/>
    <x v="2"/>
    <n v="64"/>
    <x v="0"/>
    <n v="21"/>
    <n v="0"/>
    <n v="7"/>
    <n v="7"/>
    <n v="30.574831151618064"/>
  </r>
  <r>
    <x v="416"/>
    <s v="SZA"/>
    <n v="1"/>
    <d v="2022-12-09T00:00:00"/>
    <n v="1484"/>
    <n v="0"/>
    <n v="22"/>
    <n v="51"/>
    <n v="12"/>
    <n v="0"/>
    <n v="0"/>
    <n v="163284000"/>
    <n v="114"/>
    <s v="A"/>
    <s v="Minor"/>
    <n v="46"/>
    <n v="60"/>
    <x v="1"/>
    <n v="28"/>
    <x v="1"/>
    <n v="91"/>
    <n v="0"/>
    <n v="21"/>
    <n v="4"/>
    <n v="4.6586694216412035"/>
  </r>
  <r>
    <x v="47"/>
    <s v="Joji"/>
    <n v="1"/>
    <d v="2022-11-04T00:00:00"/>
    <n v="1703"/>
    <n v="0"/>
    <n v="38"/>
    <n v="45"/>
    <n v="36"/>
    <n v="16"/>
    <n v="0"/>
    <n v="246390068"/>
    <n v="148"/>
    <s v="G#"/>
    <s v="Major"/>
    <n v="47"/>
    <n v="15"/>
    <x v="2"/>
    <n v="52"/>
    <x v="0"/>
    <n v="38"/>
    <n v="13"/>
    <n v="29"/>
    <n v="5"/>
    <n v="9.1095481756431553"/>
  </r>
  <r>
    <x v="417"/>
    <s v="Central Cee"/>
    <n v="1"/>
    <d v="2022-07-20T00:00:00"/>
    <n v="4169"/>
    <n v="44"/>
    <n v="57"/>
    <n v="44"/>
    <n v="183"/>
    <n v="1"/>
    <n v="11"/>
    <n v="482257456"/>
    <n v="140"/>
    <s v="F#"/>
    <s v="Major"/>
    <n v="91"/>
    <n v="97"/>
    <x v="0"/>
    <n v="57"/>
    <x v="0"/>
    <n v="38"/>
    <n v="0"/>
    <n v="40"/>
    <n v="29"/>
    <n v="54.489500522998689"/>
  </r>
  <r>
    <x v="418"/>
    <s v="Bellakath"/>
    <n v="1"/>
    <d v="2022-10-03T00:00:00"/>
    <n v="1054"/>
    <n v="0"/>
    <n v="9"/>
    <n v="0"/>
    <n v="15"/>
    <n v="0"/>
    <n v="1"/>
    <n v="168684524"/>
    <n v="101"/>
    <s v="G"/>
    <s v="Major"/>
    <n v="90"/>
    <n v="76"/>
    <x v="0"/>
    <n v="81"/>
    <x v="0"/>
    <n v="15"/>
    <n v="24"/>
    <n v="33"/>
    <n v="6"/>
    <n v="96.898785461816502"/>
  </r>
  <r>
    <x v="419"/>
    <s v="Skrillex, Flowdan, Fred again.."/>
    <n v="3"/>
    <d v="2022-01-17T00:00:00"/>
    <n v="2849"/>
    <n v="0"/>
    <n v="39"/>
    <n v="45"/>
    <n v="27"/>
    <n v="0"/>
    <n v="1"/>
    <n v="78489819"/>
    <n v="140"/>
    <s v="C#"/>
    <s v="Minor"/>
    <n v="81"/>
    <n v="6"/>
    <x v="2"/>
    <n v="84"/>
    <x v="0"/>
    <n v="5"/>
    <n v="23"/>
    <n v="6"/>
    <n v="6"/>
    <n v="86.384573612349868"/>
  </r>
  <r>
    <x v="420"/>
    <s v="Travis Scott, 21 Savage, Metro Boomin"/>
    <n v="3"/>
    <d v="2022-12-02T00:00:00"/>
    <n v="1602"/>
    <n v="0"/>
    <n v="12"/>
    <n v="22"/>
    <n v="12"/>
    <n v="0"/>
    <n v="2"/>
    <n v="195516622"/>
    <n v="88"/>
    <s v="G"/>
    <s v="Minor"/>
    <n v="49"/>
    <n v="24"/>
    <x v="2"/>
    <n v="66"/>
    <x v="0"/>
    <n v="19"/>
    <n v="0"/>
    <n v="18"/>
    <n v="29"/>
    <n v="46.838645814901881"/>
  </r>
  <r>
    <x v="421"/>
    <s v="Bad Bunny"/>
    <n v="1"/>
    <d v="2021-06-04T00:00:00"/>
    <n v="9644"/>
    <n v="28"/>
    <n v="120"/>
    <n v="86"/>
    <n v="164"/>
    <n v="4"/>
    <n v="0"/>
    <n v="1260594497"/>
    <n v="180"/>
    <s v="C#"/>
    <s v="Major"/>
    <n v="64"/>
    <n v="44"/>
    <x v="1"/>
    <n v="65"/>
    <x v="0"/>
    <n v="28"/>
    <n v="0"/>
    <n v="14"/>
    <n v="12"/>
    <n v="69.59008766862901"/>
  </r>
  <r>
    <x v="422"/>
    <s v="Nicki Minaj"/>
    <n v="1"/>
    <d v="2022-08-12T00:00:00"/>
    <n v="4827"/>
    <n v="0"/>
    <n v="104"/>
    <n v="17"/>
    <n v="76"/>
    <n v="9"/>
    <n v="2"/>
    <n v="428685680"/>
    <n v="133"/>
    <s v="D"/>
    <s v="Major"/>
    <n v="95"/>
    <n v="91"/>
    <x v="0"/>
    <n v="89"/>
    <x v="0"/>
    <n v="6"/>
    <n v="0"/>
    <n v="31"/>
    <n v="24"/>
    <n v="34.810005288679001"/>
  </r>
  <r>
    <x v="423"/>
    <s v="Kate Bush"/>
    <n v="1"/>
    <d v="1985-09-16T00:00:00"/>
    <n v="21811"/>
    <n v="0"/>
    <n v="117"/>
    <n v="1"/>
    <n v="676"/>
    <n v="3"/>
    <n v="0"/>
    <n v="1024858327"/>
    <n v="108"/>
    <s v="A#"/>
    <s v="Minor"/>
    <n v="63"/>
    <n v="20"/>
    <x v="2"/>
    <n v="55"/>
    <x v="0"/>
    <n v="72"/>
    <n v="0"/>
    <n v="6"/>
    <n v="6"/>
    <n v="35.026007604676124"/>
  </r>
  <r>
    <x v="424"/>
    <s v="Aerosmith"/>
    <n v="1"/>
    <d v="1973-01-05T00:00:00"/>
    <n v="168"/>
    <n v="0"/>
    <n v="0"/>
    <n v="0"/>
    <n v="5"/>
    <n v="0"/>
    <n v="0"/>
    <n v="838586769"/>
    <n v="80"/>
    <s v="F"/>
    <s v="Minor"/>
    <n v="39"/>
    <n v="24"/>
    <x v="2"/>
    <n v="43"/>
    <x v="1"/>
    <n v="39"/>
    <n v="0"/>
    <n v="23"/>
    <n v="3"/>
    <n v="18.734071902598892"/>
  </r>
  <r>
    <x v="425"/>
    <s v="Freddie Dredd"/>
    <n v="1"/>
    <d v="2022-08-11T00:00:00"/>
    <n v="688"/>
    <n v="0"/>
    <n v="14"/>
    <n v="1"/>
    <n v="17"/>
    <n v="0"/>
    <n v="2"/>
    <n v="199386237"/>
    <n v="75"/>
    <s v="B"/>
    <s v="Minor"/>
    <n v="80"/>
    <n v="46"/>
    <x v="1"/>
    <n v="62"/>
    <x v="0"/>
    <n v="3"/>
    <n v="6"/>
    <n v="11"/>
    <n v="46"/>
    <n v="30.486524123644344"/>
  </r>
  <r>
    <x v="426"/>
    <s v="Lost Frequencies, Calum Scott"/>
    <n v="2"/>
    <d v="2021-07-30T00:00:00"/>
    <n v="10565"/>
    <n v="44"/>
    <n v="238"/>
    <n v="122"/>
    <n v="557"/>
    <n v="17"/>
    <n v="58"/>
    <n v="972509632"/>
    <n v="121"/>
    <s v="F#"/>
    <s v="Minor"/>
    <n v="67"/>
    <n v="26"/>
    <x v="2"/>
    <n v="64"/>
    <x v="0"/>
    <n v="52"/>
    <n v="0"/>
    <n v="17"/>
    <n v="10"/>
    <n v="28.888304662433629"/>
  </r>
  <r>
    <x v="427"/>
    <s v="Twisted, Oliver Tree"/>
    <n v="2"/>
    <d v="2022-09-28T00:00:00"/>
    <n v="1612"/>
    <n v="0"/>
    <n v="34"/>
    <n v="54"/>
    <n v="34"/>
    <n v="0"/>
    <n v="2"/>
    <n v="213438580"/>
    <n v="140"/>
    <s v="D"/>
    <s v="Minor"/>
    <n v="58"/>
    <n v="17"/>
    <x v="2"/>
    <n v="62"/>
    <x v="0"/>
    <n v="18"/>
    <n v="0"/>
    <n v="20"/>
    <n v="8"/>
    <n v="56.538647077850037"/>
  </r>
  <r>
    <x v="428"/>
    <s v="Ed Sheeran"/>
    <n v="1"/>
    <d v="2020-09-03T00:00:00"/>
    <n v="12755"/>
    <n v="8"/>
    <n v="344"/>
    <n v="97"/>
    <n v="945"/>
    <n v="15"/>
    <m/>
    <n v="1555511105"/>
    <n v="126"/>
    <s v="B"/>
    <s v="Minor"/>
    <n v="81"/>
    <n v="59"/>
    <x v="1"/>
    <n v="90"/>
    <x v="0"/>
    <n v="5"/>
    <n v="0"/>
    <n v="36"/>
    <n v="3"/>
    <n v="16.545518883647205"/>
  </r>
  <r>
    <x v="429"/>
    <s v="Kenshi Yonezu"/>
    <n v="1"/>
    <d v="2022-10-12T00:00:00"/>
    <n v="574"/>
    <n v="4"/>
    <n v="38"/>
    <n v="101"/>
    <n v="26"/>
    <n v="0"/>
    <n v="0"/>
    <n v="210038833"/>
    <n v="102"/>
    <s v="C#"/>
    <s v="Major"/>
    <n v="58"/>
    <n v="29"/>
    <x v="2"/>
    <n v="94"/>
    <x v="0"/>
    <n v="0"/>
    <n v="0"/>
    <n v="9"/>
    <n v="11"/>
    <n v="24.191735987786643"/>
  </r>
  <r>
    <x v="430"/>
    <s v="Omar Apollo"/>
    <n v="1"/>
    <d v="2022-04-08T00:00:00"/>
    <n v="2499"/>
    <n v="0"/>
    <n v="70"/>
    <n v="0"/>
    <n v="49"/>
    <n v="0"/>
    <n v="0"/>
    <n v="227918678"/>
    <n v="82"/>
    <s v="A"/>
    <s v="Major"/>
    <n v="70"/>
    <n v="31"/>
    <x v="2"/>
    <n v="34"/>
    <x v="1"/>
    <n v="60"/>
    <n v="1"/>
    <n v="11"/>
    <n v="4"/>
    <n v="73.604786154835637"/>
  </r>
  <r>
    <x v="431"/>
    <s v="SZA"/>
    <n v="1"/>
    <d v="2020-12-24T00:00:00"/>
    <n v="10426"/>
    <n v="2"/>
    <n v="133"/>
    <n v="109"/>
    <n v="182"/>
    <n v="1"/>
    <n v="10"/>
    <n v="826623384"/>
    <n v="121"/>
    <s v="C#"/>
    <s v="Minor"/>
    <n v="46"/>
    <n v="53"/>
    <x v="1"/>
    <n v="78"/>
    <x v="0"/>
    <n v="23"/>
    <n v="0"/>
    <n v="72"/>
    <n v="6"/>
    <n v="7.7469323540374946"/>
  </r>
  <r>
    <x v="432"/>
    <s v="Dua Lipa, DaBaby"/>
    <n v="2"/>
    <d v="2020-03-27T00:00:00"/>
    <n v="15894"/>
    <n v="8"/>
    <n v="198"/>
    <n v="13"/>
    <n v="544"/>
    <n v="0"/>
    <n v="60"/>
    <n v="1802514301"/>
    <n v="103"/>
    <s v="F#"/>
    <s v="Minor"/>
    <n v="70"/>
    <n v="92"/>
    <x v="0"/>
    <n v="83"/>
    <x v="0"/>
    <n v="1"/>
    <n v="0"/>
    <n v="7"/>
    <n v="6"/>
    <n v="41.673522836830422"/>
  </r>
  <r>
    <x v="433"/>
    <s v="Doja Cat"/>
    <n v="1"/>
    <d v="2021-06-25T00:00:00"/>
    <n v="9424"/>
    <n v="0"/>
    <n v="202"/>
    <n v="50"/>
    <n v="463"/>
    <n v="4"/>
    <m/>
    <n v="1329090101"/>
    <n v="108"/>
    <s v="F"/>
    <s v="Minor"/>
    <n v="82"/>
    <n v="88"/>
    <x v="0"/>
    <n v="76"/>
    <x v="0"/>
    <n v="9"/>
    <n v="0"/>
    <n v="12"/>
    <n v="9"/>
    <n v="42.448138153693584"/>
  </r>
  <r>
    <x v="434"/>
    <s v="Hotel Ugly"/>
    <n v="1"/>
    <d v="2022-09-14T00:00:00"/>
    <n v="713"/>
    <n v="7"/>
    <n v="2"/>
    <n v="4"/>
    <n v="6"/>
    <n v="0"/>
    <n v="0"/>
    <n v="181831132"/>
    <n v="85"/>
    <s v="F"/>
    <s v="Minor"/>
    <n v="65"/>
    <n v="36"/>
    <x v="2"/>
    <n v="47"/>
    <x v="1"/>
    <n v="31"/>
    <n v="0"/>
    <n v="12"/>
    <n v="10"/>
    <n v="9.8721500538758065"/>
  </r>
  <r>
    <x v="435"/>
    <s v="James Hype, Miggy Dela Rosa"/>
    <n v="2"/>
    <d v="2022-03-14T00:00:00"/>
    <n v="7758"/>
    <n v="28"/>
    <n v="173"/>
    <n v="79"/>
    <n v="175"/>
    <n v="0"/>
    <n v="168"/>
    <n v="462791599"/>
    <n v="125"/>
    <s v="C#"/>
    <s v="Minor"/>
    <n v="84"/>
    <n v="70"/>
    <x v="1"/>
    <n v="69"/>
    <x v="0"/>
    <n v="1"/>
    <n v="0"/>
    <n v="5"/>
    <n v="5"/>
    <n v="66.377587755735007"/>
  </r>
  <r>
    <x v="436"/>
    <s v="Taylor Swift"/>
    <n v="1"/>
    <d v="2022-10-21T00:00:00"/>
    <n v="2537"/>
    <n v="2"/>
    <n v="8"/>
    <n v="18"/>
    <n v="20"/>
    <n v="0"/>
    <n v="1"/>
    <n v="348647203"/>
    <n v="120"/>
    <s v="D"/>
    <s v="Major"/>
    <n v="69"/>
    <n v="40"/>
    <x v="1"/>
    <n v="39"/>
    <x v="1"/>
    <n v="41"/>
    <n v="0"/>
    <n v="13"/>
    <n v="6"/>
    <n v="81.736883252298171"/>
  </r>
  <r>
    <x v="437"/>
    <s v="Pritam, Arijit Singh, Amitabh Bhattacharya"/>
    <n v="3"/>
    <d v="2022-07-17T00:00:00"/>
    <n v="292"/>
    <n v="6"/>
    <n v="26"/>
    <n v="98"/>
    <n v="4"/>
    <n v="0"/>
    <n v="0"/>
    <n v="366599607"/>
    <n v="94"/>
    <m/>
    <s v="Major"/>
    <n v="58"/>
    <n v="44"/>
    <x v="1"/>
    <n v="57"/>
    <x v="0"/>
    <n v="57"/>
    <n v="0"/>
    <n v="10"/>
    <n v="3"/>
    <n v="53.078851246965328"/>
  </r>
  <r>
    <x v="438"/>
    <s v="Styrx, utku INC, Thezth"/>
    <n v="3"/>
    <d v="1930-01-01T00:00:00"/>
    <n v="323"/>
    <n v="0"/>
    <n v="4"/>
    <n v="0"/>
    <n v="14"/>
    <n v="0"/>
    <n v="0"/>
    <n v="90598517"/>
    <n v="130"/>
    <s v="F#"/>
    <s v="Minor"/>
    <n v="65"/>
    <n v="49"/>
    <x v="1"/>
    <n v="80"/>
    <x v="0"/>
    <n v="22"/>
    <n v="4"/>
    <n v="7"/>
    <n v="5"/>
    <n v="94.643453606396079"/>
  </r>
  <r>
    <x v="439"/>
    <s v="Maroon 5, Wiz Khalifa"/>
    <n v="2"/>
    <d v="2012-01-01T00:00:00"/>
    <n v="14143"/>
    <n v="4"/>
    <n v="56"/>
    <n v="38"/>
    <n v="1891"/>
    <n v="1"/>
    <m/>
    <n v="1479264469"/>
    <n v="110"/>
    <s v="E"/>
    <s v="Major"/>
    <n v="74"/>
    <n v="51"/>
    <x v="1"/>
    <n v="74"/>
    <x v="0"/>
    <n v="2"/>
    <n v="0"/>
    <n v="29"/>
    <n v="4"/>
    <n v="92.782039159602135"/>
  </r>
  <r>
    <x v="440"/>
    <s v="Mariah Carey"/>
    <n v="1"/>
    <d v="1994-10-28T00:00:00"/>
    <n v="25653"/>
    <n v="0"/>
    <n v="387"/>
    <n v="132"/>
    <n v="2094"/>
    <n v="0"/>
    <m/>
    <n v="1449779435"/>
    <n v="150"/>
    <s v="G"/>
    <s v="Major"/>
    <n v="34"/>
    <n v="33"/>
    <x v="2"/>
    <n v="63"/>
    <x v="0"/>
    <n v="16"/>
    <n v="0"/>
    <n v="7"/>
    <n v="4"/>
    <n v="76.823408777880772"/>
  </r>
  <r>
    <x v="441"/>
    <s v="Wham!"/>
    <n v="1"/>
    <d v="1984-01-01T00:00:00"/>
    <n v="22153"/>
    <n v="0"/>
    <n v="274"/>
    <n v="111"/>
    <n v="1302"/>
    <n v="0"/>
    <m/>
    <n v="1159176109"/>
    <n v="107"/>
    <s v="B"/>
    <s v="Minor"/>
    <n v="74"/>
    <n v="88"/>
    <x v="0"/>
    <n v="65"/>
    <x v="0"/>
    <n v="28"/>
    <n v="0"/>
    <n v="46"/>
    <n v="3"/>
    <n v="7.7282673466584351"/>
  </r>
  <r>
    <x v="442"/>
    <s v="Brenda Lee"/>
    <n v="1"/>
    <d v="1958-01-01T00:00:00"/>
    <n v="14994"/>
    <n v="0"/>
    <n v="191"/>
    <n v="168"/>
    <n v="206"/>
    <n v="0"/>
    <m/>
    <n v="769213520"/>
    <n v="140"/>
    <s v="G#"/>
    <s v="Major"/>
    <n v="70"/>
    <n v="85"/>
    <x v="0"/>
    <n v="41"/>
    <x v="1"/>
    <n v="71"/>
    <n v="0"/>
    <n v="45"/>
    <n v="5"/>
    <n v="25.536909480368674"/>
  </r>
  <r>
    <x v="443"/>
    <s v="Bobby Helms"/>
    <n v="1"/>
    <d v="1957-01-01T00:00:00"/>
    <n v="10326"/>
    <n v="0"/>
    <n v="165"/>
    <n v="99"/>
    <n v="104"/>
    <n v="0"/>
    <m/>
    <n v="741301563"/>
    <n v="119"/>
    <s v="D"/>
    <s v="Major"/>
    <n v="74"/>
    <n v="78"/>
    <x v="0"/>
    <n v="37"/>
    <x v="1"/>
    <n v="84"/>
    <n v="0"/>
    <n v="6"/>
    <n v="3"/>
    <n v="39.232685575465595"/>
  </r>
  <r>
    <x v="444"/>
    <s v="Michael Bubl√Ø¬ø"/>
    <n v="1"/>
    <d v="2011-10-14T00:00:00"/>
    <n v="12353"/>
    <n v="0"/>
    <n v="35"/>
    <n v="0"/>
    <n v="549"/>
    <n v="0"/>
    <n v="0"/>
    <n v="807561936"/>
    <n v="93"/>
    <s v="E"/>
    <s v="Major"/>
    <n v="35"/>
    <n v="38"/>
    <x v="2"/>
    <n v="23"/>
    <x v="1"/>
    <n v="91"/>
    <n v="0"/>
    <n v="29"/>
    <n v="3"/>
    <n v="9.7179887757956607"/>
  </r>
  <r>
    <x v="445"/>
    <s v="Ariana Grande"/>
    <n v="1"/>
    <d v="2013-12-13T00:00:00"/>
    <n v="9408"/>
    <n v="0"/>
    <n v="231"/>
    <n v="106"/>
    <n v="439"/>
    <n v="0"/>
    <m/>
    <n v="834129063"/>
    <n v="133"/>
    <s v="G"/>
    <s v="Major"/>
    <n v="46"/>
    <n v="53"/>
    <x v="1"/>
    <n v="63"/>
    <x v="0"/>
    <n v="5"/>
    <n v="0"/>
    <n v="30"/>
    <n v="18"/>
    <n v="70.190118315151835"/>
  </r>
  <r>
    <x v="446"/>
    <s v="Andy Williams"/>
    <n v="1"/>
    <d v="1963-10-14T00:00:00"/>
    <n v="8879"/>
    <n v="0"/>
    <n v="182"/>
    <n v="107"/>
    <n v="160"/>
    <n v="0"/>
    <n v="1"/>
    <n v="663832097"/>
    <n v="202"/>
    <s v="G"/>
    <s v="Major"/>
    <n v="24"/>
    <n v="76"/>
    <x v="0"/>
    <n v="60"/>
    <x v="0"/>
    <n v="77"/>
    <n v="0"/>
    <n v="12"/>
    <n v="4"/>
    <n v="8.3317834500707288"/>
  </r>
  <r>
    <x v="447"/>
    <s v="Dean Martin"/>
    <n v="1"/>
    <d v="1959-11-16T00:00:00"/>
    <n v="6512"/>
    <n v="0"/>
    <n v="88"/>
    <n v="1"/>
    <n v="277"/>
    <n v="0"/>
    <n v="0"/>
    <n v="446390129"/>
    <n v="134"/>
    <s v="C#"/>
    <s v="Major"/>
    <n v="45"/>
    <n v="72"/>
    <x v="0"/>
    <n v="24"/>
    <x v="1"/>
    <n v="91"/>
    <n v="0"/>
    <n v="18"/>
    <n v="4"/>
    <n v="8.8775849325681833"/>
  </r>
  <r>
    <x v="448"/>
    <s v="Sia"/>
    <n v="1"/>
    <d v="2017-01-01T00:00:00"/>
    <n v="5140"/>
    <n v="0"/>
    <n v="85"/>
    <n v="110"/>
    <n v="500"/>
    <n v="0"/>
    <m/>
    <n v="690104769"/>
    <n v="105"/>
    <s v="C#"/>
    <s v="Major"/>
    <n v="72"/>
    <n v="33"/>
    <x v="2"/>
    <n v="51"/>
    <x v="0"/>
    <n v="48"/>
    <n v="0"/>
    <n v="9"/>
    <n v="3"/>
    <n v="81.697030061329585"/>
  </r>
  <r>
    <x v="449"/>
    <s v="Kelly Clarkson"/>
    <n v="1"/>
    <d v="2013-10-25T00:00:00"/>
    <n v="6596"/>
    <n v="0"/>
    <n v="144"/>
    <n v="99"/>
    <n v="251"/>
    <n v="0"/>
    <n v="0"/>
    <n v="485285717"/>
    <n v="160"/>
    <s v="G#"/>
    <s v="Major"/>
    <n v="51"/>
    <n v="69"/>
    <x v="1"/>
    <n v="81"/>
    <x v="0"/>
    <n v="0"/>
    <n v="0"/>
    <n v="21"/>
    <n v="5"/>
    <n v="27.571516323506216"/>
  </r>
  <r>
    <x v="450"/>
    <s v="Jos√Ø¬ø¬Ω√Ø¬ø¬Ω Felic"/>
    <n v="1"/>
    <d v="1970-11-01T00:00:00"/>
    <n v="3788"/>
    <n v="0"/>
    <n v="21"/>
    <n v="3"/>
    <n v="10"/>
    <n v="0"/>
    <n v="0"/>
    <n v="520034544"/>
    <n v="148"/>
    <s v="D"/>
    <s v="Major"/>
    <n v="50"/>
    <n v="96"/>
    <x v="0"/>
    <n v="82"/>
    <x v="0"/>
    <n v="47"/>
    <n v="0"/>
    <n v="34"/>
    <n v="4"/>
    <n v="48.333358266118573"/>
  </r>
  <r>
    <x v="451"/>
    <s v="Michael Bubl√Ø¬ø"/>
    <n v="1"/>
    <d v="2011-10-14T00:00:00"/>
    <n v="7655"/>
    <n v="0"/>
    <n v="5"/>
    <n v="0"/>
    <n v="291"/>
    <n v="0"/>
    <n v="0"/>
    <n v="476244795"/>
    <n v="151"/>
    <s v="G"/>
    <s v="Major"/>
    <n v="65"/>
    <n v="70"/>
    <x v="1"/>
    <n v="47"/>
    <x v="1"/>
    <n v="87"/>
    <n v="0"/>
    <n v="9"/>
    <n v="4"/>
    <n v="52.483817718195233"/>
  </r>
  <r>
    <x v="452"/>
    <s v="Justin Bieber"/>
    <n v="1"/>
    <d v="2011-01-01T00:00:00"/>
    <n v="9577"/>
    <n v="0"/>
    <n v="195"/>
    <n v="111"/>
    <n v="310"/>
    <n v="0"/>
    <n v="0"/>
    <n v="629173063"/>
    <n v="162"/>
    <s v="F#"/>
    <s v="Minor"/>
    <n v="67"/>
    <n v="88"/>
    <x v="0"/>
    <n v="54"/>
    <x v="0"/>
    <n v="51"/>
    <n v="0"/>
    <n v="9"/>
    <n v="4"/>
    <n v="5.0847770857475494"/>
  </r>
  <r>
    <x v="453"/>
    <s v="The Ronettes"/>
    <n v="1"/>
    <d v="1963-11-22T00:00:00"/>
    <n v="10114"/>
    <n v="0"/>
    <n v="114"/>
    <n v="74"/>
    <n v="262"/>
    <n v="0"/>
    <n v="0"/>
    <n v="404664135"/>
    <n v="92"/>
    <s v="D"/>
    <s v="Major"/>
    <n v="53"/>
    <n v="84"/>
    <x v="0"/>
    <n v="77"/>
    <x v="0"/>
    <n v="40"/>
    <n v="0"/>
    <n v="32"/>
    <n v="3"/>
    <n v="8.7725765919339125"/>
  </r>
  <r>
    <x v="454"/>
    <s v="SZA"/>
    <n v="1"/>
    <d v="2022-12-09T00:00:00"/>
    <n v="1007"/>
    <n v="0"/>
    <n v="5"/>
    <n v="31"/>
    <n v="1"/>
    <n v="0"/>
    <n v="0"/>
    <n v="98709329"/>
    <n v="152"/>
    <s v="C#"/>
    <s v="Major"/>
    <n v="65"/>
    <n v="35"/>
    <x v="2"/>
    <n v="65"/>
    <x v="0"/>
    <n v="44"/>
    <n v="18"/>
    <n v="21"/>
    <n v="7"/>
    <n v="90.519115917800136"/>
  </r>
  <r>
    <x v="455"/>
    <s v="SZA"/>
    <n v="1"/>
    <d v="2022-12-09T00:00:00"/>
    <n v="1127"/>
    <n v="0"/>
    <n v="16"/>
    <n v="63"/>
    <n v="8"/>
    <n v="0"/>
    <n v="0"/>
    <n v="110849052"/>
    <n v="65"/>
    <s v="A"/>
    <s v="Minor"/>
    <n v="71"/>
    <n v="55"/>
    <x v="1"/>
    <n v="26"/>
    <x v="1"/>
    <n v="85"/>
    <n v="0"/>
    <n v="13"/>
    <n v="8"/>
    <n v="96.02805091586923"/>
  </r>
  <r>
    <x v="456"/>
    <s v="John Lennon, The Harlem Community Choir, The Plastic Ono Band, Yoko Ono"/>
    <n v="4"/>
    <d v="1971-12-01T00:00:00"/>
    <n v="10829"/>
    <n v="0"/>
    <n v="130"/>
    <n v="1"/>
    <n v="390"/>
    <n v="0"/>
    <n v="0"/>
    <n v="460492795"/>
    <n v="147"/>
    <s v="D"/>
    <s v="Major"/>
    <n v="33"/>
    <n v="39"/>
    <x v="2"/>
    <n v="61"/>
    <x v="0"/>
    <n v="32"/>
    <n v="0"/>
    <n v="77"/>
    <n v="3"/>
    <n v="10.082306631490068"/>
  </r>
  <r>
    <x v="457"/>
    <s v="SZA, Don Toliver"/>
    <n v="2"/>
    <d v="2022-12-08T00:00:00"/>
    <n v="1042"/>
    <n v="0"/>
    <n v="7"/>
    <n v="29"/>
    <n v="3"/>
    <n v="0"/>
    <n v="0"/>
    <n v="94005786"/>
    <n v="150"/>
    <s v="A#"/>
    <s v="Minor"/>
    <n v="73"/>
    <n v="71"/>
    <x v="0"/>
    <n v="69"/>
    <x v="0"/>
    <n v="53"/>
    <n v="0"/>
    <n v="32"/>
    <n v="9"/>
    <n v="36.929117243797606"/>
  </r>
  <r>
    <x v="458"/>
    <s v="Burl Ives"/>
    <n v="1"/>
    <d v="1952-01-01T00:00:00"/>
    <n v="7930"/>
    <n v="0"/>
    <n v="108"/>
    <n v="120"/>
    <n v="73"/>
    <n v="0"/>
    <n v="0"/>
    <n v="395591396"/>
    <n v="140"/>
    <m/>
    <s v="Major"/>
    <n v="67"/>
    <n v="81"/>
    <x v="0"/>
    <n v="36"/>
    <x v="1"/>
    <n v="64"/>
    <n v="0"/>
    <n v="15"/>
    <n v="3"/>
    <n v="59.403308843360925"/>
  </r>
  <r>
    <x v="459"/>
    <s v="Nat King Cole"/>
    <n v="1"/>
    <d v="1946-11-01T00:00:00"/>
    <n v="11500"/>
    <n v="0"/>
    <n v="140"/>
    <n v="72"/>
    <n v="251"/>
    <n v="0"/>
    <n v="0"/>
    <n v="389771964"/>
    <n v="139"/>
    <s v="C#"/>
    <s v="Major"/>
    <n v="36"/>
    <n v="22"/>
    <x v="2"/>
    <n v="15"/>
    <x v="1"/>
    <n v="84"/>
    <n v="0"/>
    <n v="11"/>
    <n v="4"/>
    <n v="18.626654791549079"/>
  </r>
  <r>
    <x v="460"/>
    <s v="Paul McCartney"/>
    <n v="1"/>
    <d v="1979-11-16T00:00:00"/>
    <n v="1685"/>
    <n v="0"/>
    <n v="1"/>
    <n v="0"/>
    <n v="29"/>
    <n v="0"/>
    <n v="0"/>
    <n v="403939487"/>
    <n v="95"/>
    <s v="B"/>
    <s v="Major"/>
    <n v="75"/>
    <n v="74"/>
    <x v="0"/>
    <n v="58"/>
    <x v="0"/>
    <n v="36"/>
    <n v="0"/>
    <n v="9"/>
    <n v="3"/>
    <n v="65.525554037229696"/>
  </r>
  <r>
    <x v="461"/>
    <s v="Band Aid"/>
    <n v="1"/>
    <d v="1984-11-25T00:00:00"/>
    <n v="14169"/>
    <n v="0"/>
    <n v="209"/>
    <n v="30"/>
    <n v="449"/>
    <n v="0"/>
    <n v="0"/>
    <n v="481697415"/>
    <n v="115"/>
    <m/>
    <s v="Major"/>
    <n v="60"/>
    <n v="23"/>
    <x v="2"/>
    <n v="57"/>
    <x v="0"/>
    <n v="0"/>
    <n v="2"/>
    <n v="27"/>
    <n v="3"/>
    <n v="98.016128843464813"/>
  </r>
  <r>
    <x v="462"/>
    <s v="SZA, Phoebe Bridgers"/>
    <n v="2"/>
    <d v="2022-12-09T00:00:00"/>
    <n v="1634"/>
    <n v="0"/>
    <n v="16"/>
    <n v="20"/>
    <n v="4"/>
    <n v="0"/>
    <n v="0"/>
    <n v="110073250"/>
    <n v="125"/>
    <s v="F#"/>
    <s v="Major"/>
    <n v="62"/>
    <n v="59"/>
    <x v="1"/>
    <n v="43"/>
    <x v="1"/>
    <n v="84"/>
    <n v="3"/>
    <n v="11"/>
    <n v="5"/>
    <n v="40.300813796648207"/>
  </r>
  <r>
    <x v="463"/>
    <s v="SZA"/>
    <n v="1"/>
    <d v="2022-12-09T00:00:00"/>
    <n v="906"/>
    <n v="0"/>
    <n v="6"/>
    <n v="21"/>
    <n v="3"/>
    <n v="0"/>
    <n v="0"/>
    <n v="88092256"/>
    <n v="76"/>
    <m/>
    <s v="Major"/>
    <n v="60"/>
    <n v="19"/>
    <x v="2"/>
    <n v="20"/>
    <x v="1"/>
    <n v="78"/>
    <n v="0"/>
    <n v="11"/>
    <n v="5"/>
    <n v="54.743050881797906"/>
  </r>
  <r>
    <x v="464"/>
    <s v="Shakin' Stevens"/>
    <n v="1"/>
    <d v="1984-01-01T00:00:00"/>
    <n v="1087"/>
    <n v="0"/>
    <n v="90"/>
    <n v="35"/>
    <n v="5"/>
    <n v="0"/>
    <n v="0"/>
    <n v="351636786"/>
    <n v="101"/>
    <s v="C#"/>
    <s v="Minor"/>
    <n v="72"/>
    <n v="91"/>
    <x v="0"/>
    <n v="87"/>
    <x v="0"/>
    <n v="14"/>
    <n v="0"/>
    <n v="13"/>
    <n v="3"/>
    <n v="63.511174523879902"/>
  </r>
  <r>
    <x v="447"/>
    <s v="Frank Sinatra, B. Swanson Quartet"/>
    <n v="2"/>
    <d v="1950-01-01T00:00:00"/>
    <n v="10585"/>
    <n v="0"/>
    <n v="126"/>
    <n v="108"/>
    <n v="406"/>
    <n v="0"/>
    <n v="0"/>
    <n v="473248298"/>
    <n v="143"/>
    <s v="D"/>
    <s v="Major"/>
    <n v="60"/>
    <n v="86"/>
    <x v="0"/>
    <n v="32"/>
    <x v="1"/>
    <n v="88"/>
    <n v="0"/>
    <n v="34"/>
    <n v="6"/>
    <n v="76.207604975387483"/>
  </r>
  <r>
    <x v="465"/>
    <s v="SZA"/>
    <n v="1"/>
    <d v="2022-12-09T00:00:00"/>
    <n v="827"/>
    <n v="0"/>
    <n v="6"/>
    <n v="18"/>
    <n v="1"/>
    <n v="0"/>
    <n v="0"/>
    <n v="73981293"/>
    <n v="119"/>
    <s v="G"/>
    <s v="Minor"/>
    <n v="51"/>
    <n v="51"/>
    <x v="1"/>
    <n v="66"/>
    <x v="0"/>
    <n v="67"/>
    <n v="0"/>
    <n v="9"/>
    <n v="23"/>
    <n v="38.843758503279723"/>
  </r>
  <r>
    <x v="466"/>
    <s v="SZA, Travis Scott"/>
    <n v="2"/>
    <d v="2022-12-08T00:00:00"/>
    <n v="1420"/>
    <n v="4"/>
    <n v="13"/>
    <n v="87"/>
    <n v="17"/>
    <n v="0"/>
    <n v="46"/>
    <n v="155653938"/>
    <n v="78"/>
    <s v="A"/>
    <s v="Major"/>
    <n v="67"/>
    <n v="22"/>
    <x v="2"/>
    <n v="59"/>
    <x v="0"/>
    <n v="76"/>
    <n v="1"/>
    <n v="15"/>
    <n v="16"/>
    <n v="41.270258723597856"/>
  </r>
  <r>
    <x v="467"/>
    <s v="Bing Crosby, John Scott Trotter &amp; His Orchestra, Ken Darby Singers"/>
    <n v="3"/>
    <d v="1942-01-01T00:00:00"/>
    <n v="11940"/>
    <n v="0"/>
    <n v="73"/>
    <n v="79"/>
    <n v="123"/>
    <n v="0"/>
    <n v="0"/>
    <n v="395591396"/>
    <n v="96"/>
    <s v="A"/>
    <s v="Major"/>
    <n v="23"/>
    <n v="19"/>
    <x v="2"/>
    <n v="25"/>
    <x v="1"/>
    <n v="91"/>
    <n v="0"/>
    <n v="40"/>
    <n v="3"/>
    <n v="60.664976081738452"/>
  </r>
  <r>
    <x v="468"/>
    <s v="Chris Rea"/>
    <n v="1"/>
    <d v="1986-01-01T00:00:00"/>
    <n v="888"/>
    <n v="0"/>
    <n v="50"/>
    <n v="0"/>
    <n v="6"/>
    <n v="0"/>
    <n v="0"/>
    <n v="429504768"/>
    <n v="180"/>
    <s v="A"/>
    <s v="Major"/>
    <n v="51"/>
    <n v="87"/>
    <x v="0"/>
    <n v="58"/>
    <x v="0"/>
    <n v="36"/>
    <n v="0"/>
    <n v="18"/>
    <n v="4"/>
    <n v="57.591355058560026"/>
  </r>
  <r>
    <x v="469"/>
    <s v="Darlene Love"/>
    <n v="1"/>
    <d v="1963-11-22T00:00:00"/>
    <n v="9122"/>
    <n v="0"/>
    <n v="121"/>
    <n v="58"/>
    <n v="212"/>
    <n v="0"/>
    <n v="0"/>
    <n v="242767149"/>
    <n v="126"/>
    <s v="D#"/>
    <s v="Major"/>
    <n v="34"/>
    <n v="35"/>
    <x v="2"/>
    <n v="76"/>
    <x v="0"/>
    <n v="39"/>
    <n v="0"/>
    <n v="8"/>
    <n v="5"/>
    <n v="64.27294712654718"/>
  </r>
  <r>
    <x v="470"/>
    <s v="SZA"/>
    <n v="1"/>
    <d v="2022-12-09T00:00:00"/>
    <n v="892"/>
    <n v="0"/>
    <n v="3"/>
    <n v="17"/>
    <n v="2"/>
    <n v="0"/>
    <n v="0"/>
    <n v="65362788"/>
    <n v="150"/>
    <s v="F"/>
    <s v="Major"/>
    <n v="43"/>
    <n v="42"/>
    <x v="1"/>
    <n v="44"/>
    <x v="1"/>
    <n v="57"/>
    <n v="0"/>
    <n v="15"/>
    <n v="6"/>
    <n v="75.294294478908554"/>
  </r>
  <r>
    <x v="471"/>
    <s v="SZA"/>
    <n v="1"/>
    <d v="2022-12-09T00:00:00"/>
    <n v="989"/>
    <n v="0"/>
    <n v="5"/>
    <n v="9"/>
    <n v="1"/>
    <n v="0"/>
    <n v="0"/>
    <n v="67540165"/>
    <n v="90"/>
    <s v="D"/>
    <s v="Major"/>
    <n v="53"/>
    <n v="47"/>
    <x v="1"/>
    <n v="74"/>
    <x v="0"/>
    <n v="9"/>
    <n v="0"/>
    <n v="34"/>
    <n v="4"/>
    <n v="21.051103602625265"/>
  </r>
  <r>
    <x v="472"/>
    <s v="SZA"/>
    <n v="1"/>
    <d v="2022-12-09T00:00:00"/>
    <n v="819"/>
    <n v="0"/>
    <n v="14"/>
    <n v="22"/>
    <n v="0"/>
    <n v="0"/>
    <n v="0"/>
    <n v="62019074"/>
    <n v="160"/>
    <s v="F"/>
    <s v="Major"/>
    <n v="72"/>
    <n v="78"/>
    <x v="0"/>
    <n v="68"/>
    <x v="0"/>
    <n v="28"/>
    <n v="0"/>
    <n v="11"/>
    <n v="12"/>
    <n v="19.206712576788675"/>
  </r>
  <r>
    <x v="473"/>
    <s v="Ed Sheeran, Elton John"/>
    <n v="2"/>
    <d v="2017-11-10T00:00:00"/>
    <n v="2209"/>
    <n v="0"/>
    <n v="72"/>
    <n v="90"/>
    <n v="141"/>
    <n v="0"/>
    <n v="0"/>
    <n v="135723538"/>
    <n v="114"/>
    <m/>
    <s v="Major"/>
    <n v="59"/>
    <n v="60"/>
    <x v="1"/>
    <n v="94"/>
    <x v="0"/>
    <n v="24"/>
    <n v="0"/>
    <n v="10"/>
    <n v="4"/>
    <n v="30.451005292081391"/>
  </r>
  <r>
    <x v="474"/>
    <s v="Perry Como, The Fontane Sisters, Mitchell Ayres &amp; His Orchestra"/>
    <n v="3"/>
    <d v="1958-01-01T00:00:00"/>
    <n v="6290"/>
    <n v="0"/>
    <n v="89"/>
    <n v="39"/>
    <n v="158"/>
    <n v="0"/>
    <n v="0"/>
    <n v="295998468"/>
    <n v="113"/>
    <s v="G"/>
    <s v="Major"/>
    <n v="73"/>
    <n v="72"/>
    <x v="0"/>
    <n v="32"/>
    <x v="1"/>
    <n v="77"/>
    <n v="0"/>
    <n v="15"/>
    <n v="5"/>
    <n v="47.56698482346885"/>
  </r>
  <r>
    <x v="475"/>
    <s v="Britney Spears"/>
    <n v="1"/>
    <d v="2000-11-07T00:00:00"/>
    <n v="6952"/>
    <n v="0"/>
    <n v="115"/>
    <n v="53"/>
    <n v="286"/>
    <n v="0"/>
    <n v="0"/>
    <n v="261116938"/>
    <n v="147"/>
    <m/>
    <s v="Major"/>
    <n v="67"/>
    <n v="69"/>
    <x v="1"/>
    <n v="72"/>
    <x v="0"/>
    <n v="17"/>
    <n v="0"/>
    <n v="19"/>
    <n v="3"/>
    <n v="48.925027928314179"/>
  </r>
  <r>
    <x v="476"/>
    <s v="Mabel Matiz, Mert Demir"/>
    <n v="2"/>
    <d v="2022-11-04T00:00:00"/>
    <n v="313"/>
    <n v="2"/>
    <n v="10"/>
    <n v="6"/>
    <n v="7"/>
    <n v="1"/>
    <n v="9"/>
    <n v="136689549"/>
    <n v="100"/>
    <s v="B"/>
    <s v="Minor"/>
    <n v="70"/>
    <n v="92"/>
    <x v="0"/>
    <n v="59"/>
    <x v="0"/>
    <n v="3"/>
    <n v="0"/>
    <n v="10"/>
    <n v="3"/>
    <n v="49.721706373512752"/>
  </r>
  <r>
    <x v="477"/>
    <s v="RM"/>
    <n v="1"/>
    <d v="2022-12-02T00:00:00"/>
    <n v="353"/>
    <n v="2"/>
    <n v="2"/>
    <n v="74"/>
    <n v="14"/>
    <n v="0"/>
    <n v="2"/>
    <n v="135611421"/>
    <n v="155"/>
    <s v="G#"/>
    <s v="Major"/>
    <n v="49"/>
    <n v="42"/>
    <x v="1"/>
    <n v="77"/>
    <x v="0"/>
    <n v="3"/>
    <n v="0"/>
    <n v="12"/>
    <n v="9"/>
    <n v="52.006349665427706"/>
  </r>
  <r>
    <x v="478"/>
    <s v="SZA"/>
    <n v="1"/>
    <d v="2021-12-03T00:00:00"/>
    <n v="4094"/>
    <n v="0"/>
    <n v="66"/>
    <n v="96"/>
    <n v="43"/>
    <n v="0"/>
    <n v="0"/>
    <n v="356709897"/>
    <n v="107"/>
    <s v="G"/>
    <s v="Minor"/>
    <n v="54"/>
    <n v="41"/>
    <x v="1"/>
    <n v="39"/>
    <x v="1"/>
    <n v="51"/>
    <n v="0"/>
    <n v="11"/>
    <n v="16"/>
    <n v="61.461242373399806"/>
  </r>
  <r>
    <x v="479"/>
    <s v="Travis Scott, Metro Boomin"/>
    <n v="2"/>
    <d v="2022-12-02T00:00:00"/>
    <n v="880"/>
    <n v="0"/>
    <n v="3"/>
    <n v="7"/>
    <n v="10"/>
    <n v="0"/>
    <n v="0"/>
    <n v="110649992"/>
    <n v="112"/>
    <s v="G#"/>
    <s v="Major"/>
    <n v="80"/>
    <n v="15"/>
    <x v="2"/>
    <n v="54"/>
    <x v="0"/>
    <n v="9"/>
    <n v="0"/>
    <n v="38"/>
    <n v="5"/>
    <n v="37.175139654833188"/>
  </r>
  <r>
    <x v="345"/>
    <s v="ThxSoMch"/>
    <n v="1"/>
    <d v="2022-10-31T00:00:00"/>
    <n v="573"/>
    <n v="0"/>
    <n v="1"/>
    <n v="0"/>
    <n v="18"/>
    <n v="0"/>
    <n v="24"/>
    <n v="301869854"/>
    <n v="166"/>
    <s v="C#"/>
    <s v="Major"/>
    <n v="70"/>
    <n v="57"/>
    <x v="1"/>
    <n v="57"/>
    <x v="0"/>
    <n v="9"/>
    <n v="20"/>
    <n v="11"/>
    <n v="7"/>
    <n v="23.793039703162535"/>
  </r>
  <r>
    <x v="480"/>
    <s v="Nat King Cole"/>
    <n v="1"/>
    <d v="1959-01-01T00:00:00"/>
    <n v="3299"/>
    <n v="0"/>
    <n v="65"/>
    <n v="39"/>
    <n v="41"/>
    <n v="0"/>
    <n v="0"/>
    <n v="127027715"/>
    <n v="107"/>
    <s v="F#"/>
    <s v="Minor"/>
    <n v="69"/>
    <n v="96"/>
    <x v="0"/>
    <n v="36"/>
    <x v="1"/>
    <n v="81"/>
    <n v="0"/>
    <n v="8"/>
    <n v="4"/>
    <n v="59.470653792007177"/>
  </r>
  <r>
    <x v="481"/>
    <s v="SZA"/>
    <n v="1"/>
    <d v="2022-12-09T00:00:00"/>
    <n v="811"/>
    <n v="0"/>
    <n v="6"/>
    <n v="11"/>
    <n v="3"/>
    <n v="0"/>
    <n v="0"/>
    <n v="57144458"/>
    <n v="81"/>
    <s v="G#"/>
    <s v="Major"/>
    <n v="47"/>
    <n v="33"/>
    <x v="2"/>
    <n v="68"/>
    <x v="0"/>
    <n v="24"/>
    <n v="0"/>
    <n v="22"/>
    <n v="38"/>
    <n v="49.917822125319979"/>
  </r>
  <r>
    <x v="482"/>
    <s v="SZA"/>
    <n v="1"/>
    <d v="2022-12-09T00:00:00"/>
    <n v="899"/>
    <n v="0"/>
    <n v="2"/>
    <n v="14"/>
    <n v="2"/>
    <n v="0"/>
    <n v="0"/>
    <n v="56870689"/>
    <n v="150"/>
    <s v="C#"/>
    <s v="Major"/>
    <n v="79"/>
    <n v="77"/>
    <x v="0"/>
    <n v="46"/>
    <x v="1"/>
    <n v="5"/>
    <n v="0"/>
    <n v="11"/>
    <n v="7"/>
    <n v="78.269955865108926"/>
  </r>
  <r>
    <x v="483"/>
    <s v="Taylor Swift, Lana Del Rey"/>
    <n v="2"/>
    <d v="2022-10-21T00:00:00"/>
    <n v="2415"/>
    <n v="0"/>
    <n v="33"/>
    <n v="57"/>
    <n v="30"/>
    <n v="0"/>
    <n v="11"/>
    <n v="323437194"/>
    <n v="110"/>
    <s v="A"/>
    <s v="Major"/>
    <n v="66"/>
    <n v="19"/>
    <x v="2"/>
    <n v="32"/>
    <x v="1"/>
    <n v="69"/>
    <n v="0"/>
    <n v="12"/>
    <n v="4"/>
    <n v="8.9451478922932814"/>
  </r>
  <r>
    <x v="484"/>
    <s v="Taylor Swift"/>
    <n v="1"/>
    <d v="2022-10-21T00:00:00"/>
    <n v="2304"/>
    <n v="0"/>
    <n v="12"/>
    <n v="16"/>
    <n v="14"/>
    <n v="0"/>
    <n v="0"/>
    <n v="317726339"/>
    <n v="108"/>
    <s v="G"/>
    <s v="Major"/>
    <n v="64"/>
    <n v="4"/>
    <x v="2"/>
    <n v="40"/>
    <x v="1"/>
    <n v="6"/>
    <n v="0"/>
    <n v="10"/>
    <n v="6"/>
    <n v="34.82679383791303"/>
  </r>
  <r>
    <x v="485"/>
    <s v="Dj LK da Esc√Ø¬ø¬Ω√Ø¬ø¬Ωcia, Tchakabum, mc jhenny, M"/>
    <n v="4"/>
    <d v="2022-09-28T00:00:00"/>
    <n v="1003"/>
    <n v="0"/>
    <n v="21"/>
    <n v="0"/>
    <n v="44"/>
    <n v="0"/>
    <n v="0"/>
    <n v="116144341"/>
    <n v="130"/>
    <s v="E"/>
    <s v="Minor"/>
    <n v="89"/>
    <n v="48"/>
    <x v="1"/>
    <n v="74"/>
    <x v="0"/>
    <n v="30"/>
    <n v="0"/>
    <n v="7"/>
    <n v="36"/>
    <n v="61.343477004978986"/>
  </r>
  <r>
    <x v="486"/>
    <s v="Taylor Swift"/>
    <n v="1"/>
    <d v="2022-10-21T00:00:00"/>
    <n v="2699"/>
    <n v="0"/>
    <n v="39"/>
    <n v="35"/>
    <n v="22"/>
    <n v="2"/>
    <n v="0"/>
    <n v="328207708"/>
    <n v="164"/>
    <s v="G"/>
    <s v="Major"/>
    <n v="70"/>
    <n v="39"/>
    <x v="2"/>
    <n v="56"/>
    <x v="0"/>
    <n v="6"/>
    <n v="0"/>
    <n v="9"/>
    <n v="7"/>
    <n v="48.050092005231384"/>
  </r>
  <r>
    <x v="487"/>
    <s v="Bad Bunny, Jhay Cortez"/>
    <n v="2"/>
    <d v="2022-05-06T00:00:00"/>
    <n v="2482"/>
    <n v="20"/>
    <n v="27"/>
    <n v="77"/>
    <n v="22"/>
    <n v="2"/>
    <n v="0"/>
    <n v="608228647"/>
    <n v="114"/>
    <s v="B"/>
    <s v="Minor"/>
    <n v="80"/>
    <n v="42"/>
    <x v="1"/>
    <n v="68"/>
    <x v="0"/>
    <n v="2"/>
    <n v="0"/>
    <n v="66"/>
    <n v="4"/>
    <n v="71.266730566441254"/>
  </r>
  <r>
    <x v="488"/>
    <s v="Gwen Stefani, Blake Shelton"/>
    <n v="2"/>
    <d v="2005-09-20T00:00:00"/>
    <n v="2577"/>
    <n v="0"/>
    <n v="108"/>
    <n v="56"/>
    <n v="30"/>
    <n v="0"/>
    <n v="0"/>
    <n v="180577478"/>
    <n v="93"/>
    <s v="F"/>
    <s v="Major"/>
    <n v="63"/>
    <n v="93"/>
    <x v="0"/>
    <n v="88"/>
    <x v="0"/>
    <n v="1"/>
    <n v="0"/>
    <n v="12"/>
    <n v="4"/>
    <n v="55.137614315511129"/>
  </r>
  <r>
    <x v="489"/>
    <s v="Chencho Corleone, Rauw Alejandro"/>
    <n v="2"/>
    <d v="2021-06-25T00:00:00"/>
    <n v="6821"/>
    <n v="34"/>
    <n v="83"/>
    <n v="58"/>
    <n v="128"/>
    <n v="7"/>
    <n v="0"/>
    <n v="809306935"/>
    <n v="90"/>
    <s v="C#"/>
    <s v="Minor"/>
    <n v="87"/>
    <n v="51"/>
    <x v="1"/>
    <n v="69"/>
    <x v="0"/>
    <n v="36"/>
    <n v="0"/>
    <n v="9"/>
    <n v="8"/>
    <n v="91.739066812046033"/>
  </r>
  <r>
    <x v="490"/>
    <s v="SZA"/>
    <n v="1"/>
    <d v="2022-12-08T00:00:00"/>
    <n v="714"/>
    <n v="0"/>
    <n v="0"/>
    <n v="9"/>
    <n v="2"/>
    <n v="0"/>
    <n v="0"/>
    <n v="49262961"/>
    <n v="128"/>
    <s v="B"/>
    <s v="Major"/>
    <n v="45"/>
    <n v="35"/>
    <x v="2"/>
    <n v="68"/>
    <x v="0"/>
    <n v="78"/>
    <n v="0"/>
    <n v="39"/>
    <n v="8"/>
    <n v="54.891454794678765"/>
  </r>
  <r>
    <x v="491"/>
    <s v="Bad Bunny, Rauw Alejandro"/>
    <n v="2"/>
    <d v="2022-05-06T00:00:00"/>
    <n v="3185"/>
    <n v="4"/>
    <n v="38"/>
    <n v="64"/>
    <n v="37"/>
    <n v="3"/>
    <n v="36"/>
    <n v="614555082"/>
    <n v="97"/>
    <s v="A"/>
    <s v="Major"/>
    <n v="83"/>
    <n v="47"/>
    <x v="1"/>
    <n v="80"/>
    <x v="0"/>
    <n v="2"/>
    <n v="0"/>
    <n v="24"/>
    <n v="9"/>
    <n v="30.559756161744534"/>
  </r>
  <r>
    <x v="492"/>
    <s v="Chuck Berry"/>
    <n v="1"/>
    <d v="1958-01-01T00:00:00"/>
    <n v="8612"/>
    <n v="0"/>
    <n v="120"/>
    <n v="30"/>
    <n v="52"/>
    <n v="0"/>
    <n v="1"/>
    <n v="245350949"/>
    <n v="152"/>
    <s v="G"/>
    <s v="Minor"/>
    <n v="69"/>
    <n v="94"/>
    <x v="0"/>
    <n v="71"/>
    <x v="0"/>
    <n v="79"/>
    <n v="0"/>
    <n v="7"/>
    <n v="8"/>
    <n v="7.3835024322310261"/>
  </r>
  <r>
    <x v="493"/>
    <s v="Frank Sinatra"/>
    <n v="1"/>
    <d v="1957-01-01T00:00:00"/>
    <n v="4326"/>
    <n v="0"/>
    <n v="32"/>
    <n v="3"/>
    <n v="65"/>
    <n v="0"/>
    <n v="0"/>
    <n v="178660459"/>
    <n v="175"/>
    <s v="G#"/>
    <s v="Major"/>
    <n v="51"/>
    <n v="94"/>
    <x v="0"/>
    <n v="34"/>
    <x v="1"/>
    <n v="73"/>
    <n v="0"/>
    <n v="10"/>
    <n v="5"/>
    <n v="95.418573058681005"/>
  </r>
  <r>
    <x v="494"/>
    <s v="SZA"/>
    <n v="1"/>
    <d v="2022-12-09T00:00:00"/>
    <n v="680"/>
    <n v="0"/>
    <n v="2"/>
    <n v="15"/>
    <n v="1"/>
    <n v="0"/>
    <n v="0"/>
    <n v="51641685"/>
    <n v="116"/>
    <s v="D"/>
    <s v="Major"/>
    <n v="61"/>
    <n v="48"/>
    <x v="1"/>
    <n v="55"/>
    <x v="0"/>
    <n v="67"/>
    <n v="0"/>
    <n v="16"/>
    <n v="8"/>
    <n v="46.799238249441032"/>
  </r>
  <r>
    <x v="495"/>
    <s v="John Legend, Metro Boomin"/>
    <n v="2"/>
    <d v="2022-12-02T00:00:00"/>
    <n v="398"/>
    <n v="0"/>
    <n v="2"/>
    <n v="2"/>
    <n v="6"/>
    <n v="0"/>
    <n v="2"/>
    <n v="78139948"/>
    <n v="80"/>
    <s v="F"/>
    <s v="Minor"/>
    <n v="33"/>
    <n v="51"/>
    <x v="1"/>
    <n v="59"/>
    <x v="0"/>
    <n v="76"/>
    <n v="0"/>
    <n v="44"/>
    <n v="6"/>
    <n v="65.614197639512909"/>
  </r>
  <r>
    <x v="496"/>
    <s v="Maldy, Karol G"/>
    <n v="2"/>
    <d v="2022-08-25T00:00:00"/>
    <n v="3328"/>
    <n v="13"/>
    <n v="39"/>
    <n v="50"/>
    <n v="57"/>
    <n v="3"/>
    <n v="1"/>
    <n v="322336177"/>
    <n v="93"/>
    <s v="B"/>
    <s v="Minor"/>
    <n v="63"/>
    <n v="34"/>
    <x v="2"/>
    <n v="86"/>
    <x v="0"/>
    <n v="26"/>
    <n v="0"/>
    <n v="21"/>
    <n v="39"/>
    <n v="56.574793670805136"/>
  </r>
  <r>
    <x v="497"/>
    <s v="Gayle"/>
    <n v="1"/>
    <d v="2021-08-13T00:00:00"/>
    <n v="7215"/>
    <n v="0"/>
    <n v="170"/>
    <n v="12"/>
    <n v="575"/>
    <n v="18"/>
    <m/>
    <n v="1007612429"/>
    <n v="122"/>
    <s v="E"/>
    <s v="Major"/>
    <n v="70"/>
    <n v="42"/>
    <x v="1"/>
    <n v="54"/>
    <x v="0"/>
    <n v="30"/>
    <n v="0"/>
    <n v="37"/>
    <n v="5"/>
    <n v="77.290458335740567"/>
  </r>
  <r>
    <x v="498"/>
    <s v="The Weeknd"/>
    <n v="1"/>
    <d v="2022-01-07T00:00:00"/>
    <n v="4440"/>
    <n v="0"/>
    <n v="81"/>
    <n v="77"/>
    <n v="133"/>
    <n v="0"/>
    <m/>
    <n v="326792833"/>
    <n v="122"/>
    <s v="G"/>
    <s v="Major"/>
    <n v="70"/>
    <n v="91"/>
    <x v="0"/>
    <n v="79"/>
    <x v="0"/>
    <n v="3"/>
    <n v="0"/>
    <n v="7"/>
    <n v="10"/>
    <n v="10.935884897087067"/>
  </r>
  <r>
    <x v="499"/>
    <s v="The Weeknd"/>
    <n v="1"/>
    <d v="2022-01-07T00:00:00"/>
    <n v="2881"/>
    <n v="6"/>
    <n v="13"/>
    <n v="89"/>
    <n v="34"/>
    <n v="0"/>
    <n v="3"/>
    <n v="391251368"/>
    <n v="135"/>
    <s v="A"/>
    <s v="Minor"/>
    <n v="70"/>
    <n v="60"/>
    <x v="1"/>
    <n v="58"/>
    <x v="0"/>
    <n v="4"/>
    <n v="0"/>
    <n v="16"/>
    <n v="3"/>
    <n v="54.964352028187925"/>
  </r>
  <r>
    <x v="500"/>
    <s v="Lauren Spencer Smith, Lauren Spencer Smith, Lauren Spencer Smith"/>
    <n v="3"/>
    <d v="2022-01-05T00:00:00"/>
    <n v="2235"/>
    <n v="0"/>
    <n v="65"/>
    <n v="7"/>
    <n v="70"/>
    <n v="16"/>
    <n v="6"/>
    <n v="349585590"/>
    <n v="109"/>
    <s v="F"/>
    <s v="Major"/>
    <n v="60"/>
    <n v="45"/>
    <x v="1"/>
    <n v="47"/>
    <x v="1"/>
    <n v="62"/>
    <n v="0"/>
    <n v="31"/>
    <n v="5"/>
    <n v="71.520448334127167"/>
  </r>
  <r>
    <x v="501"/>
    <s v="The Weeknd"/>
    <n v="1"/>
    <d v="2022-01-07T00:00:00"/>
    <n v="3711"/>
    <n v="0"/>
    <n v="49"/>
    <n v="88"/>
    <n v="62"/>
    <n v="0"/>
    <m/>
    <n v="339659802"/>
    <n v="93"/>
    <m/>
    <s v="Minor"/>
    <n v="65"/>
    <n v="82"/>
    <x v="0"/>
    <n v="74"/>
    <x v="0"/>
    <n v="27"/>
    <n v="0"/>
    <n v="32"/>
    <n v="5"/>
    <n v="57.26559979628145"/>
  </r>
  <r>
    <x v="502"/>
    <s v="Cherish, ACRAZE"/>
    <n v="2"/>
    <d v="2021-08-20T00:00:00"/>
    <n v="12403"/>
    <n v="0"/>
    <n v="183"/>
    <n v="63"/>
    <n v="465"/>
    <n v="0"/>
    <n v="11"/>
    <n v="674772936"/>
    <n v="125"/>
    <s v="B"/>
    <s v="Minor"/>
    <n v="85"/>
    <n v="64"/>
    <x v="1"/>
    <n v="81"/>
    <x v="0"/>
    <n v="2"/>
    <n v="5"/>
    <n v="7"/>
    <n v="9"/>
    <n v="1.2643589800058308"/>
  </r>
  <r>
    <x v="503"/>
    <s v="Adassa, Mauro Castillo, Stephanie Beatriz, Encanto - Cast, Rhenzy Feliz, Diane Guerrero, Carolina Gaitan"/>
    <n v="7"/>
    <d v="2021-11-19T00:00:00"/>
    <n v="2785"/>
    <n v="0"/>
    <n v="95"/>
    <n v="89"/>
    <n v="44"/>
    <n v="0"/>
    <m/>
    <n v="432719968"/>
    <n v="206"/>
    <m/>
    <s v="Minor"/>
    <n v="58"/>
    <n v="83"/>
    <x v="0"/>
    <n v="45"/>
    <x v="1"/>
    <n v="36"/>
    <n v="0"/>
    <n v="11"/>
    <n v="8"/>
    <n v="44.187838216334853"/>
  </r>
  <r>
    <x v="504"/>
    <s v="Farruko"/>
    <n v="1"/>
    <d v="2021-06-24T00:00:00"/>
    <n v="14114"/>
    <n v="17"/>
    <n v="252"/>
    <n v="109"/>
    <n v="965"/>
    <n v="20"/>
    <m/>
    <n v="1309887447"/>
    <n v="130"/>
    <s v="G"/>
    <s v="Major"/>
    <n v="76"/>
    <n v="44"/>
    <x v="1"/>
    <n v="77"/>
    <x v="0"/>
    <n v="1"/>
    <n v="0"/>
    <n v="13"/>
    <n v="3"/>
    <n v="18.96506096451165"/>
  </r>
  <r>
    <x v="505"/>
    <s v="The Weeknd"/>
    <n v="1"/>
    <d v="2022-01-07T00:00:00"/>
    <n v="1915"/>
    <n v="0"/>
    <n v="7"/>
    <n v="47"/>
    <n v="15"/>
    <n v="0"/>
    <n v="0"/>
    <n v="119238316"/>
    <n v="121"/>
    <s v="G"/>
    <s v="Minor"/>
    <n v="80"/>
    <n v="62"/>
    <x v="1"/>
    <n v="51"/>
    <x v="0"/>
    <n v="2"/>
    <n v="0"/>
    <n v="9"/>
    <n v="8"/>
    <n v="66.08408720642241"/>
  </r>
  <r>
    <x v="506"/>
    <s v="The Weeknd"/>
    <n v="1"/>
    <d v="2022-01-07T00:00:00"/>
    <n v="2297"/>
    <n v="0"/>
    <n v="11"/>
    <n v="29"/>
    <n v="14"/>
    <n v="0"/>
    <n v="0"/>
    <n v="116903579"/>
    <n v="123"/>
    <s v="F#"/>
    <s v="Minor"/>
    <n v="74"/>
    <n v="35"/>
    <x v="2"/>
    <n v="73"/>
    <x v="0"/>
    <n v="0"/>
    <n v="0"/>
    <n v="21"/>
    <n v="5"/>
    <n v="39.728853110993413"/>
  </r>
  <r>
    <x v="507"/>
    <s v="Jaymes Young"/>
    <n v="1"/>
    <d v="2017-06-23T00:00:00"/>
    <n v="4375"/>
    <n v="0"/>
    <n v="24"/>
    <n v="0"/>
    <n v="396"/>
    <n v="0"/>
    <n v="0"/>
    <n v="888046992"/>
    <n v="122"/>
    <s v="B"/>
    <s v="Minor"/>
    <n v="67"/>
    <n v="50"/>
    <x v="1"/>
    <n v="67"/>
    <x v="0"/>
    <n v="15"/>
    <n v="0"/>
    <n v="30"/>
    <n v="4"/>
    <n v="68.780493669616774"/>
  </r>
  <r>
    <x v="508"/>
    <s v="The Weeknd"/>
    <n v="1"/>
    <d v="2022-01-07T00:00:00"/>
    <n v="2800"/>
    <n v="0"/>
    <n v="18"/>
    <n v="77"/>
    <n v="61"/>
    <n v="0"/>
    <n v="1"/>
    <n v="200660871"/>
    <n v="143"/>
    <m/>
    <s v="Major"/>
    <n v="53"/>
    <n v="50"/>
    <x v="1"/>
    <n v="79"/>
    <x v="0"/>
    <n v="0"/>
    <n v="0"/>
    <n v="8"/>
    <n v="3"/>
    <n v="70.835206144703506"/>
  </r>
  <r>
    <x v="509"/>
    <s v="The Weeknd"/>
    <n v="1"/>
    <d v="2021-08-06T00:00:00"/>
    <n v="2597"/>
    <n v="0"/>
    <n v="17"/>
    <n v="80"/>
    <n v="38"/>
    <n v="0"/>
    <n v="0"/>
    <n v="130655803"/>
    <n v="121"/>
    <s v="A#"/>
    <s v="Minor"/>
    <n v="70"/>
    <n v="35"/>
    <x v="2"/>
    <n v="77"/>
    <x v="0"/>
    <n v="1"/>
    <n v="0"/>
    <n v="26"/>
    <n v="4"/>
    <n v="33.906015472666226"/>
  </r>
  <r>
    <x v="510"/>
    <s v="Olivia Rodrigo"/>
    <n v="1"/>
    <d v="2021-05-14T00:00:00"/>
    <n v="15563"/>
    <n v="6"/>
    <n v="259"/>
    <n v="55"/>
    <n v="461"/>
    <n v="1"/>
    <m/>
    <n v="1887039593"/>
    <n v="166"/>
    <s v="F#"/>
    <s v="Minor"/>
    <n v="56"/>
    <n v="68"/>
    <x v="1"/>
    <n v="66"/>
    <x v="0"/>
    <n v="28"/>
    <n v="0"/>
    <n v="11"/>
    <n v="18"/>
    <n v="38.930789820867695"/>
  </r>
  <r>
    <x v="511"/>
    <s v="The Weeknd, Tyler, The Creator"/>
    <n v="3"/>
    <d v="2022-01-07T00:00:00"/>
    <n v="1420"/>
    <n v="0"/>
    <n v="7"/>
    <n v="18"/>
    <n v="7"/>
    <n v="0"/>
    <n v="0"/>
    <n v="88103848"/>
    <n v="135"/>
    <s v="C#"/>
    <s v="Major"/>
    <n v="41"/>
    <n v="27"/>
    <x v="2"/>
    <n v="64"/>
    <x v="0"/>
    <n v="36"/>
    <n v="0"/>
    <n v="60"/>
    <n v="3"/>
    <n v="82.842113778506913"/>
  </r>
  <r>
    <x v="512"/>
    <s v="The Weeknd"/>
    <n v="1"/>
    <d v="2022-01-07T00:00:00"/>
    <n v="1292"/>
    <n v="0"/>
    <n v="3"/>
    <n v="18"/>
    <n v="14"/>
    <n v="0"/>
    <n v="0"/>
    <n v="101114984"/>
    <n v="87"/>
    <s v="E"/>
    <s v="Minor"/>
    <n v="49"/>
    <n v="49"/>
    <x v="1"/>
    <n v="59"/>
    <x v="0"/>
    <n v="44"/>
    <n v="0"/>
    <n v="35"/>
    <n v="21"/>
    <n v="30.255121977114953"/>
  </r>
  <r>
    <x v="513"/>
    <s v="SZA, Doja Cat"/>
    <n v="2"/>
    <d v="2021-04-09T00:00:00"/>
    <n v="15867"/>
    <n v="0"/>
    <n v="382"/>
    <n v="65"/>
    <n v="497"/>
    <n v="0"/>
    <n v="12"/>
    <n v="1575467011"/>
    <n v="111"/>
    <s v="G#"/>
    <s v="Major"/>
    <n v="77"/>
    <n v="74"/>
    <x v="0"/>
    <n v="66"/>
    <x v="0"/>
    <n v="30"/>
    <n v="0"/>
    <n v="13"/>
    <n v="3"/>
    <n v="49.678245586643143"/>
  </r>
  <r>
    <x v="514"/>
    <s v="The Weeknd, Lil Wayne"/>
    <n v="2"/>
    <d v="2022-01-07T00:00:00"/>
    <n v="1178"/>
    <n v="0"/>
    <n v="9"/>
    <n v="10"/>
    <n v="9"/>
    <n v="0"/>
    <n v="0"/>
    <n v="91656026"/>
    <n v="110"/>
    <s v="D"/>
    <s v="Major"/>
    <n v="75"/>
    <n v="85"/>
    <x v="0"/>
    <n v="84"/>
    <x v="0"/>
    <n v="10"/>
    <n v="0"/>
    <n v="31"/>
    <n v="19"/>
    <n v="28.988732375054237"/>
  </r>
  <r>
    <x v="515"/>
    <s v="Doja Cat"/>
    <n v="1"/>
    <d v="2021-06-11T00:00:00"/>
    <n v="6672"/>
    <n v="0"/>
    <n v="125"/>
    <n v="36"/>
    <n v="150"/>
    <n v="0"/>
    <m/>
    <n v="1042568408"/>
    <n v="130"/>
    <s v="C#"/>
    <s v="Major"/>
    <n v="66"/>
    <n v="19"/>
    <x v="2"/>
    <n v="61"/>
    <x v="0"/>
    <n v="30"/>
    <n v="0"/>
    <n v="9"/>
    <n v="7"/>
    <n v="74.749157289157935"/>
  </r>
  <r>
    <x v="516"/>
    <s v="Lil Nas X"/>
    <n v="1"/>
    <d v="2020-09-18T00:00:00"/>
    <n v="12329"/>
    <n v="0"/>
    <n v="275"/>
    <n v="19"/>
    <n v="738"/>
    <n v="0"/>
    <m/>
    <n v="1735441776"/>
    <n v="179"/>
    <s v="G#"/>
    <s v="Minor"/>
    <n v="61"/>
    <n v="76"/>
    <x v="0"/>
    <n v="51"/>
    <x v="0"/>
    <n v="30"/>
    <n v="0"/>
    <n v="38"/>
    <n v="15"/>
    <n v="10.992312010857464"/>
  </r>
  <r>
    <x v="517"/>
    <s v="Ckay"/>
    <n v="1"/>
    <d v="2019-07-26T00:00:00"/>
    <n v="5669"/>
    <n v="2"/>
    <n v="74"/>
    <n v="0"/>
    <n v="262"/>
    <n v="14"/>
    <m/>
    <n v="726837877"/>
    <n v="93"/>
    <s v="F"/>
    <s v="Minor"/>
    <n v="74"/>
    <n v="53"/>
    <x v="1"/>
    <n v="73"/>
    <x v="0"/>
    <n v="61"/>
    <n v="0"/>
    <n v="13"/>
    <n v="4"/>
    <n v="24.102582609326674"/>
  </r>
  <r>
    <x v="518"/>
    <s v="The Weeknd"/>
    <n v="1"/>
    <d v="2022-01-07T00:00:00"/>
    <n v="811"/>
    <n v="0"/>
    <n v="1"/>
    <n v="8"/>
    <n v="6"/>
    <n v="0"/>
    <n v="0"/>
    <n v="53933526"/>
    <n v="78"/>
    <s v="A"/>
    <s v="Minor"/>
    <n v="27"/>
    <n v="10"/>
    <x v="2"/>
    <n v="49"/>
    <x v="1"/>
    <n v="62"/>
    <n v="0"/>
    <n v="49"/>
    <n v="5"/>
    <n v="73.109038702110212"/>
  </r>
  <r>
    <x v="519"/>
    <s v="Jessica Darrow"/>
    <n v="1"/>
    <d v="2021-11-19T00:00:00"/>
    <n v="1756"/>
    <n v="0"/>
    <n v="38"/>
    <n v="48"/>
    <n v="20"/>
    <n v="0"/>
    <n v="0"/>
    <n v="267758538"/>
    <n v="180"/>
    <s v="D"/>
    <s v="Major"/>
    <n v="65"/>
    <n v="37"/>
    <x v="2"/>
    <n v="58"/>
    <x v="0"/>
    <n v="2"/>
    <n v="0"/>
    <n v="4"/>
    <n v="31"/>
    <n v="2.3293742352738622"/>
  </r>
  <r>
    <x v="520"/>
    <s v="The Weeknd"/>
    <n v="1"/>
    <d v="2022-01-07T00:00:00"/>
    <n v="1014"/>
    <n v="0"/>
    <n v="1"/>
    <n v="17"/>
    <n v="11"/>
    <n v="0"/>
    <n v="0"/>
    <n v="74601456"/>
    <n v="86"/>
    <s v="A"/>
    <s v="Minor"/>
    <n v="28"/>
    <n v="13"/>
    <x v="2"/>
    <n v="41"/>
    <x v="1"/>
    <n v="50"/>
    <n v="0"/>
    <n v="19"/>
    <n v="3"/>
    <n v="68.949861413140368"/>
  </r>
  <r>
    <x v="521"/>
    <s v="Lil Nas X"/>
    <n v="1"/>
    <d v="2021-09-17T00:00:00"/>
    <n v="7963"/>
    <n v="0"/>
    <n v="173"/>
    <n v="7"/>
    <n v="298"/>
    <n v="0"/>
    <n v="4"/>
    <n v="920797189"/>
    <n v="88"/>
    <s v="C#"/>
    <s v="Minor"/>
    <n v="74"/>
    <n v="55"/>
    <x v="1"/>
    <n v="85"/>
    <x v="0"/>
    <n v="1"/>
    <n v="0"/>
    <n v="5"/>
    <n v="22"/>
    <n v="54.906987212493455"/>
  </r>
  <r>
    <x v="522"/>
    <s v="The Weeknd, Post Malone"/>
    <n v="2"/>
    <d v="2021-11-05T00:00:00"/>
    <n v="4771"/>
    <n v="0"/>
    <n v="68"/>
    <n v="18"/>
    <n v="75"/>
    <n v="0"/>
    <n v="1"/>
    <n v="539595276"/>
    <n v="97"/>
    <s v="C#"/>
    <s v="Major"/>
    <n v="68"/>
    <n v="72"/>
    <x v="0"/>
    <n v="78"/>
    <x v="0"/>
    <n v="4"/>
    <n v="0"/>
    <n v="7"/>
    <n v="5"/>
    <n v="43.034842164077503"/>
  </r>
  <r>
    <x v="523"/>
    <s v="M√Ø¬ø¬Ω√Ø¬ø¬Ωne"/>
    <n v="1"/>
    <d v="2017-12-08T00:00:00"/>
    <n v="8559"/>
    <n v="0"/>
    <n v="183"/>
    <n v="64"/>
    <n v="964"/>
    <n v="9"/>
    <n v="75"/>
    <n v="1367810478"/>
    <n v="134"/>
    <s v="B"/>
    <s v="Minor"/>
    <n v="71"/>
    <n v="59"/>
    <x v="1"/>
    <n v="80"/>
    <x v="0"/>
    <n v="13"/>
    <n v="0"/>
    <n v="36"/>
    <n v="5"/>
    <n v="36.679213415000923"/>
  </r>
  <r>
    <x v="524"/>
    <s v="Aitana, zzoilo"/>
    <n v="2"/>
    <d v="2020-09-21T00:00:00"/>
    <n v="3221"/>
    <n v="2"/>
    <n v="67"/>
    <n v="13"/>
    <n v="139"/>
    <n v="0"/>
    <n v="40"/>
    <n v="578207856"/>
    <n v="116"/>
    <s v="D"/>
    <s v="Major"/>
    <n v="75"/>
    <n v="36"/>
    <x v="2"/>
    <n v="76"/>
    <x v="0"/>
    <n v="12"/>
    <n v="0"/>
    <n v="10"/>
    <n v="10"/>
    <n v="29.497441247387268"/>
  </r>
  <r>
    <x v="525"/>
    <s v="Julieta Venegas, Bad Bunny, Tainy"/>
    <n v="3"/>
    <d v="2021-10-05T00:00:00"/>
    <n v="3423"/>
    <n v="26"/>
    <n v="61"/>
    <n v="65"/>
    <n v="53"/>
    <n v="6"/>
    <n v="0"/>
    <n v="775542072"/>
    <n v="170"/>
    <s v="E"/>
    <s v="Minor"/>
    <n v="64"/>
    <n v="14"/>
    <x v="2"/>
    <n v="70"/>
    <x v="0"/>
    <n v="9"/>
    <n v="0"/>
    <n v="9"/>
    <n v="8"/>
    <n v="95.46998040208743"/>
  </r>
  <r>
    <x v="526"/>
    <s v="Lisa"/>
    <n v="1"/>
    <d v="2021-09-10T00:00:00"/>
    <n v="2566"/>
    <n v="13"/>
    <n v="44"/>
    <n v="109"/>
    <n v="131"/>
    <n v="0"/>
    <m/>
    <n v="863625566"/>
    <n v="140"/>
    <s v="C#"/>
    <s v="Minor"/>
    <n v="83"/>
    <n v="40"/>
    <x v="1"/>
    <n v="55"/>
    <x v="0"/>
    <n v="16"/>
    <n v="0"/>
    <n v="14"/>
    <n v="23"/>
    <n v="40.400356243681188"/>
  </r>
  <r>
    <x v="527"/>
    <s v="Ti√Ø¬ø¬Ω√Ø¬ø¬Ωsto, Ava"/>
    <n v="2"/>
    <d v="2021-11-04T00:00:00"/>
    <n v="9151"/>
    <n v="6"/>
    <n v="240"/>
    <n v="107"/>
    <n v="268"/>
    <n v="0"/>
    <n v="5"/>
    <n v="656013912"/>
    <n v="118"/>
    <s v="G"/>
    <s v="Minor"/>
    <n v="75"/>
    <n v="46"/>
    <x v="1"/>
    <n v="76"/>
    <x v="0"/>
    <n v="3"/>
    <n v="0"/>
    <n v="9"/>
    <n v="4"/>
    <n v="30.978409589160993"/>
  </r>
  <r>
    <x v="528"/>
    <s v="Billie Eilish"/>
    <n v="1"/>
    <d v="2021-07-30T00:00:00"/>
    <n v="8476"/>
    <n v="0"/>
    <n v="138"/>
    <n v="133"/>
    <n v="283"/>
    <n v="0"/>
    <m/>
    <n v="1056760045"/>
    <n v="65"/>
    <m/>
    <s v="Major"/>
    <n v="31"/>
    <n v="31"/>
    <x v="2"/>
    <n v="24"/>
    <x v="1"/>
    <n v="76"/>
    <n v="0"/>
    <n v="14"/>
    <n v="4"/>
    <n v="95.800053871293784"/>
  </r>
  <r>
    <x v="529"/>
    <s v="The Weeknd, Swedish House Mafia"/>
    <n v="2"/>
    <d v="2021-10-22T00:00:00"/>
    <n v="7495"/>
    <n v="17"/>
    <n v="114"/>
    <n v="172"/>
    <n v="284"/>
    <n v="2"/>
    <m/>
    <n v="611994237"/>
    <n v="120"/>
    <m/>
    <s v="Minor"/>
    <n v="56"/>
    <n v="16"/>
    <x v="2"/>
    <n v="67"/>
    <x v="0"/>
    <n v="0"/>
    <n v="0"/>
    <n v="11"/>
    <n v="4"/>
    <n v="18.95130323565245"/>
  </r>
  <r>
    <x v="530"/>
    <s v="Juan Cruz Toledo, Huilen Toledo"/>
    <n v="2"/>
    <d v="2021-05-21T00:00:00"/>
    <n v="5257"/>
    <n v="6"/>
    <n v="85"/>
    <n v="43"/>
    <n v="134"/>
    <n v="0"/>
    <m/>
    <n v="1230855859"/>
    <n v="176"/>
    <s v="D#"/>
    <s v="Major"/>
    <n v="29"/>
    <n v="12"/>
    <x v="2"/>
    <n v="33"/>
    <x v="1"/>
    <n v="68"/>
    <n v="0"/>
    <n v="12"/>
    <n v="5"/>
    <n v="9.9084471719176328"/>
  </r>
  <r>
    <x v="531"/>
    <s v="BoyWithUke"/>
    <n v="1"/>
    <d v="2021-09-10T00:00:00"/>
    <n v="1795"/>
    <n v="0"/>
    <n v="34"/>
    <n v="23"/>
    <n v="118"/>
    <n v="0"/>
    <m/>
    <n v="582981380"/>
    <n v="180"/>
    <s v="G#"/>
    <s v="Minor"/>
    <n v="59"/>
    <n v="69"/>
    <x v="1"/>
    <n v="61"/>
    <x v="0"/>
    <n v="84"/>
    <n v="0"/>
    <n v="46"/>
    <n v="36"/>
    <n v="41.315383931575752"/>
  </r>
  <r>
    <x v="532"/>
    <s v="Olivia Rodrigo"/>
    <n v="1"/>
    <d v="2021-01-08T00:00:00"/>
    <n v="12685"/>
    <n v="3"/>
    <n v="185"/>
    <n v="61"/>
    <n v="485"/>
    <n v="0"/>
    <m/>
    <n v="1858144199"/>
    <n v="144"/>
    <s v="A#"/>
    <s v="Major"/>
    <n v="59"/>
    <n v="21"/>
    <x v="2"/>
    <n v="43"/>
    <x v="1"/>
    <n v="76"/>
    <n v="0"/>
    <n v="10"/>
    <n v="7"/>
    <n v="30.737587008804013"/>
  </r>
  <r>
    <x v="533"/>
    <s v="Xam√Ø¬ø¬Ω√Ø¬ø¬Ω, Gustah, Neo B"/>
    <n v="3"/>
    <d v="2021-11-30T00:00:00"/>
    <n v="648"/>
    <n v="1"/>
    <n v="14"/>
    <n v="3"/>
    <n v="81"/>
    <n v="0"/>
    <n v="0"/>
    <n v="240684449"/>
    <n v="133"/>
    <s v="F#"/>
    <s v="Minor"/>
    <n v="82"/>
    <n v="52"/>
    <x v="1"/>
    <n v="61"/>
    <x v="0"/>
    <n v="38"/>
    <n v="0"/>
    <n v="14"/>
    <n v="27"/>
    <n v="92.924004723522657"/>
  </r>
  <r>
    <x v="534"/>
    <s v="Taylor Swift"/>
    <n v="1"/>
    <d v="2021-11-12T00:00:00"/>
    <n v="4635"/>
    <n v="5"/>
    <n v="50"/>
    <n v="49"/>
    <n v="30"/>
    <n v="1"/>
    <n v="2"/>
    <n v="583687007"/>
    <n v="93"/>
    <m/>
    <s v="Major"/>
    <n v="63"/>
    <n v="21"/>
    <x v="2"/>
    <n v="52"/>
    <x v="0"/>
    <n v="28"/>
    <n v="0"/>
    <n v="9"/>
    <n v="3"/>
    <n v="43.19713557651702"/>
  </r>
  <r>
    <x v="535"/>
    <s v="The Weeknd"/>
    <n v="1"/>
    <d v="2022-01-07T00:00:00"/>
    <n v="1184"/>
    <n v="0"/>
    <n v="1"/>
    <n v="5"/>
    <n v="6"/>
    <n v="0"/>
    <n v="0"/>
    <n v="63803529"/>
    <n v="122"/>
    <s v="A#"/>
    <s v="Major"/>
    <n v="77"/>
    <n v="25"/>
    <x v="2"/>
    <n v="62"/>
    <x v="0"/>
    <n v="34"/>
    <n v="0"/>
    <n v="23"/>
    <n v="3"/>
    <n v="37.784038204413783"/>
  </r>
  <r>
    <x v="536"/>
    <s v="Adele"/>
    <n v="1"/>
    <d v="2021-11-19T00:00:00"/>
    <n v="4431"/>
    <n v="0"/>
    <n v="105"/>
    <n v="7"/>
    <n v="199"/>
    <n v="0"/>
    <n v="0"/>
    <n v="466214729"/>
    <n v="88"/>
    <s v="C#"/>
    <s v="Major"/>
    <n v="53"/>
    <n v="55"/>
    <x v="1"/>
    <n v="73"/>
    <x v="0"/>
    <n v="9"/>
    <n v="0"/>
    <n v="3"/>
    <n v="5"/>
    <n v="47.692513580239684"/>
  </r>
  <r>
    <x v="537"/>
    <s v="Lit Killah, Maria Becerra, Tiago pzk, NICKI NICOLE"/>
    <n v="4"/>
    <d v="2022-01-05T00:00:00"/>
    <n v="759"/>
    <n v="3"/>
    <n v="32"/>
    <n v="0"/>
    <n v="12"/>
    <n v="0"/>
    <n v="0"/>
    <n v="236940480"/>
    <n v="170"/>
    <s v="F"/>
    <s v="Minor"/>
    <n v="70"/>
    <n v="61"/>
    <x v="1"/>
    <n v="44"/>
    <x v="1"/>
    <n v="40"/>
    <n v="0"/>
    <n v="37"/>
    <n v="4"/>
    <n v="85.695216323297913"/>
  </r>
  <r>
    <x v="538"/>
    <s v="The Weeknd"/>
    <n v="1"/>
    <d v="2022-01-07T00:00:00"/>
    <n v="733"/>
    <n v="0"/>
    <n v="0"/>
    <n v="2"/>
    <n v="2"/>
    <n v="0"/>
    <n v="0"/>
    <n v="41924466"/>
    <n v="94"/>
    <s v="F"/>
    <s v="Minor"/>
    <n v="46"/>
    <n v="55"/>
    <x v="1"/>
    <n v="50"/>
    <x v="1"/>
    <n v="71"/>
    <n v="0"/>
    <n v="10"/>
    <n v="11"/>
    <n v="88.365423731884235"/>
  </r>
  <r>
    <x v="539"/>
    <s v="Emmy Meli"/>
    <n v="1"/>
    <d v="2021-11-18T00:00:00"/>
    <n v="2795"/>
    <n v="0"/>
    <n v="45"/>
    <n v="0"/>
    <n v="107"/>
    <n v="0"/>
    <n v="0"/>
    <n v="225259194"/>
    <n v="170"/>
    <s v="A#"/>
    <s v="Major"/>
    <n v="65"/>
    <n v="46"/>
    <x v="1"/>
    <n v="47"/>
    <x v="1"/>
    <n v="12"/>
    <n v="0"/>
    <n v="13"/>
    <n v="16"/>
    <n v="54.050073180711209"/>
  </r>
  <r>
    <x v="540"/>
    <s v="Justin Quiles, Lenny Tav√Ø¬ø¬Ω√Ø¬ø¬Ωrez, BL"/>
    <n v="3"/>
    <d v="2021-10-27T00:00:00"/>
    <n v="2780"/>
    <n v="2"/>
    <n v="54"/>
    <n v="21"/>
    <n v="57"/>
    <n v="1"/>
    <n v="0"/>
    <n v="393230256"/>
    <n v="90"/>
    <s v="E"/>
    <s v="Minor"/>
    <n v="79"/>
    <n v="79"/>
    <x v="0"/>
    <n v="70"/>
    <x v="0"/>
    <n v="57"/>
    <n v="0"/>
    <n v="66"/>
    <n v="8"/>
    <n v="94.24860833051325"/>
  </r>
  <r>
    <x v="541"/>
    <s v="Shawn Mendes"/>
    <n v="1"/>
    <d v="2021-12-01T00:00:00"/>
    <n v="1950"/>
    <n v="0"/>
    <n v="56"/>
    <n v="8"/>
    <n v="104"/>
    <n v="0"/>
    <n v="10"/>
    <n v="287201015"/>
    <n v="78"/>
    <s v="G"/>
    <s v="Major"/>
    <n v="40"/>
    <n v="7"/>
    <x v="2"/>
    <n v="29"/>
    <x v="1"/>
    <n v="62"/>
    <n v="0"/>
    <n v="9"/>
    <n v="3"/>
    <n v="89.762295876497646"/>
  </r>
  <r>
    <x v="542"/>
    <s v="The Neighbourhood"/>
    <n v="1"/>
    <d v="2018-03-09T00:00:00"/>
    <n v="3947"/>
    <n v="12"/>
    <n v="33"/>
    <n v="102"/>
    <n v="93"/>
    <n v="0"/>
    <n v="30"/>
    <n v="599770206"/>
    <n v="94"/>
    <s v="D"/>
    <s v="Major"/>
    <n v="57"/>
    <n v="36"/>
    <x v="2"/>
    <n v="58"/>
    <x v="0"/>
    <n v="5"/>
    <n v="0"/>
    <n v="15"/>
    <n v="3"/>
    <n v="52.683984180240529"/>
  </r>
  <r>
    <x v="543"/>
    <s v="Kodak Black"/>
    <n v="1"/>
    <d v="2021-10-30T00:00:00"/>
    <n v="2551"/>
    <n v="0"/>
    <n v="52"/>
    <n v="15"/>
    <n v="35"/>
    <n v="0"/>
    <n v="1"/>
    <n v="342779426"/>
    <n v="73"/>
    <s v="D"/>
    <s v="Major"/>
    <n v="83"/>
    <n v="11"/>
    <x v="2"/>
    <n v="41"/>
    <x v="1"/>
    <n v="0"/>
    <n v="0"/>
    <n v="36"/>
    <n v="14"/>
    <n v="32.047989298324552"/>
  </r>
  <r>
    <x v="544"/>
    <s v="Aventura, Bad Bunny"/>
    <n v="2"/>
    <d v="2021-08-03T00:00:00"/>
    <n v="5375"/>
    <n v="10"/>
    <n v="138"/>
    <n v="24"/>
    <n v="133"/>
    <n v="0"/>
    <n v="1"/>
    <n v="673801126"/>
    <n v="176"/>
    <s v="C#"/>
    <s v="Major"/>
    <n v="73"/>
    <n v="79"/>
    <x v="0"/>
    <n v="86"/>
    <x v="0"/>
    <n v="42"/>
    <n v="0"/>
    <n v="7"/>
    <n v="18"/>
    <n v="92.905289014700926"/>
  </r>
  <r>
    <x v="545"/>
    <s v="Rauw Alejandro"/>
    <n v="1"/>
    <d v="2020-11-02T00:00:00"/>
    <n v="11975"/>
    <n v="8"/>
    <n v="188"/>
    <n v="75"/>
    <n v="268"/>
    <n v="6"/>
    <n v="16"/>
    <n v="1168642797"/>
    <n v="128"/>
    <s v="D#"/>
    <s v="Minor"/>
    <n v="81"/>
    <n v="57"/>
    <x v="1"/>
    <n v="63"/>
    <x v="0"/>
    <n v="40"/>
    <n v="1"/>
    <n v="10"/>
    <n v="4"/>
    <n v="10.697464915049714"/>
  </r>
  <r>
    <x v="546"/>
    <s v="Ckay, AX'EL, Dj Yo!"/>
    <n v="3"/>
    <d v="2019-08-30T00:00:00"/>
    <n v="2696"/>
    <n v="0"/>
    <n v="42"/>
    <n v="2"/>
    <n v="57"/>
    <n v="0"/>
    <m/>
    <n v="540539717"/>
    <n v="120"/>
    <s v="G#"/>
    <s v="Major"/>
    <n v="58"/>
    <n v="44"/>
    <x v="1"/>
    <n v="60"/>
    <x v="0"/>
    <n v="44"/>
    <n v="9"/>
    <n v="5"/>
    <n v="6"/>
    <n v="5.8338959180956333"/>
  </r>
  <r>
    <x v="547"/>
    <s v="Bruno Mars, Anderson .Paak, Silk Sonic"/>
    <n v="3"/>
    <d v="2021-11-05T00:00:00"/>
    <n v="4963"/>
    <n v="0"/>
    <n v="63"/>
    <n v="40"/>
    <n v="76"/>
    <n v="0"/>
    <n v="0"/>
    <n v="383550148"/>
    <n v="82"/>
    <s v="D"/>
    <s v="Major"/>
    <n v="63"/>
    <n v="85"/>
    <x v="0"/>
    <n v="62"/>
    <x v="0"/>
    <n v="6"/>
    <n v="0"/>
    <n v="35"/>
    <n v="4"/>
    <n v="99.202114285433808"/>
  </r>
  <r>
    <x v="548"/>
    <s v="THE ANXIETY, Willow, Tyler Cole"/>
    <n v="3"/>
    <d v="2020-03-13T00:00:00"/>
    <n v="6734"/>
    <n v="0"/>
    <n v="47"/>
    <n v="14"/>
    <n v="90"/>
    <n v="0"/>
    <n v="1"/>
    <n v="530511203"/>
    <n v="95"/>
    <s v="D"/>
    <s v="Major"/>
    <n v="77"/>
    <n v="40"/>
    <x v="1"/>
    <n v="47"/>
    <x v="1"/>
    <n v="2"/>
    <n v="0"/>
    <n v="9"/>
    <n v="3"/>
    <n v="4.1920784691131585"/>
  </r>
  <r>
    <x v="549"/>
    <s v="The Weeknd"/>
    <n v="1"/>
    <d v="2022-01-07T00:00:00"/>
    <n v="715"/>
    <n v="0"/>
    <n v="0"/>
    <n v="1"/>
    <n v="2"/>
    <n v="0"/>
    <n v="0"/>
    <n v="37307967"/>
    <n v="118"/>
    <m/>
    <s v="Major"/>
    <n v="44"/>
    <n v="52"/>
    <x v="1"/>
    <n v="94"/>
    <x v="0"/>
    <n v="11"/>
    <n v="0"/>
    <n v="4"/>
    <n v="29"/>
    <n v="31.007759673706726"/>
  </r>
  <r>
    <x v="550"/>
    <s v="Sebastian Yatra"/>
    <n v="1"/>
    <d v="2021-10-22T00:00:00"/>
    <n v="3047"/>
    <n v="9"/>
    <n v="77"/>
    <n v="31"/>
    <n v="85"/>
    <n v="5"/>
    <n v="28"/>
    <n v="510876816"/>
    <n v="123"/>
    <s v="B"/>
    <s v="Minor"/>
    <n v="75"/>
    <n v="93"/>
    <x v="0"/>
    <n v="86"/>
    <x v="0"/>
    <n v="8"/>
    <n v="0"/>
    <n v="14"/>
    <n v="3"/>
    <n v="88.262367313677558"/>
  </r>
  <r>
    <x v="551"/>
    <s v="Justin Bieber, Daniel Caesar, Giveon"/>
    <n v="3"/>
    <d v="2021-03-19T00:00:00"/>
    <n v="14140"/>
    <n v="0"/>
    <n v="231"/>
    <n v="52"/>
    <n v="612"/>
    <n v="6"/>
    <m/>
    <n v="1445941661"/>
    <n v="90"/>
    <m/>
    <s v="Major"/>
    <n v="63"/>
    <n v="49"/>
    <x v="1"/>
    <n v="68"/>
    <x v="0"/>
    <n v="38"/>
    <n v="0"/>
    <n v="42"/>
    <n v="18"/>
    <n v="68.729547403884325"/>
  </r>
  <r>
    <x v="552"/>
    <s v="Bad Bunny, Jhay Cortez"/>
    <n v="2"/>
    <d v="2020-10-30T00:00:00"/>
    <n v="11215"/>
    <n v="21"/>
    <n v="189"/>
    <n v="166"/>
    <n v="525"/>
    <n v="9"/>
    <n v="25"/>
    <n v="1763363713"/>
    <n v="110"/>
    <s v="E"/>
    <s v="Minor"/>
    <n v="73"/>
    <n v="14"/>
    <x v="2"/>
    <n v="57"/>
    <x v="0"/>
    <n v="40"/>
    <n v="0"/>
    <n v="11"/>
    <n v="5"/>
    <n v="20.830792437975088"/>
  </r>
  <r>
    <x v="553"/>
    <s v="Bizarrap, Tiago pzk"/>
    <n v="2"/>
    <d v="2021-12-29T00:00:00"/>
    <n v="1678"/>
    <n v="12"/>
    <n v="20"/>
    <n v="4"/>
    <n v="15"/>
    <n v="1"/>
    <n v="3"/>
    <n v="374191487"/>
    <n v="96"/>
    <s v="C#"/>
    <s v="Minor"/>
    <n v="66"/>
    <n v="76"/>
    <x v="0"/>
    <n v="82"/>
    <x v="0"/>
    <n v="47"/>
    <n v="0"/>
    <n v="10"/>
    <n v="32"/>
    <n v="29.043597945713806"/>
  </r>
  <r>
    <x v="554"/>
    <s v="Stromae"/>
    <n v="1"/>
    <d v="2022-01-09T00:00:00"/>
    <n v="2035"/>
    <n v="0"/>
    <n v="41"/>
    <n v="122"/>
    <n v="394"/>
    <n v="0"/>
    <n v="2"/>
    <n v="108809090"/>
    <n v="88"/>
    <s v="D"/>
    <s v="Minor"/>
    <n v="56"/>
    <n v="58"/>
    <x v="1"/>
    <n v="55"/>
    <x v="0"/>
    <n v="35"/>
    <n v="0"/>
    <n v="23"/>
    <n v="11"/>
    <n v="95.654683647906964"/>
  </r>
  <r>
    <x v="555"/>
    <s v="Chris Brown, Rvssian, Rauw Alejandro"/>
    <n v="3"/>
    <d v="2021-09-08T00:00:00"/>
    <n v="2780"/>
    <n v="2"/>
    <n v="86"/>
    <n v="76"/>
    <n v="59"/>
    <n v="0"/>
    <n v="16"/>
    <n v="436695353"/>
    <n v="98"/>
    <s v="A"/>
    <s v="Minor"/>
    <n v="73"/>
    <n v="60"/>
    <x v="1"/>
    <n v="85"/>
    <x v="0"/>
    <n v="17"/>
    <n v="0"/>
    <n v="24"/>
    <n v="5"/>
    <n v="72.411763541130242"/>
  </r>
  <r>
    <x v="556"/>
    <s v="NEIKED, Mae Muller, Polo G"/>
    <n v="3"/>
    <d v="2021-09-24T00:00:00"/>
    <n v="4091"/>
    <n v="0"/>
    <n v="105"/>
    <n v="2"/>
    <n v="73"/>
    <n v="13"/>
    <n v="1"/>
    <n v="421040617"/>
    <n v="110"/>
    <m/>
    <s v="Minor"/>
    <n v="72"/>
    <n v="67"/>
    <x v="1"/>
    <n v="68"/>
    <x v="0"/>
    <n v="0"/>
    <n v="0"/>
    <n v="14"/>
    <n v="4"/>
    <n v="33.636547373384708"/>
  </r>
  <r>
    <x v="557"/>
    <s v="Oliver Tree"/>
    <n v="1"/>
    <d v="2020-07-17T00:00:00"/>
    <n v="2868"/>
    <n v="0"/>
    <n v="43"/>
    <n v="15"/>
    <n v="116"/>
    <n v="0"/>
    <m/>
    <n v="501541661"/>
    <n v="80"/>
    <m/>
    <s v="Major"/>
    <n v="70"/>
    <n v="57"/>
    <x v="1"/>
    <n v="49"/>
    <x v="1"/>
    <n v="19"/>
    <n v="0"/>
    <n v="12"/>
    <n v="8"/>
    <n v="85.235333045196057"/>
  </r>
  <r>
    <x v="558"/>
    <s v="Kali Uchis, Amaarae, Moliy"/>
    <n v="3"/>
    <d v="2021-09-16T00:00:00"/>
    <n v="3643"/>
    <n v="0"/>
    <n v="69"/>
    <n v="3"/>
    <n v="70"/>
    <n v="0"/>
    <n v="3"/>
    <n v="354065229"/>
    <n v="110"/>
    <s v="C#"/>
    <s v="Minor"/>
    <n v="86"/>
    <n v="31"/>
    <x v="2"/>
    <n v="53"/>
    <x v="0"/>
    <n v="43"/>
    <n v="0"/>
    <n v="11"/>
    <n v="6"/>
    <n v="72.254071253149633"/>
  </r>
  <r>
    <x v="559"/>
    <s v="BTS"/>
    <n v="1"/>
    <d v="2021-05-21T00:00:00"/>
    <n v="4779"/>
    <n v="6"/>
    <n v="180"/>
    <n v="135"/>
    <n v="223"/>
    <n v="0"/>
    <n v="5"/>
    <n v="1143647827"/>
    <n v="110"/>
    <s v="G#"/>
    <s v="Major"/>
    <n v="79"/>
    <n v="70"/>
    <x v="1"/>
    <n v="36"/>
    <x v="1"/>
    <n v="0"/>
    <n v="0"/>
    <n v="6"/>
    <n v="11"/>
    <n v="47.604545443663881"/>
  </r>
  <r>
    <x v="560"/>
    <s v="Young Thug, Future, Gunna"/>
    <n v="3"/>
    <d v="2022-01-07T00:00:00"/>
    <n v="3517"/>
    <n v="0"/>
    <n v="54"/>
    <n v="28"/>
    <n v="43"/>
    <n v="0"/>
    <n v="0"/>
    <n v="311395144"/>
    <n v="78"/>
    <s v="C#"/>
    <s v="Minor"/>
    <n v="77"/>
    <n v="49"/>
    <x v="1"/>
    <n v="42"/>
    <x v="1"/>
    <n v="1"/>
    <n v="1"/>
    <n v="13"/>
    <n v="19"/>
    <n v="59.136607056069614"/>
  </r>
  <r>
    <x v="561"/>
    <s v="Doja Cat, The Weeknd"/>
    <n v="2"/>
    <d v="2021-06-24T00:00:00"/>
    <n v="5073"/>
    <n v="0"/>
    <n v="83"/>
    <n v="9"/>
    <n v="100"/>
    <n v="0"/>
    <n v="4"/>
    <n v="672656250"/>
    <n v="129"/>
    <s v="G#"/>
    <s v="Major"/>
    <n v="83"/>
    <n v="44"/>
    <x v="1"/>
    <n v="62"/>
    <x v="0"/>
    <n v="2"/>
    <n v="0"/>
    <n v="8"/>
    <n v="6"/>
    <n v="66.932832728584728"/>
  </r>
  <r>
    <x v="562"/>
    <s v="Olivia Rodrigo"/>
    <n v="1"/>
    <d v="2021-04-01T00:00:00"/>
    <n v="7545"/>
    <n v="4"/>
    <n v="117"/>
    <n v="39"/>
    <n v="141"/>
    <n v="0"/>
    <n v="46"/>
    <n v="1256880657"/>
    <n v="181"/>
    <s v="A"/>
    <s v="Major"/>
    <n v="44"/>
    <n v="22"/>
    <x v="2"/>
    <n v="60"/>
    <x v="0"/>
    <n v="61"/>
    <n v="0"/>
    <n v="42"/>
    <n v="9"/>
    <n v="77.530844336369583"/>
  </r>
  <r>
    <x v="563"/>
    <s v="BTS"/>
    <n v="1"/>
    <d v="2020-08-21T00:00:00"/>
    <n v="8528"/>
    <n v="5"/>
    <n v="239"/>
    <n v="163"/>
    <n v="583"/>
    <n v="0"/>
    <m/>
    <n v="1692897992"/>
    <n v="114"/>
    <s v="F#"/>
    <s v="Minor"/>
    <n v="75"/>
    <n v="74"/>
    <x v="0"/>
    <n v="77"/>
    <x v="0"/>
    <n v="1"/>
    <n v="0"/>
    <n v="9"/>
    <n v="10"/>
    <n v="16.622543015820725"/>
  </r>
  <r>
    <x v="564"/>
    <s v="Jnr Choi"/>
    <n v="1"/>
    <d v="2021-11-05T00:00:00"/>
    <n v="2979"/>
    <n v="0"/>
    <n v="44"/>
    <n v="0"/>
    <n v="159"/>
    <n v="0"/>
    <n v="0"/>
    <n v="245095641"/>
    <n v="144"/>
    <s v="D"/>
    <s v="Major"/>
    <n v="74"/>
    <n v="39"/>
    <x v="2"/>
    <n v="65"/>
    <x v="0"/>
    <n v="5"/>
    <n v="1"/>
    <n v="11"/>
    <n v="35"/>
    <n v="9.6868422218631789"/>
  </r>
  <r>
    <x v="565"/>
    <s v="The Weeknd, Gesaffelstein"/>
    <n v="2"/>
    <d v="2019-01-11T00:00:00"/>
    <n v="7731"/>
    <n v="2"/>
    <n v="110"/>
    <n v="145"/>
    <n v="447"/>
    <n v="0"/>
    <n v="46"/>
    <n v="686734357"/>
    <n v="101"/>
    <s v="D"/>
    <s v="Major"/>
    <n v="66"/>
    <n v="18"/>
    <x v="2"/>
    <n v="68"/>
    <x v="0"/>
    <n v="9"/>
    <n v="0"/>
    <n v="12"/>
    <n v="4"/>
    <n v="48.990583978978378"/>
  </r>
  <r>
    <x v="566"/>
    <s v="Trueno, Tiago pzk"/>
    <n v="2"/>
    <d v="2021-10-21T00:00:00"/>
    <n v="1057"/>
    <n v="0"/>
    <n v="17"/>
    <n v="5"/>
    <n v="21"/>
    <n v="0"/>
    <n v="0"/>
    <n v="261414174"/>
    <n v="84"/>
    <s v="D"/>
    <s v="Major"/>
    <n v="67"/>
    <n v="78"/>
    <x v="0"/>
    <n v="63"/>
    <x v="0"/>
    <n v="29"/>
    <n v="0"/>
    <n v="12"/>
    <n v="5"/>
    <n v="60.327777102217709"/>
  </r>
  <r>
    <x v="567"/>
    <s v="Sech, Bad Bunny, Mora"/>
    <n v="3"/>
    <d v="2021-07-08T00:00:00"/>
    <n v="3272"/>
    <n v="19"/>
    <n v="101"/>
    <n v="34"/>
    <n v="70"/>
    <n v="1"/>
    <n v="2"/>
    <n v="610045621"/>
    <n v="154"/>
    <s v="F#"/>
    <s v="Major"/>
    <n v="66"/>
    <n v="63"/>
    <x v="1"/>
    <n v="69"/>
    <x v="0"/>
    <n v="21"/>
    <n v="0"/>
    <n v="11"/>
    <n v="7"/>
    <n v="69.591772866907661"/>
  </r>
  <r>
    <x v="568"/>
    <s v="Bruno Mars, Anderson .Paak, Silk Sonic"/>
    <n v="3"/>
    <d v="2021-03-05T00:00:00"/>
    <n v="14417"/>
    <n v="0"/>
    <n v="237"/>
    <n v="123"/>
    <n v="569"/>
    <n v="0"/>
    <n v="10"/>
    <n v="1115880852"/>
    <n v="148"/>
    <s v="F"/>
    <s v="Major"/>
    <n v="59"/>
    <n v="72"/>
    <x v="0"/>
    <n v="62"/>
    <x v="0"/>
    <n v="18"/>
    <n v="0"/>
    <n v="9"/>
    <n v="3"/>
    <n v="57.525301135046782"/>
  </r>
  <r>
    <x v="569"/>
    <s v="Drake, Project Pat, 21 Savage"/>
    <n v="3"/>
    <d v="2021-09-03T00:00:00"/>
    <n v="5199"/>
    <n v="0"/>
    <n v="45"/>
    <n v="43"/>
    <n v="45"/>
    <n v="0"/>
    <n v="3"/>
    <n v="594482982"/>
    <n v="146"/>
    <s v="F"/>
    <s v="Minor"/>
    <n v="85"/>
    <n v="22"/>
    <x v="2"/>
    <n v="37"/>
    <x v="1"/>
    <n v="13"/>
    <n v="0"/>
    <n v="7"/>
    <n v="30"/>
    <n v="66.352591339201155"/>
  </r>
  <r>
    <x v="570"/>
    <s v="Ti√Ø¬ø¬Ω√Ø¬ø¬Ωsto, Kar"/>
    <n v="2"/>
    <d v="2021-08-01T00:00:00"/>
    <n v="6026"/>
    <n v="0"/>
    <n v="171"/>
    <n v="51"/>
    <n v="187"/>
    <n v="1"/>
    <n v="21"/>
    <n v="566954746"/>
    <n v="120"/>
    <s v="B"/>
    <s v="Minor"/>
    <n v="77"/>
    <n v="51"/>
    <x v="1"/>
    <n v="79"/>
    <x v="0"/>
    <n v="20"/>
    <n v="0"/>
    <n v="26"/>
    <n v="6"/>
    <n v="67.727290686341263"/>
  </r>
  <r>
    <x v="571"/>
    <s v="Edison Lighthouse"/>
    <n v="1"/>
    <d v="1970-01-01T00:00:00"/>
    <n v="2877"/>
    <n v="0"/>
    <n v="16"/>
    <n v="0"/>
    <n v="54"/>
    <n v="0"/>
    <n v="0"/>
    <s v="BPM110KeyAModeMajorDanceability53Valence75Energy69Acousticness7Instrumentalness0Liveness17Speechiness3"/>
    <n v="110"/>
    <s v="A"/>
    <s v="Major"/>
    <n v="53"/>
    <n v="75"/>
    <x v="0"/>
    <n v="69"/>
    <x v="0"/>
    <n v="7"/>
    <n v="0"/>
    <n v="17"/>
    <n v="3"/>
    <n v="91.104809218112422"/>
  </r>
  <r>
    <x v="572"/>
    <s v="The Weeknd, ROSAL√Ø¬ø¬Ω"/>
    <n v="2"/>
    <d v="2021-11-11T00:00:00"/>
    <n v="4640"/>
    <n v="3"/>
    <n v="81"/>
    <n v="93"/>
    <n v="507"/>
    <n v="6"/>
    <n v="4"/>
    <n v="374706940"/>
    <n v="136"/>
    <m/>
    <s v="Minor"/>
    <n v="77"/>
    <n v="82"/>
    <x v="0"/>
    <n v="30"/>
    <x v="1"/>
    <n v="95"/>
    <n v="0"/>
    <n v="13"/>
    <n v="5"/>
    <n v="63.744380354970922"/>
  </r>
  <r>
    <x v="573"/>
    <s v="Olga Merediz, Stephanie Beatriz, Encanto - Cast"/>
    <n v="3"/>
    <d v="2021-11-19T00:00:00"/>
    <n v="1150"/>
    <n v="0"/>
    <n v="20"/>
    <n v="38"/>
    <n v="12"/>
    <n v="0"/>
    <n v="0"/>
    <n v="184937148"/>
    <n v="141"/>
    <s v="C#"/>
    <s v="Major"/>
    <n v="59"/>
    <n v="56"/>
    <x v="1"/>
    <n v="63"/>
    <x v="0"/>
    <n v="12"/>
    <n v="0"/>
    <n v="6"/>
    <n v="36"/>
    <n v="9.5822228000586041E-2"/>
  </r>
  <r>
    <x v="574"/>
    <s v="The Weeknd"/>
    <n v="1"/>
    <d v="2022-01-07T00:00:00"/>
    <n v="768"/>
    <n v="0"/>
    <n v="1"/>
    <n v="1"/>
    <n v="3"/>
    <n v="0"/>
    <n v="0"/>
    <n v="31959571"/>
    <n v="108"/>
    <s v="A"/>
    <s v="Minor"/>
    <n v="46"/>
    <n v="23"/>
    <x v="2"/>
    <n v="48"/>
    <x v="1"/>
    <n v="75"/>
    <n v="30"/>
    <n v="14"/>
    <n v="4"/>
    <n v="77.563787579375642"/>
  </r>
  <r>
    <x v="575"/>
    <s v="Sebastian Yatra"/>
    <n v="1"/>
    <d v="2021-11-19T00:00:00"/>
    <n v="925"/>
    <n v="0"/>
    <n v="24"/>
    <n v="47"/>
    <n v="74"/>
    <n v="0"/>
    <n v="0"/>
    <n v="167076418"/>
    <n v="94"/>
    <m/>
    <s v="Major"/>
    <n v="42"/>
    <n v="47"/>
    <x v="1"/>
    <n v="36"/>
    <x v="1"/>
    <n v="76"/>
    <n v="0"/>
    <n v="9"/>
    <n v="5"/>
    <n v="30.608848378317667"/>
  </r>
  <r>
    <x v="576"/>
    <s v="Surf Curse"/>
    <n v="1"/>
    <d v="2015-05-10T00:00:00"/>
    <n v="3006"/>
    <n v="3"/>
    <n v="23"/>
    <n v="21"/>
    <n v="121"/>
    <n v="0"/>
    <n v="13"/>
    <n v="824420218"/>
    <n v="180"/>
    <s v="A"/>
    <s v="Major"/>
    <n v="35"/>
    <n v="41"/>
    <x v="1"/>
    <n v="94"/>
    <x v="0"/>
    <n v="0"/>
    <n v="63"/>
    <n v="5"/>
    <n v="5"/>
    <n v="1.0537966746300031"/>
  </r>
  <r>
    <x v="577"/>
    <s v="Jason Derulo"/>
    <n v="1"/>
    <d v="2021-09-01T00:00:00"/>
    <n v="3098"/>
    <n v="0"/>
    <n v="111"/>
    <n v="5"/>
    <n v="182"/>
    <n v="1"/>
    <n v="0"/>
    <n v="363467642"/>
    <n v="122"/>
    <s v="A#"/>
    <s v="Major"/>
    <n v="77"/>
    <n v="51"/>
    <x v="1"/>
    <n v="79"/>
    <x v="0"/>
    <n v="5"/>
    <n v="0"/>
    <n v="16"/>
    <n v="5"/>
    <n v="86.864758758051536"/>
  </r>
  <r>
    <x v="578"/>
    <s v="The Neighbourhood"/>
    <n v="1"/>
    <d v="2015-10-30T00:00:00"/>
    <n v="9771"/>
    <n v="4"/>
    <n v="42"/>
    <n v="70"/>
    <n v="384"/>
    <n v="0"/>
    <n v="3"/>
    <n v="1127468248"/>
    <n v="85"/>
    <s v="A#"/>
    <s v="Major"/>
    <n v="59"/>
    <n v="33"/>
    <x v="2"/>
    <n v="52"/>
    <x v="0"/>
    <n v="7"/>
    <n v="15"/>
    <n v="12"/>
    <n v="3"/>
    <n v="25.297684119639662"/>
  </r>
  <r>
    <x v="579"/>
    <s v="21 Savage, Gunna"/>
    <n v="2"/>
    <d v="2022-01-07T00:00:00"/>
    <n v="807"/>
    <n v="0"/>
    <n v="3"/>
    <n v="0"/>
    <n v="5"/>
    <n v="0"/>
    <n v="0"/>
    <n v="60680939"/>
    <n v="148"/>
    <s v="C#"/>
    <s v="Major"/>
    <n v="68"/>
    <n v="29"/>
    <x v="2"/>
    <n v="73"/>
    <x v="0"/>
    <n v="0"/>
    <n v="0"/>
    <n v="7"/>
    <n v="7"/>
    <n v="93.799572464138407"/>
  </r>
  <r>
    <x v="580"/>
    <s v="IVE"/>
    <n v="1"/>
    <d v="2021-12-01T00:00:00"/>
    <n v="521"/>
    <n v="1"/>
    <n v="17"/>
    <n v="89"/>
    <n v="11"/>
    <n v="0"/>
    <n v="0"/>
    <n v="247737946"/>
    <n v="120"/>
    <s v="A"/>
    <s v="Major"/>
    <n v="83"/>
    <n v="59"/>
    <x v="1"/>
    <n v="73"/>
    <x v="0"/>
    <n v="6"/>
    <n v="0"/>
    <n v="5"/>
    <n v="11"/>
    <n v="93.071810394039716"/>
  </r>
  <r>
    <x v="581"/>
    <s v="24kgoldn, Iann Dior"/>
    <n v="2"/>
    <d v="2020-07-24T00:00:00"/>
    <n v="12854"/>
    <n v="0"/>
    <n v="237"/>
    <n v="27"/>
    <n v="636"/>
    <n v="0"/>
    <m/>
    <n v="1699402402"/>
    <n v="91"/>
    <s v="G"/>
    <s v="Minor"/>
    <n v="70"/>
    <n v="76"/>
    <x v="0"/>
    <n v="72"/>
    <x v="0"/>
    <n v="22"/>
    <n v="0"/>
    <n v="27"/>
    <n v="4"/>
    <n v="59.938541194622154"/>
  </r>
  <r>
    <x v="582"/>
    <s v="Stephanie Beatriz, Diane Guerrero"/>
    <n v="2"/>
    <d v="2021-11-19T00:00:00"/>
    <n v="802"/>
    <n v="0"/>
    <n v="13"/>
    <n v="27"/>
    <n v="8"/>
    <n v="0"/>
    <n v="0"/>
    <n v="154797871"/>
    <n v="120"/>
    <s v="E"/>
    <s v="Major"/>
    <n v="72"/>
    <n v="54"/>
    <x v="1"/>
    <n v="71"/>
    <x v="0"/>
    <n v="26"/>
    <n v="0"/>
    <n v="10"/>
    <n v="4"/>
    <n v="0.62053848979060078"/>
  </r>
  <r>
    <x v="583"/>
    <s v="Trueno"/>
    <n v="1"/>
    <d v="2021-11-17T00:00:00"/>
    <n v="731"/>
    <n v="0"/>
    <n v="14"/>
    <n v="14"/>
    <n v="24"/>
    <n v="0"/>
    <n v="4"/>
    <n v="198883004"/>
    <n v="106"/>
    <m/>
    <s v="Major"/>
    <n v="86"/>
    <n v="86"/>
    <x v="0"/>
    <n v="79"/>
    <x v="0"/>
    <n v="11"/>
    <n v="0"/>
    <n v="8"/>
    <n v="9"/>
    <n v="75.729543055493082"/>
  </r>
  <r>
    <x v="584"/>
    <s v="David Kushner"/>
    <n v="1"/>
    <d v="2022-01-07T00:00:00"/>
    <n v="788"/>
    <n v="0"/>
    <n v="13"/>
    <n v="0"/>
    <n v="32"/>
    <n v="1"/>
    <n v="0"/>
    <n v="124407432"/>
    <n v="110"/>
    <s v="A#"/>
    <s v="Major"/>
    <n v="63"/>
    <n v="31"/>
    <x v="2"/>
    <n v="35"/>
    <x v="1"/>
    <n v="93"/>
    <n v="0"/>
    <n v="29"/>
    <n v="3"/>
    <n v="64.693822145213488"/>
  </r>
  <r>
    <x v="585"/>
    <s v="Olivia Rodrigo"/>
    <n v="1"/>
    <d v="2021-05-21T00:00:00"/>
    <n v="3069"/>
    <n v="4"/>
    <n v="25"/>
    <n v="46"/>
    <n v="105"/>
    <n v="0"/>
    <n v="45"/>
    <n v="850608354"/>
    <n v="169"/>
    <s v="F#"/>
    <s v="Major"/>
    <n v="39"/>
    <n v="36"/>
    <x v="2"/>
    <n v="45"/>
    <x v="1"/>
    <n v="81"/>
    <n v="0"/>
    <n v="8"/>
    <n v="13"/>
    <n v="30.480196150330976"/>
  </r>
  <r>
    <x v="586"/>
    <s v="Kanye West"/>
    <n v="1"/>
    <d v="2021-08-29T00:00:00"/>
    <n v="4651"/>
    <n v="0"/>
    <n v="24"/>
    <n v="6"/>
    <n v="105"/>
    <n v="0"/>
    <n v="0"/>
    <n v="376333030"/>
    <n v="118"/>
    <s v="C#"/>
    <s v="Major"/>
    <n v="80"/>
    <n v="21"/>
    <x v="2"/>
    <n v="55"/>
    <x v="0"/>
    <n v="1"/>
    <n v="0"/>
    <n v="26"/>
    <n v="17"/>
    <n v="55.840081760972907"/>
  </r>
  <r>
    <x v="587"/>
    <s v="Doja Cat"/>
    <n v="1"/>
    <d v="2021-06-25T00:00:00"/>
    <n v="4999"/>
    <n v="0"/>
    <n v="43"/>
    <n v="19"/>
    <n v="73"/>
    <n v="12"/>
    <n v="0"/>
    <n v="516784627"/>
    <n v="92"/>
    <s v="G#"/>
    <s v="Minor"/>
    <n v="91"/>
    <n v="79"/>
    <x v="0"/>
    <n v="66"/>
    <x v="0"/>
    <n v="32"/>
    <n v="0"/>
    <n v="9"/>
    <n v="16"/>
    <n v="39.845222815616751"/>
  </r>
  <r>
    <x v="588"/>
    <s v="Lewis Capaldi"/>
    <n v="1"/>
    <d v="2019-11-01T00:00:00"/>
    <n v="8327"/>
    <n v="24"/>
    <n v="205"/>
    <n v="130"/>
    <n v="625"/>
    <n v="0"/>
    <n v="25"/>
    <n v="1608045237"/>
    <n v="112"/>
    <s v="D#"/>
    <s v="Major"/>
    <n v="45"/>
    <n v="19"/>
    <x v="2"/>
    <n v="60"/>
    <x v="0"/>
    <n v="63"/>
    <n v="0"/>
    <n v="9"/>
    <n v="6"/>
    <n v="38.845796097310206"/>
  </r>
  <r>
    <x v="589"/>
    <s v="Playboi Carti"/>
    <n v="1"/>
    <d v="2020-12-25T00:00:00"/>
    <n v="3297"/>
    <n v="3"/>
    <n v="25"/>
    <n v="3"/>
    <n v="52"/>
    <n v="0"/>
    <n v="1"/>
    <n v="506778838"/>
    <n v="140"/>
    <s v="D"/>
    <s v="Major"/>
    <n v="79"/>
    <n v="56"/>
    <x v="1"/>
    <n v="91"/>
    <x v="0"/>
    <n v="26"/>
    <n v="0"/>
    <n v="13"/>
    <n v="21"/>
    <n v="97.676711653699684"/>
  </r>
  <r>
    <x v="590"/>
    <s v="Adele"/>
    <n v="1"/>
    <d v="2010-11-29T00:00:00"/>
    <n v="35684"/>
    <n v="6"/>
    <n v="195"/>
    <n v="125"/>
    <n v="6280"/>
    <n v="2"/>
    <n v="78"/>
    <n v="1472799873"/>
    <n v="105"/>
    <s v="G#"/>
    <s v="Major"/>
    <n v="73"/>
    <n v="52"/>
    <x v="1"/>
    <n v="76"/>
    <x v="0"/>
    <n v="13"/>
    <n v="0"/>
    <n v="5"/>
    <n v="3"/>
    <n v="5.1120547544503907"/>
  </r>
  <r>
    <x v="591"/>
    <s v="Maluma"/>
    <n v="1"/>
    <d v="2021-07-08T00:00:00"/>
    <n v="3506"/>
    <n v="10"/>
    <n v="103"/>
    <n v="76"/>
    <n v="100"/>
    <n v="1"/>
    <n v="1"/>
    <n v="513643924"/>
    <n v="178"/>
    <s v="F"/>
    <s v="Major"/>
    <n v="76"/>
    <n v="63"/>
    <x v="1"/>
    <n v="77"/>
    <x v="0"/>
    <n v="14"/>
    <n v="0"/>
    <n v="15"/>
    <n v="22"/>
    <n v="64.68468068938688"/>
  </r>
  <r>
    <x v="592"/>
    <s v="Ed Sheeran, Fireboy DML"/>
    <n v="2"/>
    <d v="2021-12-23T00:00:00"/>
    <n v="2999"/>
    <n v="0"/>
    <n v="60"/>
    <n v="17"/>
    <n v="154"/>
    <n v="0"/>
    <n v="22"/>
    <n v="261286503"/>
    <n v="108"/>
    <s v="G"/>
    <s v="Minor"/>
    <n v="96"/>
    <n v="71"/>
    <x v="0"/>
    <n v="42"/>
    <x v="1"/>
    <n v="57"/>
    <n v="0"/>
    <n v="8"/>
    <n v="9"/>
    <n v="92.983316824116855"/>
  </r>
  <r>
    <x v="593"/>
    <s v="Olivia Rodrigo"/>
    <n v="1"/>
    <d v="2021-05-21T00:00:00"/>
    <n v="3681"/>
    <n v="0"/>
    <n v="20"/>
    <n v="21"/>
    <n v="99"/>
    <n v="0"/>
    <n v="7"/>
    <n v="783706581"/>
    <n v="173"/>
    <s v="A"/>
    <s v="Major"/>
    <n v="40"/>
    <n v="19"/>
    <x v="2"/>
    <n v="29"/>
    <x v="1"/>
    <n v="86"/>
    <n v="0"/>
    <n v="34"/>
    <n v="4"/>
    <n v="79.472846162312976"/>
  </r>
  <r>
    <x v="594"/>
    <s v="Prezioso, Gabry Ponte, LUM!X"/>
    <n v="3"/>
    <d v="2021-05-07T00:00:00"/>
    <n v="4846"/>
    <n v="10"/>
    <n v="54"/>
    <n v="16"/>
    <n v="259"/>
    <n v="0"/>
    <n v="13"/>
    <n v="422691058"/>
    <n v="101"/>
    <s v="C#"/>
    <s v="Major"/>
    <n v="67"/>
    <n v="40"/>
    <x v="1"/>
    <n v="90"/>
    <x v="0"/>
    <n v="3"/>
    <n v="0"/>
    <n v="34"/>
    <n v="6"/>
    <n v="24.967874609262818"/>
  </r>
  <r>
    <x v="595"/>
    <s v="Ti√Ø¬ø¬Ω√Ø¬ø"/>
    <n v="1"/>
    <d v="2020-01-01T00:00:00"/>
    <n v="14311"/>
    <n v="0"/>
    <n v="255"/>
    <n v="32"/>
    <n v="582"/>
    <n v="0"/>
    <n v="14"/>
    <n v="1062345656"/>
    <n v="120"/>
    <s v="G#"/>
    <s v="Minor"/>
    <n v="80"/>
    <n v="24"/>
    <x v="2"/>
    <n v="62"/>
    <x v="0"/>
    <n v="41"/>
    <n v="2"/>
    <n v="11"/>
    <n v="23"/>
    <n v="8.9022326236920524"/>
  </r>
  <r>
    <x v="596"/>
    <s v="Ariana Grande"/>
    <n v="1"/>
    <d v="2020-10-23T00:00:00"/>
    <n v="8207"/>
    <n v="0"/>
    <n v="175"/>
    <n v="55"/>
    <n v="95"/>
    <n v="0"/>
    <n v="2"/>
    <n v="1252563873"/>
    <n v="144"/>
    <m/>
    <s v="Major"/>
    <n v="73"/>
    <n v="66"/>
    <x v="1"/>
    <n v="80"/>
    <x v="0"/>
    <n v="44"/>
    <n v="0"/>
    <n v="9"/>
    <n v="12"/>
    <n v="52.339245239806473"/>
  </r>
  <r>
    <x v="597"/>
    <s v="M√Ø¬ø¬Ω√Ø¬ø¬Ωne"/>
    <n v="1"/>
    <d v="2021-03-19T00:00:00"/>
    <n v="4873"/>
    <n v="0"/>
    <n v="65"/>
    <n v="88"/>
    <n v="434"/>
    <n v="3"/>
    <n v="13"/>
    <n v="851070493"/>
    <n v="133"/>
    <s v="C#"/>
    <s v="Major"/>
    <n v="75"/>
    <n v="96"/>
    <x v="0"/>
    <n v="61"/>
    <x v="0"/>
    <n v="0"/>
    <n v="0"/>
    <n v="18"/>
    <n v="4"/>
    <n v="91.968651896850389"/>
  </r>
  <r>
    <x v="598"/>
    <s v="Mar√Ø¬ø¬Ω√Ø¬ø¬Ωlia Mendon√Ø¬ø¬Ω√Ø¬ø¬Ωa, George Henrique &amp;"/>
    <n v="2"/>
    <d v="2021-10-22T00:00:00"/>
    <n v="772"/>
    <n v="0"/>
    <n v="7"/>
    <n v="3"/>
    <n v="89"/>
    <n v="0"/>
    <n v="0"/>
    <n v="263894529"/>
    <n v="158"/>
    <s v="G#"/>
    <s v="Minor"/>
    <n v="46"/>
    <n v="62"/>
    <x v="1"/>
    <n v="83"/>
    <x v="0"/>
    <n v="53"/>
    <n v="0"/>
    <n v="97"/>
    <n v="28"/>
    <n v="98.049798015677808"/>
  </r>
  <r>
    <x v="599"/>
    <s v="TWICE"/>
    <n v="1"/>
    <d v="2021-10-01T00:00:00"/>
    <n v="1150"/>
    <n v="0"/>
    <n v="20"/>
    <n v="99"/>
    <n v="44"/>
    <n v="0"/>
    <n v="2"/>
    <n v="345903614"/>
    <n v="120"/>
    <s v="A"/>
    <s v="Major"/>
    <n v="81"/>
    <n v="92"/>
    <x v="0"/>
    <n v="90"/>
    <x v="0"/>
    <n v="9"/>
    <n v="0"/>
    <n v="8"/>
    <n v="7"/>
    <n v="19.487892304409428"/>
  </r>
  <r>
    <x v="600"/>
    <s v="Giveon"/>
    <n v="1"/>
    <d v="2020-02-21T00:00:00"/>
    <n v="5398"/>
    <n v="4"/>
    <n v="111"/>
    <n v="127"/>
    <n v="210"/>
    <n v="0"/>
    <n v="37"/>
    <n v="951637566"/>
    <n v="129"/>
    <m/>
    <s v="Major"/>
    <n v="61"/>
    <n v="59"/>
    <x v="1"/>
    <n v="46"/>
    <x v="1"/>
    <n v="56"/>
    <n v="0"/>
    <n v="13"/>
    <n v="5"/>
    <n v="97.822313729009764"/>
  </r>
  <r>
    <x v="601"/>
    <s v="Sean Paul, Dua Lipa"/>
    <n v="2"/>
    <d v="2016-11-18T00:00:00"/>
    <n v="7370"/>
    <n v="0"/>
    <n v="92"/>
    <n v="127"/>
    <n v="1219"/>
    <n v="0"/>
    <n v="62"/>
    <n v="956865266"/>
    <n v="102"/>
    <s v="G"/>
    <s v="Major"/>
    <n v="74"/>
    <n v="45"/>
    <x v="1"/>
    <n v="89"/>
    <x v="0"/>
    <n v="5"/>
    <n v="0"/>
    <n v="26"/>
    <n v="13"/>
    <n v="66.040817565111638"/>
  </r>
  <r>
    <x v="602"/>
    <s v="Charli XCX, Jax Jones, Joel Corry, Saweetie"/>
    <n v="4"/>
    <d v="2021-08-13T00:00:00"/>
    <n v="6890"/>
    <n v="0"/>
    <n v="122"/>
    <n v="11"/>
    <n v="201"/>
    <n v="0"/>
    <n v="1"/>
    <n v="427486004"/>
    <n v="124"/>
    <s v="G#"/>
    <s v="Minor"/>
    <n v="79"/>
    <n v="79"/>
    <x v="0"/>
    <n v="84"/>
    <x v="0"/>
    <n v="2"/>
    <n v="0"/>
    <n v="5"/>
    <n v="5"/>
    <n v="83.062023230187719"/>
  </r>
  <r>
    <x v="603"/>
    <s v="SALES"/>
    <n v="1"/>
    <d v="2016-04-20T00:00:00"/>
    <n v="1966"/>
    <n v="0"/>
    <n v="4"/>
    <n v="2"/>
    <n v="50"/>
    <n v="0"/>
    <n v="0"/>
    <n v="156658366"/>
    <n v="90"/>
    <s v="E"/>
    <s v="Minor"/>
    <n v="73"/>
    <n v="31"/>
    <x v="2"/>
    <n v="45"/>
    <x v="1"/>
    <n v="85"/>
    <n v="24"/>
    <n v="11"/>
    <n v="3"/>
    <n v="1.4139485553262277"/>
  </r>
  <r>
    <x v="604"/>
    <s v="Sleepy hallow"/>
    <n v="1"/>
    <d v="2021-04-14T00:00:00"/>
    <n v="2226"/>
    <n v="0"/>
    <n v="29"/>
    <n v="0"/>
    <n v="44"/>
    <n v="0"/>
    <n v="0"/>
    <n v="624515457"/>
    <n v="161"/>
    <s v="F#"/>
    <s v="Minor"/>
    <n v="78"/>
    <n v="65"/>
    <x v="1"/>
    <n v="52"/>
    <x v="0"/>
    <n v="46"/>
    <n v="0"/>
    <n v="12"/>
    <n v="31"/>
    <n v="79.745774344692649"/>
  </r>
  <r>
    <x v="605"/>
    <s v="Billie Eilish"/>
    <n v="1"/>
    <d v="2017-03-30T00:00:00"/>
    <n v="4204"/>
    <n v="0"/>
    <n v="39"/>
    <n v="45"/>
    <n v="250"/>
    <n v="0"/>
    <n v="0"/>
    <n v="777765388"/>
    <n v="120"/>
    <s v="G"/>
    <s v="Major"/>
    <n v="60"/>
    <n v="11"/>
    <x v="2"/>
    <n v="33"/>
    <x v="1"/>
    <n v="90"/>
    <n v="0"/>
    <n v="8"/>
    <n v="5"/>
    <n v="98.500393045481786"/>
  </r>
  <r>
    <x v="606"/>
    <s v="Billie Eilish"/>
    <n v="1"/>
    <d v="2021-07-28T00:00:00"/>
    <n v="1959"/>
    <n v="0"/>
    <n v="19"/>
    <n v="0"/>
    <n v="38"/>
    <n v="0"/>
    <n v="0"/>
    <n v="412795151"/>
    <n v="81"/>
    <m/>
    <s v="Major"/>
    <n v="45"/>
    <n v="12"/>
    <x v="2"/>
    <n v="57"/>
    <x v="0"/>
    <n v="7"/>
    <n v="0"/>
    <n v="23"/>
    <n v="3"/>
    <n v="61.723837897616839"/>
  </r>
  <r>
    <x v="607"/>
    <s v="Masked Wolf"/>
    <n v="1"/>
    <d v="2019-01-01T00:00:00"/>
    <n v="7191"/>
    <n v="0"/>
    <n v="146"/>
    <n v="18"/>
    <n v="478"/>
    <n v="0"/>
    <n v="7"/>
    <n v="1138474110"/>
    <n v="150"/>
    <s v="E"/>
    <s v="Minor"/>
    <n v="78"/>
    <n v="47"/>
    <x v="1"/>
    <n v="70"/>
    <x v="0"/>
    <n v="18"/>
    <n v="0"/>
    <n v="15"/>
    <n v="9"/>
    <n v="15.967712457543248"/>
  </r>
  <r>
    <x v="608"/>
    <s v="Anuel Aa, Jhay Cortez"/>
    <n v="2"/>
    <d v="2021-09-02T00:00:00"/>
    <n v="2012"/>
    <n v="0"/>
    <n v="101"/>
    <n v="12"/>
    <n v="38"/>
    <n v="0"/>
    <n v="0"/>
    <n v="355219175"/>
    <n v="105"/>
    <s v="G#"/>
    <s v="Major"/>
    <n v="76"/>
    <n v="58"/>
    <x v="1"/>
    <n v="84"/>
    <x v="0"/>
    <n v="10"/>
    <n v="0"/>
    <n v="13"/>
    <n v="10"/>
    <n v="10.190044793482155"/>
  </r>
  <r>
    <x v="609"/>
    <s v="NIKI"/>
    <n v="1"/>
    <d v="2021-08-10T00:00:00"/>
    <n v="1211"/>
    <n v="2"/>
    <n v="30"/>
    <n v="2"/>
    <n v="5"/>
    <n v="0"/>
    <n v="6"/>
    <n v="290228626"/>
    <n v="79"/>
    <s v="F#"/>
    <s v="Major"/>
    <n v="63"/>
    <n v="76"/>
    <x v="0"/>
    <n v="67"/>
    <x v="0"/>
    <n v="38"/>
    <n v="0"/>
    <n v="6"/>
    <n v="4"/>
    <n v="21.332392509033948"/>
  </r>
  <r>
    <x v="610"/>
    <s v="Bruno Mars"/>
    <n v="1"/>
    <d v="2010-10-04T00:00:00"/>
    <n v="7109"/>
    <n v="2"/>
    <n v="5"/>
    <n v="0"/>
    <n v="862"/>
    <n v="0"/>
    <n v="0"/>
    <n v="1062956628"/>
    <n v="146"/>
    <s v="C#"/>
    <s v="Minor"/>
    <n v="52"/>
    <n v="7"/>
    <x v="2"/>
    <n v="61"/>
    <x v="0"/>
    <n v="51"/>
    <n v="0"/>
    <n v="11"/>
    <n v="3"/>
    <n v="0.16364643768389531"/>
  </r>
  <r>
    <x v="611"/>
    <s v="Tate McRae"/>
    <n v="1"/>
    <d v="2020-04-17T00:00:00"/>
    <n v="6638"/>
    <n v="0"/>
    <n v="167"/>
    <n v="19"/>
    <n v="318"/>
    <n v="0"/>
    <n v="1"/>
    <n v="1180094974"/>
    <n v="124"/>
    <s v="E"/>
    <s v="Major"/>
    <n v="64"/>
    <n v="8"/>
    <x v="2"/>
    <n v="37"/>
    <x v="1"/>
    <n v="79"/>
    <n v="0"/>
    <n v="9"/>
    <n v="5"/>
    <n v="16.390458212183979"/>
  </r>
  <r>
    <x v="612"/>
    <s v="Avicii"/>
    <n v="1"/>
    <d v="2014-01-01T00:00:00"/>
    <n v="17354"/>
    <n v="8"/>
    <n v="92"/>
    <n v="122"/>
    <n v="1282"/>
    <n v="0"/>
    <n v="55"/>
    <n v="1456081449"/>
    <n v="126"/>
    <s v="F#"/>
    <s v="Major"/>
    <n v="53"/>
    <n v="66"/>
    <x v="1"/>
    <n v="85"/>
    <x v="0"/>
    <n v="2"/>
    <n v="0"/>
    <n v="24"/>
    <n v="4"/>
    <n v="96.270594832017366"/>
  </r>
  <r>
    <x v="509"/>
    <s v="The Weeknd"/>
    <n v="1"/>
    <d v="2021-08-06T00:00:00"/>
    <n v="6392"/>
    <n v="0"/>
    <n v="174"/>
    <n v="73"/>
    <n v="344"/>
    <n v="0"/>
    <n v="0"/>
    <n v="432702334"/>
    <n v="121"/>
    <s v="G#"/>
    <s v="Major"/>
    <n v="75"/>
    <n v="53"/>
    <x v="1"/>
    <n v="74"/>
    <x v="0"/>
    <n v="2"/>
    <n v="0"/>
    <n v="11"/>
    <n v="5"/>
    <n v="86.781957953336416"/>
  </r>
  <r>
    <x v="613"/>
    <s v="Drake, Future, Young Thug"/>
    <n v="3"/>
    <d v="2021-09-03T00:00:00"/>
    <n v="5481"/>
    <n v="0"/>
    <n v="144"/>
    <n v="30"/>
    <n v="86"/>
    <n v="0"/>
    <n v="0"/>
    <n v="489945871"/>
    <n v="136"/>
    <s v="B"/>
    <s v="Minor"/>
    <n v="80"/>
    <n v="33"/>
    <x v="2"/>
    <n v="60"/>
    <x v="0"/>
    <n v="0"/>
    <n v="0"/>
    <n v="32"/>
    <n v="14"/>
    <n v="35.527465000918887"/>
  </r>
  <r>
    <x v="614"/>
    <s v="Rauw Alejandro"/>
    <n v="1"/>
    <d v="2021-06-25T00:00:00"/>
    <n v="2636"/>
    <n v="3"/>
    <n v="36"/>
    <n v="82"/>
    <n v="39"/>
    <n v="0"/>
    <n v="5"/>
    <n v="465959382"/>
    <n v="102"/>
    <s v="A"/>
    <s v="Minor"/>
    <n v="77"/>
    <n v="26"/>
    <x v="2"/>
    <n v="63"/>
    <x v="0"/>
    <n v="58"/>
    <n v="0"/>
    <n v="11"/>
    <n v="5"/>
    <n v="83.973079877739394"/>
  </r>
  <r>
    <x v="615"/>
    <s v="Imagine Dragons, League of Legends, Arcane"/>
    <n v="3"/>
    <d v="2021-10-27T00:00:00"/>
    <n v="824"/>
    <n v="0"/>
    <n v="8"/>
    <n v="8"/>
    <n v="8"/>
    <n v="2"/>
    <n v="0"/>
    <n v="1223481149"/>
    <n v="77"/>
    <s v="G"/>
    <s v="Major"/>
    <n v="73"/>
    <n v="54"/>
    <x v="1"/>
    <n v="74"/>
    <x v="0"/>
    <n v="23"/>
    <n v="0"/>
    <n v="41"/>
    <n v="23"/>
    <n v="77.955118666373977"/>
  </r>
  <r>
    <x v="616"/>
    <s v="Tones and I"/>
    <n v="1"/>
    <d v="2019-05-10T00:00:00"/>
    <n v="24529"/>
    <n v="0"/>
    <n v="533"/>
    <n v="167"/>
    <n v="3595"/>
    <n v="6"/>
    <m/>
    <n v="2864791672"/>
    <n v="98"/>
    <s v="F#"/>
    <s v="Minor"/>
    <n v="82"/>
    <n v="54"/>
    <x v="1"/>
    <n v="59"/>
    <x v="0"/>
    <n v="69"/>
    <n v="0"/>
    <n v="18"/>
    <n v="10"/>
    <n v="34.280034860970211"/>
  </r>
  <r>
    <x v="617"/>
    <s v="Juice WRLD"/>
    <n v="1"/>
    <d v="2017-06-15T00:00:00"/>
    <n v="14749"/>
    <n v="0"/>
    <n v="188"/>
    <n v="34"/>
    <n v="710"/>
    <n v="0"/>
    <n v="5"/>
    <n v="2288695111"/>
    <n v="84"/>
    <s v="B"/>
    <s v="Minor"/>
    <n v="44"/>
    <n v="22"/>
    <x v="2"/>
    <n v="48"/>
    <x v="1"/>
    <n v="38"/>
    <n v="0"/>
    <n v="33"/>
    <n v="24"/>
    <n v="28.28526550098054"/>
  </r>
  <r>
    <x v="618"/>
    <s v="J Balvin, Maria Becerra"/>
    <n v="2"/>
    <d v="2021-01-28T00:00:00"/>
    <n v="8087"/>
    <n v="0"/>
    <n v="92"/>
    <n v="34"/>
    <n v="131"/>
    <n v="0"/>
    <n v="0"/>
    <n v="720825549"/>
    <n v="102"/>
    <s v="G#"/>
    <s v="Major"/>
    <n v="89"/>
    <n v="77"/>
    <x v="0"/>
    <n v="82"/>
    <x v="0"/>
    <n v="3"/>
    <n v="0"/>
    <n v="17"/>
    <n v="11"/>
    <n v="37.22523471802338"/>
  </r>
  <r>
    <x v="619"/>
    <s v="John Legend"/>
    <n v="1"/>
    <d v="2013-08-01T00:00:00"/>
    <n v="27221"/>
    <n v="0"/>
    <n v="308"/>
    <n v="118"/>
    <n v="4534"/>
    <n v="2"/>
    <n v="77"/>
    <n v="2086124197"/>
    <n v="120"/>
    <s v="G#"/>
    <s v="Major"/>
    <n v="42"/>
    <n v="33"/>
    <x v="2"/>
    <n v="26"/>
    <x v="1"/>
    <n v="92"/>
    <n v="0"/>
    <n v="13"/>
    <n v="3"/>
    <n v="11.063580740323031"/>
  </r>
  <r>
    <x v="620"/>
    <s v="Nirvana"/>
    <n v="1"/>
    <d v="1991-09-10T00:00:00"/>
    <n v="49991"/>
    <n v="9"/>
    <n v="265"/>
    <n v="121"/>
    <n v="12367"/>
    <n v="4"/>
    <n v="160"/>
    <n v="1690192927"/>
    <n v="117"/>
    <s v="C#"/>
    <s v="Major"/>
    <n v="52"/>
    <n v="73"/>
    <x v="0"/>
    <n v="91"/>
    <x v="0"/>
    <n v="0"/>
    <n v="0"/>
    <n v="11"/>
    <n v="7"/>
    <n v="60.984204136108644"/>
  </r>
  <r>
    <x v="621"/>
    <s v="Duncan Laurence"/>
    <n v="1"/>
    <d v="2019-03-07T00:00:00"/>
    <n v="6646"/>
    <n v="0"/>
    <n v="107"/>
    <n v="47"/>
    <n v="584"/>
    <n v="1"/>
    <m/>
    <n v="991336132"/>
    <n v="72"/>
    <s v="A"/>
    <s v="Minor"/>
    <n v="45"/>
    <n v="27"/>
    <x v="2"/>
    <n v="33"/>
    <x v="1"/>
    <n v="82"/>
    <n v="0"/>
    <n v="14"/>
    <n v="4"/>
    <n v="21.397310787798407"/>
  </r>
  <r>
    <x v="622"/>
    <s v="Drake, Travis Scott"/>
    <n v="2"/>
    <d v="2021-09-03T00:00:00"/>
    <n v="5403"/>
    <n v="6"/>
    <n v="118"/>
    <n v="116"/>
    <n v="96"/>
    <n v="0"/>
    <n v="3"/>
    <n v="593917618"/>
    <n v="168"/>
    <s v="C#"/>
    <s v="Major"/>
    <n v="67"/>
    <n v="29"/>
    <x v="2"/>
    <n v="47"/>
    <x v="1"/>
    <n v="5"/>
    <n v="0"/>
    <n v="22"/>
    <n v="26"/>
    <n v="76.493023941146745"/>
  </r>
  <r>
    <x v="623"/>
    <s v="Tini, L-Gante"/>
    <n v="2"/>
    <d v="2021-11-11T00:00:00"/>
    <n v="755"/>
    <n v="4"/>
    <n v="22"/>
    <n v="3"/>
    <n v="0"/>
    <n v="0"/>
    <n v="0"/>
    <n v="200972675"/>
    <n v="94"/>
    <s v="C#"/>
    <s v="Major"/>
    <n v="52"/>
    <n v="68"/>
    <x v="1"/>
    <n v="69"/>
    <x v="0"/>
    <n v="13"/>
    <n v="0"/>
    <n v="33"/>
    <n v="8"/>
    <n v="51.606738024726084"/>
  </r>
  <r>
    <x v="624"/>
    <s v="SiM"/>
    <n v="1"/>
    <d v="2022-01-10T00:00:00"/>
    <n v="254"/>
    <n v="0"/>
    <n v="0"/>
    <n v="4"/>
    <n v="23"/>
    <n v="0"/>
    <n v="0"/>
    <n v="71014967"/>
    <n v="145"/>
    <s v="G#"/>
    <s v="Major"/>
    <n v="41"/>
    <n v="65"/>
    <x v="1"/>
    <n v="88"/>
    <x v="0"/>
    <n v="0"/>
    <n v="0"/>
    <n v="26"/>
    <n v="5"/>
    <n v="65.454183026935979"/>
  </r>
  <r>
    <x v="625"/>
    <s v="Kendrick Lamar, Baby Keem"/>
    <n v="2"/>
    <d v="2021-08-27T00:00:00"/>
    <n v="6308"/>
    <n v="5"/>
    <n v="114"/>
    <n v="15"/>
    <n v="63"/>
    <n v="0"/>
    <n v="2"/>
    <n v="560222750"/>
    <n v="134"/>
    <s v="C#"/>
    <s v="Major"/>
    <n v="71"/>
    <n v="14"/>
    <x v="2"/>
    <n v="61"/>
    <x v="0"/>
    <n v="1"/>
    <n v="0"/>
    <n v="23"/>
    <n v="33"/>
    <n v="26.01456687249728"/>
  </r>
  <r>
    <x v="626"/>
    <s v="The Killers"/>
    <n v="1"/>
    <d v="2003-09-23T00:00:00"/>
    <n v="51979"/>
    <n v="15"/>
    <n v="306"/>
    <n v="99"/>
    <n v="5063"/>
    <n v="2"/>
    <n v="120"/>
    <n v="1806617704"/>
    <n v="148"/>
    <s v="C#"/>
    <s v="Major"/>
    <n v="35"/>
    <n v="24"/>
    <x v="2"/>
    <n v="93"/>
    <x v="0"/>
    <n v="0"/>
    <n v="0"/>
    <n v="10"/>
    <n v="8"/>
    <n v="59.620569335646209"/>
  </r>
  <r>
    <x v="627"/>
    <s v="ENHYPEN"/>
    <n v="1"/>
    <d v="2022-01-10T00:00:00"/>
    <n v="246"/>
    <n v="0"/>
    <n v="2"/>
    <n v="12"/>
    <n v="10"/>
    <n v="0"/>
    <n v="0"/>
    <n v="77337771"/>
    <n v="127"/>
    <s v="E"/>
    <s v="Minor"/>
    <n v="60"/>
    <n v="40"/>
    <x v="1"/>
    <n v="89"/>
    <x v="0"/>
    <n v="9"/>
    <n v="0"/>
    <n v="60"/>
    <n v="6"/>
    <n v="37.956666119197678"/>
  </r>
  <r>
    <x v="628"/>
    <s v="J Balvin, Nio Garcia, Bad Bunny"/>
    <n v="3"/>
    <d v="2021-06-24T00:00:00"/>
    <n v="6556"/>
    <n v="0"/>
    <n v="93"/>
    <n v="5"/>
    <n v="67"/>
    <n v="1"/>
    <n v="0"/>
    <n v="528544703"/>
    <n v="172"/>
    <s v="F#"/>
    <s v="Minor"/>
    <n v="74"/>
    <n v="79"/>
    <x v="0"/>
    <n v="66"/>
    <x v="0"/>
    <n v="11"/>
    <n v="0"/>
    <n v="8"/>
    <n v="16"/>
    <n v="39.075061743853226"/>
  </r>
  <r>
    <x v="629"/>
    <s v="Doja Cat"/>
    <n v="1"/>
    <d v="2019-11-07T00:00:00"/>
    <n v="5728"/>
    <n v="0"/>
    <n v="85"/>
    <n v="87"/>
    <n v="179"/>
    <n v="0"/>
    <n v="12"/>
    <n v="865640097"/>
    <n v="90"/>
    <s v="B"/>
    <s v="Major"/>
    <n v="75"/>
    <n v="19"/>
    <x v="2"/>
    <n v="46"/>
    <x v="1"/>
    <n v="21"/>
    <n v="4"/>
    <n v="34"/>
    <n v="8"/>
    <n v="71.398364374429676"/>
  </r>
  <r>
    <x v="630"/>
    <s v="Lady Gaga, Bradley Cooper"/>
    <n v="2"/>
    <d v="2018-09-27T00:00:00"/>
    <n v="16636"/>
    <n v="12"/>
    <n v="368"/>
    <n v="155"/>
    <n v="2854"/>
    <n v="6"/>
    <n v="121"/>
    <n v="2159346687"/>
    <n v="96"/>
    <s v="G"/>
    <s v="Major"/>
    <n v="57"/>
    <n v="30"/>
    <x v="2"/>
    <n v="40"/>
    <x v="1"/>
    <n v="38"/>
    <n v="0"/>
    <n v="26"/>
    <n v="3"/>
    <n v="3.2609609761435676"/>
  </r>
  <r>
    <x v="631"/>
    <s v="ENHYPEN"/>
    <n v="1"/>
    <d v="2022-01-10T00:00:00"/>
    <n v="461"/>
    <n v="0"/>
    <n v="10"/>
    <n v="56"/>
    <n v="17"/>
    <n v="0"/>
    <n v="0"/>
    <n v="211372494"/>
    <n v="138"/>
    <s v="G"/>
    <s v="Minor"/>
    <n v="74"/>
    <n v="65"/>
    <x v="1"/>
    <n v="67"/>
    <x v="0"/>
    <n v="46"/>
    <n v="0"/>
    <n v="36"/>
    <n v="4"/>
    <n v="51.391714443613068"/>
  </r>
  <r>
    <x v="632"/>
    <s v="Marshmello, Jonas Brothers"/>
    <n v="2"/>
    <d v="2021-04-28T00:00:00"/>
    <n v="4893"/>
    <n v="4"/>
    <n v="143"/>
    <n v="24"/>
    <n v="110"/>
    <n v="0"/>
    <n v="70"/>
    <n v="651732901"/>
    <n v="120"/>
    <s v="G"/>
    <s v="Major"/>
    <n v="72"/>
    <n v="67"/>
    <x v="1"/>
    <n v="72"/>
    <x v="0"/>
    <n v="0"/>
    <n v="0"/>
    <n v="13"/>
    <n v="4"/>
    <n v="34.172477259351517"/>
  </r>
  <r>
    <x v="633"/>
    <s v="BTS"/>
    <n v="1"/>
    <d v="2021-07-09T00:00:00"/>
    <n v="1801"/>
    <n v="2"/>
    <n v="77"/>
    <n v="134"/>
    <n v="74"/>
    <n v="0"/>
    <n v="2"/>
    <n v="608334048"/>
    <n v="125"/>
    <s v="A"/>
    <s v="Major"/>
    <n v="70"/>
    <n v="65"/>
    <x v="1"/>
    <n v="74"/>
    <x v="0"/>
    <n v="1"/>
    <n v="0"/>
    <n v="34"/>
    <n v="4"/>
    <n v="85.591846424456136"/>
  </r>
  <r>
    <x v="634"/>
    <s v="Riton, Nightcrawlers, Mufasa &amp; Hypeman, Dopamine"/>
    <n v="4"/>
    <d v="2021-01-15T00:00:00"/>
    <n v="12043"/>
    <n v="0"/>
    <n v="209"/>
    <n v="54"/>
    <n v="710"/>
    <n v="0"/>
    <n v="18"/>
    <n v="863756573"/>
    <n v="123"/>
    <s v="D"/>
    <s v="Major"/>
    <n v="82"/>
    <n v="80"/>
    <x v="0"/>
    <n v="86"/>
    <x v="0"/>
    <n v="1"/>
    <n v="0"/>
    <n v="30"/>
    <n v="13"/>
    <n v="14.433826795523707"/>
  </r>
  <r>
    <x v="635"/>
    <s v="Polo G"/>
    <n v="1"/>
    <d v="2021-04-09T00:00:00"/>
    <n v="4731"/>
    <n v="0"/>
    <n v="141"/>
    <n v="12"/>
    <n v="78"/>
    <n v="0"/>
    <n v="0"/>
    <n v="797402345"/>
    <n v="81"/>
    <s v="F#"/>
    <s v="Major"/>
    <n v="79"/>
    <n v="44"/>
    <x v="1"/>
    <n v="54"/>
    <x v="0"/>
    <n v="41"/>
    <n v="0"/>
    <n v="13"/>
    <n v="24"/>
    <n v="98.343323635577818"/>
  </r>
  <r>
    <x v="636"/>
    <s v="Eminem, Nate Dogg"/>
    <n v="2"/>
    <d v="2002-05-26T00:00:00"/>
    <n v="22923"/>
    <n v="0"/>
    <n v="78"/>
    <n v="46"/>
    <n v="2515"/>
    <n v="1"/>
    <n v="0"/>
    <n v="1695712020"/>
    <n v="171"/>
    <s v="C#"/>
    <s v="Major"/>
    <n v="55"/>
    <n v="10"/>
    <x v="2"/>
    <n v="85"/>
    <x v="0"/>
    <n v="7"/>
    <n v="0"/>
    <n v="8"/>
    <n v="20"/>
    <n v="53.892870105312909"/>
  </r>
  <r>
    <x v="637"/>
    <s v="Maroon 5"/>
    <n v="1"/>
    <d v="2019-09-20T00:00:00"/>
    <n v="9974"/>
    <n v="2"/>
    <n v="272"/>
    <n v="67"/>
    <n v="1066"/>
    <n v="1"/>
    <n v="19"/>
    <n v="1759567999"/>
    <n v="91"/>
    <s v="B"/>
    <s v="Major"/>
    <n v="77"/>
    <n v="60"/>
    <x v="1"/>
    <n v="32"/>
    <x v="1"/>
    <n v="84"/>
    <n v="0"/>
    <n v="8"/>
    <n v="5"/>
    <n v="88.935007241660841"/>
  </r>
  <r>
    <x v="638"/>
    <s v="Arcangel, De La Ghetto, Justin Quiles, Lenny Tav√Ø¬ø¬Ω√Ø¬ø¬Ωrez, Sech, Dalex, Dimelo Flow, Rich Music"/>
    <n v="8"/>
    <d v="2021-08-12T00:00:00"/>
    <n v="1560"/>
    <n v="0"/>
    <n v="72"/>
    <n v="0"/>
    <n v="0"/>
    <n v="0"/>
    <n v="0"/>
    <n v="223319934"/>
    <n v="84"/>
    <s v="G"/>
    <s v="Minor"/>
    <n v="56"/>
    <n v="61"/>
    <x v="1"/>
    <n v="76"/>
    <x v="0"/>
    <n v="10"/>
    <n v="0"/>
    <n v="14"/>
    <n v="11"/>
    <n v="8.3942968639432394"/>
  </r>
  <r>
    <x v="639"/>
    <s v="Gunna, Lil Baby"/>
    <n v="2"/>
    <d v="2022-01-07T00:00:00"/>
    <n v="620"/>
    <n v="0"/>
    <n v="17"/>
    <n v="3"/>
    <n v="3"/>
    <n v="0"/>
    <n v="0"/>
    <n v="54937991"/>
    <n v="115"/>
    <s v="F"/>
    <s v="Minor"/>
    <n v="90"/>
    <n v="74"/>
    <x v="0"/>
    <n v="54"/>
    <x v="0"/>
    <n v="16"/>
    <n v="0"/>
    <n v="13"/>
    <n v="28"/>
    <n v="6.7401097038236379"/>
  </r>
  <r>
    <x v="640"/>
    <s v="Katy Perry, Alesso"/>
    <n v="2"/>
    <d v="2021-12-29T00:00:00"/>
    <n v="3270"/>
    <n v="0"/>
    <n v="89"/>
    <n v="21"/>
    <n v="65"/>
    <n v="0"/>
    <n v="0"/>
    <n v="226897599"/>
    <n v="125"/>
    <m/>
    <s v="Major"/>
    <n v="69"/>
    <n v="70"/>
    <x v="1"/>
    <n v="89"/>
    <x v="0"/>
    <n v="4"/>
    <n v="0"/>
    <n v="49"/>
    <n v="3"/>
    <n v="62.060902472622978"/>
  </r>
  <r>
    <x v="641"/>
    <s v="Mar√Ø¬ø¬Ω√Ø¬ø¬Ωlia Mendon√Ø¬ø¬Ω√Ø¬ø¬Ωa, Maiara &amp;"/>
    <n v="2"/>
    <d v="2021-10-14T00:00:00"/>
    <n v="580"/>
    <n v="0"/>
    <n v="24"/>
    <n v="92"/>
    <n v="93"/>
    <n v="0"/>
    <n v="0"/>
    <n v="258316038"/>
    <n v="122"/>
    <s v="F#"/>
    <s v="Minor"/>
    <n v="80"/>
    <n v="62"/>
    <x v="1"/>
    <n v="69"/>
    <x v="0"/>
    <n v="28"/>
    <n v="0"/>
    <n v="13"/>
    <n v="7"/>
    <n v="32.364688724197663"/>
  </r>
  <r>
    <x v="642"/>
    <s v="Tini, Maria Becerra"/>
    <n v="2"/>
    <d v="2021-04-29T00:00:00"/>
    <n v="3406"/>
    <n v="16"/>
    <n v="61"/>
    <n v="23"/>
    <n v="70"/>
    <n v="1"/>
    <n v="0"/>
    <n v="596152090"/>
    <n v="92"/>
    <s v="D"/>
    <s v="Major"/>
    <n v="85"/>
    <n v="92"/>
    <x v="0"/>
    <n v="54"/>
    <x v="0"/>
    <n v="16"/>
    <n v="0"/>
    <n v="29"/>
    <n v="7"/>
    <n v="39.697399254686616"/>
  </r>
  <r>
    <x v="643"/>
    <s v="Anuel Aa, Myke Towers, Jhay Cortez"/>
    <n v="3"/>
    <d v="2021-11-18T00:00:00"/>
    <n v="903"/>
    <n v="0"/>
    <n v="30"/>
    <n v="26"/>
    <n v="15"/>
    <n v="0"/>
    <n v="0"/>
    <n v="177129919"/>
    <n v="90"/>
    <s v="F#"/>
    <s v="Minor"/>
    <n v="63"/>
    <n v="75"/>
    <x v="0"/>
    <n v="75"/>
    <x v="0"/>
    <n v="17"/>
    <n v="0"/>
    <n v="11"/>
    <n v="8"/>
    <n v="57.718831086993404"/>
  </r>
  <r>
    <x v="644"/>
    <s v="Karol G, Becky G"/>
    <n v="2"/>
    <d v="2022-02-10T00:00:00"/>
    <n v="6809"/>
    <n v="28"/>
    <n v="151"/>
    <n v="102"/>
    <n v="175"/>
    <n v="5"/>
    <n v="29"/>
    <n v="716591492"/>
    <n v="94"/>
    <s v="E"/>
    <s v="Minor"/>
    <n v="84"/>
    <n v="90"/>
    <x v="0"/>
    <n v="70"/>
    <x v="0"/>
    <n v="9"/>
    <n v="0"/>
    <n v="14"/>
    <n v="8"/>
    <n v="69.589528402309881"/>
  </r>
  <r>
    <x v="645"/>
    <s v="Dr. Dre, Snoop Dogg"/>
    <n v="2"/>
    <d v="1999-01-01T00:00:00"/>
    <n v="33966"/>
    <n v="0"/>
    <n v="141"/>
    <n v="78"/>
    <n v="6591"/>
    <n v="1"/>
    <n v="0"/>
    <n v="1210599487"/>
    <n v="93"/>
    <s v="B"/>
    <s v="Major"/>
    <n v="81"/>
    <n v="53"/>
    <x v="1"/>
    <n v="78"/>
    <x v="0"/>
    <n v="18"/>
    <n v="0"/>
    <n v="6"/>
    <n v="24"/>
    <n v="84.650783279625813"/>
  </r>
  <r>
    <x v="646"/>
    <s v="Jung Kook"/>
    <n v="1"/>
    <d v="2022-02-11T00:00:00"/>
    <n v="590"/>
    <n v="5"/>
    <n v="4"/>
    <n v="113"/>
    <n v="20"/>
    <n v="0"/>
    <n v="1"/>
    <n v="246376690"/>
    <n v="130"/>
    <s v="D"/>
    <s v="Minor"/>
    <n v="51"/>
    <n v="50"/>
    <x v="1"/>
    <n v="76"/>
    <x v="0"/>
    <n v="30"/>
    <n v="0"/>
    <n v="10"/>
    <n v="7"/>
    <n v="96.380059097969351"/>
  </r>
  <r>
    <x v="647"/>
    <s v="Dove Cameron"/>
    <n v="1"/>
    <d v="2022-02-11T00:00:00"/>
    <n v="3766"/>
    <n v="0"/>
    <n v="76"/>
    <n v="0"/>
    <n v="102"/>
    <n v="0"/>
    <n v="2"/>
    <n v="496311364"/>
    <n v="180"/>
    <s v="G"/>
    <s v="Minor"/>
    <n v="35"/>
    <n v="23"/>
    <x v="2"/>
    <n v="61"/>
    <x v="0"/>
    <n v="23"/>
    <n v="0"/>
    <n v="19"/>
    <n v="6"/>
    <n v="77.50693990800751"/>
  </r>
  <r>
    <x v="648"/>
    <s v="Ed Sheeran, Taylor Swift"/>
    <n v="2"/>
    <d v="2022-02-11T00:00:00"/>
    <n v="1430"/>
    <n v="0"/>
    <n v="46"/>
    <n v="1"/>
    <n v="34"/>
    <n v="0"/>
    <n v="0"/>
    <n v="146789379"/>
    <n v="134"/>
    <m/>
    <s v="Major"/>
    <n v="53"/>
    <n v="31"/>
    <x v="2"/>
    <n v="31"/>
    <x v="1"/>
    <n v="92"/>
    <n v="0"/>
    <n v="28"/>
    <n v="3"/>
    <n v="36.707703757118836"/>
  </r>
  <r>
    <x v="649"/>
    <s v="Dr. Dre, Snoop Dogg"/>
    <n v="2"/>
    <d v="1999-01-01T00:00:00"/>
    <n v="31762"/>
    <n v="0"/>
    <n v="142"/>
    <n v="40"/>
    <n v="5451"/>
    <n v="1"/>
    <n v="953"/>
    <n v="843309044"/>
    <n v="95"/>
    <s v="D#"/>
    <s v="Minor"/>
    <n v="92"/>
    <n v="31"/>
    <x v="2"/>
    <n v="89"/>
    <x v="0"/>
    <n v="3"/>
    <n v="0"/>
    <n v="8"/>
    <n v="25"/>
    <n v="40.617881873274456"/>
  </r>
  <r>
    <x v="650"/>
    <s v="Charlie Puth"/>
    <n v="1"/>
    <d v="2022-01-19T00:00:00"/>
    <n v="4049"/>
    <n v="0"/>
    <n v="119"/>
    <n v="6"/>
    <n v="85"/>
    <n v="1"/>
    <n v="1"/>
    <n v="500340342"/>
    <n v="184"/>
    <s v="F#"/>
    <s v="Major"/>
    <n v="69"/>
    <n v="91"/>
    <x v="0"/>
    <n v="63"/>
    <x v="0"/>
    <n v="11"/>
    <n v="0"/>
    <n v="9"/>
    <n v="31"/>
    <n v="11.432771257582154"/>
  </r>
  <r>
    <x v="651"/>
    <s v="Kanye West, Alicia Keys, Fivio Foreign"/>
    <n v="3"/>
    <d v="2022-02-11T00:00:00"/>
    <n v="2096"/>
    <n v="0"/>
    <n v="34"/>
    <n v="3"/>
    <n v="30"/>
    <n v="0"/>
    <n v="0"/>
    <n v="107255472"/>
    <n v="147"/>
    <s v="G#"/>
    <s v="Minor"/>
    <n v="47"/>
    <n v="50"/>
    <x v="1"/>
    <n v="80"/>
    <x v="0"/>
    <n v="10"/>
    <n v="0"/>
    <n v="32"/>
    <n v="38"/>
    <n v="6.8816529442454311"/>
  </r>
  <r>
    <x v="652"/>
    <s v="Mahmood, Blanco"/>
    <n v="2"/>
    <d v="2022-02-02T00:00:00"/>
    <n v="1175"/>
    <n v="0"/>
    <n v="34"/>
    <n v="1"/>
    <n v="31"/>
    <n v="0"/>
    <n v="0"/>
    <n v="135079152"/>
    <n v="123"/>
    <s v="G"/>
    <s v="Major"/>
    <n v="52"/>
    <n v="44"/>
    <x v="1"/>
    <n v="60"/>
    <x v="0"/>
    <n v="40"/>
    <n v="0"/>
    <n v="26"/>
    <n v="3"/>
    <n v="13.123209569580684"/>
  </r>
  <r>
    <x v="653"/>
    <s v="Frank Ocean"/>
    <n v="1"/>
    <d v="2012-01-01T00:00:00"/>
    <n v="29499"/>
    <n v="11"/>
    <n v="124"/>
    <n v="27"/>
    <n v="587"/>
    <n v="0"/>
    <n v="4"/>
    <n v="822239726"/>
    <n v="123"/>
    <s v="A#"/>
    <s v="Minor"/>
    <n v="91"/>
    <n v="49"/>
    <x v="1"/>
    <n v="61"/>
    <x v="0"/>
    <n v="3"/>
    <n v="0"/>
    <n v="17"/>
    <n v="22"/>
    <n v="68.86417448162868"/>
  </r>
  <r>
    <x v="654"/>
    <s v="50 Cent"/>
    <n v="1"/>
    <d v="2002-01-01T00:00:00"/>
    <n v="30427"/>
    <n v="7"/>
    <n v="235"/>
    <n v="106"/>
    <n v="5221"/>
    <n v="1"/>
    <n v="35"/>
    <n v="1202722675"/>
    <n v="90"/>
    <s v="F#"/>
    <s v="Minor"/>
    <n v="90"/>
    <n v="79"/>
    <x v="0"/>
    <n v="71"/>
    <x v="0"/>
    <n v="26"/>
    <n v="0"/>
    <n v="7"/>
    <n v="37"/>
    <n v="4.2973772508204107"/>
  </r>
  <r>
    <x v="655"/>
    <s v="Tate McRae"/>
    <n v="1"/>
    <d v="2022-02-04T00:00:00"/>
    <n v="2711"/>
    <n v="0"/>
    <n v="105"/>
    <n v="12"/>
    <n v="51"/>
    <n v="0"/>
    <n v="12"/>
    <n v="343197054"/>
    <n v="160"/>
    <s v="D"/>
    <s v="Minor"/>
    <n v="61"/>
    <n v="65"/>
    <x v="1"/>
    <n v="64"/>
    <x v="0"/>
    <n v="1"/>
    <n v="0"/>
    <n v="12"/>
    <n v="4"/>
    <n v="68.423917508446237"/>
  </r>
  <r>
    <x v="656"/>
    <s v="Yung Lean"/>
    <n v="1"/>
    <d v="2013-08-16T00:00:00"/>
    <n v="4310"/>
    <n v="0"/>
    <n v="13"/>
    <n v="0"/>
    <n v="113"/>
    <n v="1"/>
    <n v="3"/>
    <n v="240769997"/>
    <n v="115"/>
    <s v="C#"/>
    <s v="Major"/>
    <n v="60"/>
    <n v="37"/>
    <x v="2"/>
    <n v="71"/>
    <x v="0"/>
    <n v="8"/>
    <n v="0"/>
    <n v="48"/>
    <n v="4"/>
    <n v="57.646963398891259"/>
  </r>
  <r>
    <x v="657"/>
    <s v="Labrinth, Zendaya"/>
    <n v="2"/>
    <d v="2019-08-04T00:00:00"/>
    <n v="5342"/>
    <n v="0"/>
    <n v="33"/>
    <n v="123"/>
    <n v="7"/>
    <n v="0"/>
    <n v="4"/>
    <n v="426204830"/>
    <n v="141"/>
    <s v="D#"/>
    <s v="Major"/>
    <n v="37"/>
    <n v="17"/>
    <x v="2"/>
    <n v="67"/>
    <x v="0"/>
    <n v="2"/>
    <n v="0"/>
    <n v="34"/>
    <n v="9"/>
    <n v="80.176068041446229"/>
  </r>
  <r>
    <x v="658"/>
    <s v="The Rare Occasions"/>
    <n v="1"/>
    <d v="2016-08-05T00:00:00"/>
    <n v="2393"/>
    <n v="0"/>
    <n v="22"/>
    <n v="13"/>
    <n v="65"/>
    <n v="0"/>
    <n v="6"/>
    <n v="421135627"/>
    <n v="160"/>
    <s v="A"/>
    <s v="Major"/>
    <n v="31"/>
    <n v="30"/>
    <x v="2"/>
    <n v="88"/>
    <x v="0"/>
    <n v="7"/>
    <n v="0"/>
    <n v="8"/>
    <n v="8"/>
    <n v="50.971486610090899"/>
  </r>
  <r>
    <x v="659"/>
    <s v="Labrinth"/>
    <n v="1"/>
    <d v="2019-10-04T00:00:00"/>
    <n v="3444"/>
    <n v="7"/>
    <n v="24"/>
    <n v="85"/>
    <n v="102"/>
    <n v="0"/>
    <n v="1"/>
    <n v="554875730"/>
    <n v="145"/>
    <s v="B"/>
    <s v="Major"/>
    <n v="57"/>
    <n v="23"/>
    <x v="2"/>
    <n v="66"/>
    <x v="0"/>
    <n v="4"/>
    <n v="6"/>
    <n v="15"/>
    <n v="4"/>
    <n v="49.809256103424303"/>
  </r>
  <r>
    <x v="660"/>
    <s v="Labrinth"/>
    <n v="1"/>
    <d v="2019-06-21T00:00:00"/>
    <n v="5443"/>
    <n v="0"/>
    <n v="45"/>
    <n v="1"/>
    <n v="80"/>
    <n v="0"/>
    <n v="12"/>
    <n v="467727006"/>
    <n v="89"/>
    <m/>
    <s v="Minor"/>
    <n v="46"/>
    <n v="43"/>
    <x v="1"/>
    <n v="43"/>
    <x v="1"/>
    <n v="23"/>
    <n v="8"/>
    <n v="8"/>
    <n v="22"/>
    <n v="76.266167784224137"/>
  </r>
  <r>
    <x v="661"/>
    <s v="Intense, AP Dhillon, Gurinder Gill"/>
    <n v="3"/>
    <d v="2020-07-24T00:00:00"/>
    <n v="272"/>
    <n v="4"/>
    <n v="7"/>
    <n v="21"/>
    <n v="2"/>
    <n v="0"/>
    <n v="0"/>
    <n v="327498031"/>
    <n v="95"/>
    <s v="F"/>
    <s v="Minor"/>
    <n v="84"/>
    <n v="49"/>
    <x v="1"/>
    <n v="72"/>
    <x v="0"/>
    <n v="8"/>
    <n v="0"/>
    <n v="15"/>
    <n v="8"/>
    <n v="64.142109175928127"/>
  </r>
  <r>
    <x v="662"/>
    <s v="Juice WRLD"/>
    <n v="1"/>
    <d v="2021-12-10T00:00:00"/>
    <n v="975"/>
    <n v="0"/>
    <n v="11"/>
    <n v="0"/>
    <n v="10"/>
    <n v="0"/>
    <n v="0"/>
    <n v="185408548"/>
    <n v="160"/>
    <s v="D"/>
    <s v="Major"/>
    <n v="60"/>
    <n v="47"/>
    <x v="1"/>
    <n v="62"/>
    <x v="0"/>
    <n v="3"/>
    <n v="0"/>
    <n v="38"/>
    <n v="4"/>
    <n v="49.810780562719657"/>
  </r>
  <r>
    <x v="663"/>
    <s v="Quevedo, La Pantera, Juseph, Cruz Cafun√Ø¬ø¬Ω√Ø¬ø¬Ω, B√Ø¬ø¬Ω√Ø¬ø¬Ωjo, Abhir Hathi"/>
    <n v="7"/>
    <d v="2022-01-14T00:00:00"/>
    <n v="1034"/>
    <n v="1"/>
    <n v="19"/>
    <n v="5"/>
    <n v="12"/>
    <n v="0"/>
    <n v="0"/>
    <n v="245400167"/>
    <n v="174"/>
    <s v="F"/>
    <s v="Minor"/>
    <n v="67"/>
    <n v="74"/>
    <x v="0"/>
    <n v="75"/>
    <x v="0"/>
    <n v="44"/>
    <n v="0"/>
    <n v="7"/>
    <n v="30"/>
    <n v="29.477039326017874"/>
  </r>
  <r>
    <x v="664"/>
    <s v="Dr. Dre, 2Pac, Roger"/>
    <n v="3"/>
    <d v="1995-12-28T00:00:00"/>
    <n v="18773"/>
    <n v="0"/>
    <n v="128"/>
    <n v="17"/>
    <n v="1663"/>
    <n v="0"/>
    <n v="0"/>
    <n v="579395142"/>
    <n v="92"/>
    <s v="G"/>
    <s v="Major"/>
    <n v="77"/>
    <n v="76"/>
    <x v="0"/>
    <n v="84"/>
    <x v="0"/>
    <n v="3"/>
    <n v="0"/>
    <n v="38"/>
    <n v="4"/>
    <n v="15.792838667386889"/>
  </r>
  <r>
    <x v="665"/>
    <s v="Eminem, Dr. Dre"/>
    <n v="2"/>
    <d v="1999-01-01T00:00:00"/>
    <n v="19067"/>
    <n v="0"/>
    <n v="78"/>
    <n v="15"/>
    <n v="1674"/>
    <n v="0"/>
    <n v="3"/>
    <n v="675039469"/>
    <n v="134"/>
    <s v="G#"/>
    <s v="Major"/>
    <n v="93"/>
    <n v="61"/>
    <x v="1"/>
    <n v="74"/>
    <x v="0"/>
    <n v="9"/>
    <n v="0"/>
    <n v="17"/>
    <n v="8"/>
    <n v="46.430511060460887"/>
  </r>
  <r>
    <x v="666"/>
    <s v="Luude, Colin Hay"/>
    <n v="2"/>
    <d v="2021-11-19T00:00:00"/>
    <n v="3541"/>
    <n v="2"/>
    <n v="57"/>
    <n v="13"/>
    <n v="50"/>
    <n v="1"/>
    <n v="7"/>
    <n v="252871192"/>
    <n v="172"/>
    <s v="B"/>
    <s v="Minor"/>
    <n v="31"/>
    <n v="4"/>
    <x v="2"/>
    <n v="86"/>
    <x v="0"/>
    <n v="1"/>
    <n v="0"/>
    <n v="28"/>
    <n v="17"/>
    <n v="87.176743507238683"/>
  </r>
  <r>
    <x v="667"/>
    <s v="Ryan Castro"/>
    <n v="1"/>
    <d v="2021-12-17T00:00:00"/>
    <n v="1492"/>
    <n v="0"/>
    <n v="44"/>
    <n v="63"/>
    <n v="91"/>
    <n v="0"/>
    <n v="24"/>
    <n v="231996128"/>
    <n v="80"/>
    <s v="A"/>
    <s v="Major"/>
    <n v="76"/>
    <n v="92"/>
    <x v="0"/>
    <n v="62"/>
    <x v="0"/>
    <n v="6"/>
    <n v="0"/>
    <n v="8"/>
    <n v="13"/>
    <n v="32.413300272528367"/>
  </r>
  <r>
    <x v="668"/>
    <s v="Kendrick Lamar"/>
    <n v="1"/>
    <d v="2017-03-30T00:00:00"/>
    <n v="33206"/>
    <n v="1"/>
    <n v="284"/>
    <n v="114"/>
    <n v="1481"/>
    <n v="0"/>
    <n v="5"/>
    <n v="1929770265"/>
    <n v="150"/>
    <s v="C#"/>
    <s v="Minor"/>
    <n v="91"/>
    <n v="42"/>
    <x v="1"/>
    <n v="60"/>
    <x v="0"/>
    <n v="0"/>
    <n v="0"/>
    <n v="9"/>
    <n v="12"/>
    <n v="38.467013880387434"/>
  </r>
  <r>
    <x v="669"/>
    <s v="Eminem, Dido"/>
    <n v="2"/>
    <d v="1999-11-21T00:00:00"/>
    <n v="17115"/>
    <n v="0"/>
    <n v="83"/>
    <n v="63"/>
    <n v="4180"/>
    <n v="0"/>
    <n v="0"/>
    <n v="918915401"/>
    <n v="80"/>
    <s v="F#"/>
    <s v="Minor"/>
    <n v="78"/>
    <n v="53"/>
    <x v="1"/>
    <n v="74"/>
    <x v="0"/>
    <n v="4"/>
    <n v="0"/>
    <n v="45"/>
    <n v="21"/>
    <n v="83.17236634715421"/>
  </r>
  <r>
    <x v="670"/>
    <s v="GODZZ__-, Zakaria"/>
    <n v="2"/>
    <d v="2020-01-16T00:00:00"/>
    <n v="6955"/>
    <n v="0"/>
    <n v="65"/>
    <n v="45"/>
    <n v="398"/>
    <n v="0"/>
    <n v="1"/>
    <n v="1180896317"/>
    <n v="166"/>
    <s v="A#"/>
    <s v="Minor"/>
    <n v="81"/>
    <n v="83"/>
    <x v="0"/>
    <n v="75"/>
    <x v="0"/>
    <n v="14"/>
    <n v="0"/>
    <n v="29"/>
    <n v="34"/>
    <n v="17.681362627537002"/>
  </r>
  <r>
    <x v="671"/>
    <s v="Chase Atlantic"/>
    <n v="1"/>
    <d v="2017-10-04T00:00:00"/>
    <n v="2742"/>
    <n v="0"/>
    <n v="5"/>
    <n v="1"/>
    <n v="62"/>
    <n v="0"/>
    <n v="0"/>
    <n v="498960285"/>
    <n v="120"/>
    <s v="G#"/>
    <s v="Major"/>
    <n v="67"/>
    <n v="8"/>
    <x v="2"/>
    <n v="54"/>
    <x v="0"/>
    <n v="27"/>
    <n v="0"/>
    <n v="8"/>
    <n v="4"/>
    <n v="48.045635548935259"/>
  </r>
  <r>
    <x v="672"/>
    <s v="Bad Bunny"/>
    <n v="1"/>
    <d v="2020-02-29T00:00:00"/>
    <n v="4214"/>
    <n v="11"/>
    <n v="21"/>
    <n v="20"/>
    <n v="40"/>
    <n v="0"/>
    <n v="0"/>
    <n v="685071800"/>
    <n v="92"/>
    <m/>
    <s v="Major"/>
    <n v="86"/>
    <n v="89"/>
    <x v="0"/>
    <n v="79"/>
    <x v="0"/>
    <n v="17"/>
    <n v="0"/>
    <n v="11"/>
    <n v="6"/>
    <n v="46.76991228922418"/>
  </r>
  <r>
    <x v="673"/>
    <s v="Em Beihold"/>
    <n v="1"/>
    <d v="2022-01-28T00:00:00"/>
    <n v="2026"/>
    <n v="0"/>
    <n v="47"/>
    <n v="3"/>
    <n v="42"/>
    <n v="12"/>
    <n v="6"/>
    <n v="258714692"/>
    <n v="85"/>
    <s v="G#"/>
    <s v="Minor"/>
    <n v="74"/>
    <n v="61"/>
    <x v="1"/>
    <n v="52"/>
    <x v="0"/>
    <n v="30"/>
    <n v="0"/>
    <n v="26"/>
    <n v="9"/>
    <n v="1.6187338880863433"/>
  </r>
  <r>
    <x v="674"/>
    <s v="Mainstreet, Chefin"/>
    <n v="2"/>
    <d v="2022-01-15T00:00:00"/>
    <n v="352"/>
    <n v="0"/>
    <n v="10"/>
    <n v="0"/>
    <n v="39"/>
    <n v="0"/>
    <n v="0"/>
    <n v="143139338"/>
    <n v="154"/>
    <s v="D"/>
    <s v="Minor"/>
    <n v="79"/>
    <n v="86"/>
    <x v="0"/>
    <n v="52"/>
    <x v="0"/>
    <n v="66"/>
    <n v="0"/>
    <n v="9"/>
    <n v="7"/>
    <n v="86.902579500841711"/>
  </r>
  <r>
    <x v="675"/>
    <s v="Alvaro Diaz, Rauw Alejandro"/>
    <n v="2"/>
    <d v="2021-10-22T00:00:00"/>
    <n v="1517"/>
    <n v="0"/>
    <n v="42"/>
    <n v="7"/>
    <n v="15"/>
    <n v="0"/>
    <n v="4"/>
    <n v="209768491"/>
    <n v="92"/>
    <s v="D"/>
    <s v="Minor"/>
    <n v="73"/>
    <n v="37"/>
    <x v="2"/>
    <n v="74"/>
    <x v="0"/>
    <n v="28"/>
    <n v="0"/>
    <n v="14"/>
    <n v="6"/>
    <n v="72.285555426338107"/>
  </r>
  <r>
    <x v="676"/>
    <s v="Nicki Minaj, Lil Baby"/>
    <n v="2"/>
    <d v="2022-02-11T00:00:00"/>
    <n v="847"/>
    <n v="0"/>
    <n v="25"/>
    <n v="0"/>
    <n v="14"/>
    <n v="0"/>
    <n v="0"/>
    <n v="64714573"/>
    <n v="140"/>
    <s v="B"/>
    <s v="Major"/>
    <n v="89"/>
    <n v="75"/>
    <x v="0"/>
    <n v="70"/>
    <x v="0"/>
    <n v="6"/>
    <n v="0"/>
    <n v="13"/>
    <n v="5"/>
    <n v="72.136373343714382"/>
  </r>
  <r>
    <x v="677"/>
    <s v="Future"/>
    <n v="1"/>
    <d v="2022-02-11T00:00:00"/>
    <n v="910"/>
    <n v="0"/>
    <n v="20"/>
    <n v="3"/>
    <n v="24"/>
    <n v="0"/>
    <n v="0"/>
    <n v="50746620"/>
    <n v="89"/>
    <s v="C#"/>
    <s v="Major"/>
    <n v="65"/>
    <n v="60"/>
    <x v="1"/>
    <n v="60"/>
    <x v="0"/>
    <n v="11"/>
    <n v="0"/>
    <n v="10"/>
    <n v="40"/>
    <n v="29.436605964238659"/>
  </r>
  <r>
    <x v="678"/>
    <s v="Z√Ø¬ø¬Ω√Ø¬ø¬Ω Fe"/>
    <n v="1"/>
    <d v="2022-01-28T00:00:00"/>
    <n v="601"/>
    <n v="0"/>
    <n v="28"/>
    <n v="73"/>
    <n v="64"/>
    <n v="0"/>
    <n v="0"/>
    <n v="154119539"/>
    <n v="135"/>
    <s v="F"/>
    <s v="Minor"/>
    <n v="89"/>
    <n v="89"/>
    <x v="0"/>
    <n v="86"/>
    <x v="0"/>
    <n v="16"/>
    <n v="0"/>
    <n v="8"/>
    <n v="5"/>
    <n v="8.2465868268957401"/>
  </r>
  <r>
    <x v="679"/>
    <s v="Muni Long"/>
    <n v="1"/>
    <d v="2021-11-19T00:00:00"/>
    <n v="1800"/>
    <n v="0"/>
    <n v="43"/>
    <n v="36"/>
    <n v="46"/>
    <n v="13"/>
    <n v="4"/>
    <n v="181328253"/>
    <n v="140"/>
    <s v="G#"/>
    <s v="Minor"/>
    <n v="51"/>
    <n v="66"/>
    <x v="1"/>
    <n v="53"/>
    <x v="0"/>
    <n v="60"/>
    <n v="0"/>
    <n v="11"/>
    <n v="18"/>
    <n v="97.379142462622099"/>
  </r>
  <r>
    <x v="680"/>
    <s v="Vundabar"/>
    <n v="1"/>
    <d v="2015-07-24T00:00:00"/>
    <n v="1930"/>
    <n v="0"/>
    <n v="3"/>
    <n v="0"/>
    <n v="28"/>
    <n v="0"/>
    <n v="1"/>
    <n v="370068639"/>
    <n v="82"/>
    <s v="D#"/>
    <s v="Major"/>
    <n v="47"/>
    <n v="44"/>
    <x v="1"/>
    <n v="76"/>
    <x v="0"/>
    <n v="8"/>
    <n v="91"/>
    <n v="9"/>
    <n v="3"/>
    <n v="66.358270327948958"/>
  </r>
  <r>
    <x v="681"/>
    <s v="Ed Sheeran"/>
    <n v="1"/>
    <d v="2014-01-01T00:00:00"/>
    <n v="33032"/>
    <n v="0"/>
    <n v="363"/>
    <n v="129"/>
    <n v="3895"/>
    <n v="0"/>
    <n v="28"/>
    <n v="2280566092"/>
    <n v="79"/>
    <s v="D"/>
    <s v="Major"/>
    <n v="78"/>
    <n v="58"/>
    <x v="1"/>
    <n v="45"/>
    <x v="1"/>
    <n v="47"/>
    <n v="0"/>
    <n v="18"/>
    <n v="3"/>
    <n v="70.106385425278219"/>
  </r>
  <r>
    <x v="682"/>
    <s v="Labrinth"/>
    <n v="1"/>
    <d v="2019-10-04T00:00:00"/>
    <n v="6332"/>
    <n v="0"/>
    <n v="47"/>
    <n v="116"/>
    <n v="266"/>
    <n v="0"/>
    <n v="0"/>
    <n v="563902868"/>
    <n v="88"/>
    <s v="F"/>
    <s v="Major"/>
    <n v="31"/>
    <n v="31"/>
    <x v="2"/>
    <n v="63"/>
    <x v="0"/>
    <n v="47"/>
    <n v="27"/>
    <n v="21"/>
    <n v="12"/>
    <n v="79.932250977402859"/>
  </r>
  <r>
    <x v="683"/>
    <s v="V"/>
    <n v="1"/>
    <d v="2021-12-24T00:00:00"/>
    <n v="509"/>
    <n v="9"/>
    <n v="8"/>
    <n v="106"/>
    <n v="6"/>
    <n v="0"/>
    <n v="8"/>
    <n v="317622165"/>
    <n v="139"/>
    <s v="F"/>
    <s v="Major"/>
    <n v="44"/>
    <n v="18"/>
    <x v="2"/>
    <n v="38"/>
    <x v="1"/>
    <n v="70"/>
    <n v="0"/>
    <n v="12"/>
    <n v="4"/>
    <n v="56.321152044880229"/>
  </r>
  <r>
    <x v="684"/>
    <s v="Mar√Ø¬ø¬Ω√Ø¬ø¬Ωlia Mendon√Ø¬ø¬Ω√Ø¬ø¬Ωa, Hugo &amp; G"/>
    <n v="2"/>
    <d v="2022-01-14T00:00:00"/>
    <n v="971"/>
    <n v="2"/>
    <n v="35"/>
    <n v="104"/>
    <n v="93"/>
    <n v="1"/>
    <n v="0"/>
    <n v="291709698"/>
    <n v="124"/>
    <m/>
    <s v="Minor"/>
    <n v="73"/>
    <n v="68"/>
    <x v="1"/>
    <n v="83"/>
    <x v="0"/>
    <n v="55"/>
    <n v="0"/>
    <n v="90"/>
    <n v="7"/>
    <n v="58.655464536590664"/>
  </r>
  <r>
    <x v="685"/>
    <s v="Labrinth"/>
    <n v="1"/>
    <d v="2019-10-04T00:00:00"/>
    <n v="2578"/>
    <n v="0"/>
    <n v="8"/>
    <n v="67"/>
    <n v="66"/>
    <n v="0"/>
    <n v="0"/>
    <n v="203680270"/>
    <n v="80"/>
    <s v="G#"/>
    <s v="Minor"/>
    <n v="39"/>
    <n v="45"/>
    <x v="1"/>
    <n v="55"/>
    <x v="0"/>
    <n v="73"/>
    <n v="0"/>
    <n v="9"/>
    <n v="21"/>
    <n v="42.33785501230404"/>
  </r>
  <r>
    <x v="686"/>
    <s v="Nicki Minaj, Lil Baby"/>
    <n v="2"/>
    <d v="2022-02-04T00:00:00"/>
    <n v="1064"/>
    <n v="0"/>
    <n v="42"/>
    <n v="1"/>
    <n v="26"/>
    <n v="0"/>
    <n v="0"/>
    <n v="81350745"/>
    <n v="120"/>
    <s v="C#"/>
    <s v="Minor"/>
    <n v="84"/>
    <n v="54"/>
    <x v="1"/>
    <n v="51"/>
    <x v="0"/>
    <n v="47"/>
    <n v="0"/>
    <n v="12"/>
    <n v="40"/>
    <n v="7.6912609302936303"/>
  </r>
  <r>
    <x v="687"/>
    <s v="Labrinth"/>
    <n v="1"/>
    <d v="2019-10-04T00:00:00"/>
    <n v="3618"/>
    <n v="0"/>
    <n v="21"/>
    <n v="86"/>
    <n v="138"/>
    <n v="0"/>
    <n v="2"/>
    <n v="282883169"/>
    <n v="80"/>
    <s v="E"/>
    <s v="Minor"/>
    <n v="56"/>
    <n v="19"/>
    <x v="2"/>
    <n v="46"/>
    <x v="1"/>
    <n v="92"/>
    <n v="72"/>
    <n v="11"/>
    <n v="3"/>
    <n v="79.120881005634701"/>
  </r>
  <r>
    <x v="688"/>
    <s v="Eminem, Dr. Dre"/>
    <n v="2"/>
    <d v="2022-02-04T00:00:00"/>
    <n v="1040"/>
    <n v="0"/>
    <n v="8"/>
    <n v="0"/>
    <n v="29"/>
    <n v="0"/>
    <n v="0"/>
    <n v="64787943"/>
    <n v="117"/>
    <s v="C#"/>
    <s v="Major"/>
    <n v="92"/>
    <n v="62"/>
    <x v="1"/>
    <n v="86"/>
    <x v="0"/>
    <n v="11"/>
    <n v="0"/>
    <n v="24"/>
    <n v="24"/>
    <n v="38.3487948580728"/>
  </r>
  <r>
    <x v="689"/>
    <s v="Shawn Mendes, Camila Cabello"/>
    <n v="2"/>
    <d v="2019-06-19T00:00:00"/>
    <n v="15010"/>
    <n v="2"/>
    <n v="453"/>
    <n v="50"/>
    <n v="1785"/>
    <n v="1"/>
    <n v="8"/>
    <n v="2484812918"/>
    <n v="117"/>
    <s v="A"/>
    <s v="Minor"/>
    <n v="76"/>
    <n v="77"/>
    <x v="0"/>
    <n v="52"/>
    <x v="0"/>
    <n v="4"/>
    <n v="0"/>
    <n v="8"/>
    <n v="3"/>
    <n v="17.924592025877541"/>
  </r>
  <r>
    <x v="690"/>
    <s v="Tyler, The Creator"/>
    <n v="2"/>
    <d v="2019-05-16T00:00:00"/>
    <n v="4708"/>
    <n v="0"/>
    <n v="13"/>
    <n v="7"/>
    <n v="55"/>
    <n v="0"/>
    <n v="1"/>
    <n v="461437791"/>
    <n v="140"/>
    <s v="F"/>
    <s v="Minor"/>
    <n v="62"/>
    <n v="46"/>
    <x v="1"/>
    <n v="73"/>
    <x v="0"/>
    <n v="10"/>
    <n v="0"/>
    <n v="67"/>
    <n v="11"/>
    <n v="17.683475102752411"/>
  </r>
  <r>
    <x v="691"/>
    <s v="Harry Styles"/>
    <n v="1"/>
    <d v="2019-12-06T00:00:00"/>
    <n v="13454"/>
    <n v="1"/>
    <n v="246"/>
    <n v="71"/>
    <n v="519"/>
    <n v="2"/>
    <n v="5"/>
    <n v="1439191367"/>
    <n v="99"/>
    <s v="G#"/>
    <s v="Major"/>
    <n v="68"/>
    <n v="57"/>
    <x v="1"/>
    <n v="77"/>
    <x v="0"/>
    <n v="2"/>
    <n v="0"/>
    <n v="10"/>
    <n v="5"/>
    <n v="57.316086892386195"/>
  </r>
  <r>
    <x v="692"/>
    <s v="Daddy Yankee, Bad Bunny"/>
    <n v="2"/>
    <d v="2020-02-29T00:00:00"/>
    <n v="4890"/>
    <n v="20"/>
    <n v="52"/>
    <n v="42"/>
    <n v="100"/>
    <n v="0"/>
    <n v="0"/>
    <n v="759208783"/>
    <n v="93"/>
    <s v="C#"/>
    <s v="Major"/>
    <n v="74"/>
    <n v="59"/>
    <x v="1"/>
    <n v="87"/>
    <x v="0"/>
    <n v="3"/>
    <n v="0"/>
    <n v="8"/>
    <n v="5"/>
    <n v="14.628701413790646"/>
  </r>
  <r>
    <x v="693"/>
    <s v="Nirvana"/>
    <n v="1"/>
    <d v="1991-09-24T00:00:00"/>
    <n v="9514"/>
    <n v="0"/>
    <n v="45"/>
    <n v="27"/>
    <n v="1197"/>
    <n v="0"/>
    <n v="43"/>
    <n v="368646862"/>
    <n v="106"/>
    <s v="G#"/>
    <s v="Major"/>
    <n v="44"/>
    <n v="8"/>
    <x v="2"/>
    <n v="20"/>
    <x v="1"/>
    <n v="74"/>
    <n v="42"/>
    <n v="11"/>
    <n v="3"/>
    <n v="96.342111778367638"/>
  </r>
  <r>
    <x v="694"/>
    <s v="Dua Lipa, Megan Thee Stallion"/>
    <n v="2"/>
    <d v="2022-03-11T00:00:00"/>
    <n v="3501"/>
    <n v="0"/>
    <n v="69"/>
    <n v="2"/>
    <n v="51"/>
    <n v="11"/>
    <n v="0"/>
    <n v="299634472"/>
    <n v="124"/>
    <s v="G"/>
    <s v="Major"/>
    <n v="81"/>
    <n v="68"/>
    <x v="1"/>
    <n v="63"/>
    <x v="0"/>
    <n v="17"/>
    <n v="0"/>
    <n v="10"/>
    <n v="22"/>
    <n v="98.17186129992092"/>
  </r>
  <r>
    <x v="695"/>
    <s v="Camila Cabello, Ed Sheeran"/>
    <n v="2"/>
    <d v="2022-03-04T00:00:00"/>
    <n v="6111"/>
    <n v="4"/>
    <n v="185"/>
    <n v="40"/>
    <n v="492"/>
    <n v="9"/>
    <n v="35"/>
    <n v="756907987"/>
    <n v="95"/>
    <s v="G#"/>
    <s v="Major"/>
    <n v="76"/>
    <n v="96"/>
    <x v="0"/>
    <n v="70"/>
    <x v="0"/>
    <n v="18"/>
    <n v="0"/>
    <n v="33"/>
    <n v="4"/>
    <n v="77.253456075805161"/>
  </r>
  <r>
    <x v="696"/>
    <s v="Cris Mj"/>
    <n v="1"/>
    <d v="2022-01-21T00:00:00"/>
    <n v="5415"/>
    <n v="32"/>
    <n v="46"/>
    <n v="16"/>
    <n v="53"/>
    <n v="1"/>
    <n v="2"/>
    <n v="682475162"/>
    <n v="96"/>
    <s v="A#"/>
    <s v="Minor"/>
    <n v="87"/>
    <n v="82"/>
    <x v="0"/>
    <n v="53"/>
    <x v="0"/>
    <n v="10"/>
    <n v="0"/>
    <n v="5"/>
    <n v="8"/>
    <n v="20.980473020209889"/>
  </r>
  <r>
    <x v="697"/>
    <s v="Anitta"/>
    <n v="1"/>
    <d v="2021-11-11T00:00:00"/>
    <n v="4673"/>
    <n v="2"/>
    <n v="123"/>
    <n v="113"/>
    <n v="180"/>
    <n v="1"/>
    <n v="4"/>
    <n v="546191065"/>
    <n v="92"/>
    <s v="E"/>
    <s v="Minor"/>
    <n v="81"/>
    <n v="40"/>
    <x v="1"/>
    <n v="73"/>
    <x v="0"/>
    <n v="15"/>
    <n v="0"/>
    <n v="9"/>
    <n v="8"/>
    <n v="17.342318901431717"/>
  </r>
  <r>
    <x v="698"/>
    <s v="Dave"/>
    <n v="1"/>
    <d v="2022-03-03T00:00:00"/>
    <n v="1856"/>
    <n v="3"/>
    <n v="29"/>
    <n v="40"/>
    <n v="31"/>
    <n v="1"/>
    <n v="1"/>
    <n v="229473310"/>
    <n v="124"/>
    <s v="G"/>
    <s v="Major"/>
    <n v="95"/>
    <n v="36"/>
    <x v="2"/>
    <n v="37"/>
    <x v="1"/>
    <n v="35"/>
    <n v="0"/>
    <n v="10"/>
    <n v="28"/>
    <n v="83.985323761136826"/>
  </r>
  <r>
    <x v="699"/>
    <s v="Tulus"/>
    <n v="1"/>
    <d v="2022-03-03T00:00:00"/>
    <n v="200"/>
    <n v="2"/>
    <n v="12"/>
    <n v="4"/>
    <n v="0"/>
    <n v="0"/>
    <n v="0"/>
    <n v="202677468"/>
    <n v="72"/>
    <s v="F#"/>
    <s v="Major"/>
    <n v="64"/>
    <n v="76"/>
    <x v="0"/>
    <n v="44"/>
    <x v="1"/>
    <n v="70"/>
    <n v="9"/>
    <n v="12"/>
    <n v="4"/>
    <n v="70.8414576954344"/>
  </r>
  <r>
    <x v="700"/>
    <s v="Labrinth"/>
    <n v="1"/>
    <d v="2022-02-04T00:00:00"/>
    <n v="1888"/>
    <n v="0"/>
    <n v="26"/>
    <n v="1"/>
    <n v="58"/>
    <n v="0"/>
    <n v="0"/>
    <n v="121913181"/>
    <n v="71"/>
    <m/>
    <s v="Minor"/>
    <n v="28"/>
    <n v="26"/>
    <x v="2"/>
    <n v="20"/>
    <x v="1"/>
    <n v="19"/>
    <n v="0"/>
    <n v="30"/>
    <n v="3"/>
    <n v="17.721304480403845"/>
  </r>
  <r>
    <x v="701"/>
    <s v="Mc Pedrinho, Pedro Sampaio"/>
    <n v="2"/>
    <d v="2022-02-01T00:00:00"/>
    <n v="911"/>
    <n v="2"/>
    <n v="45"/>
    <n v="0"/>
    <n v="99"/>
    <n v="1"/>
    <n v="1"/>
    <n v="208166039"/>
    <n v="135"/>
    <s v="A"/>
    <s v="Minor"/>
    <n v="78"/>
    <n v="55"/>
    <x v="1"/>
    <n v="57"/>
    <x v="0"/>
    <n v="4"/>
    <n v="0"/>
    <n v="10"/>
    <n v="8"/>
    <n v="14.342093619110742"/>
  </r>
  <r>
    <x v="702"/>
    <s v="Zion &amp; Lennox"/>
    <n v="1"/>
    <d v="2004-05-04T00:00:00"/>
    <n v="2954"/>
    <n v="2"/>
    <n v="18"/>
    <n v="82"/>
    <n v="0"/>
    <n v="0"/>
    <n v="5"/>
    <n v="527033089"/>
    <n v="95"/>
    <s v="A#"/>
    <s v="Major"/>
    <n v="81"/>
    <n v="56"/>
    <x v="1"/>
    <n v="70"/>
    <x v="0"/>
    <n v="4"/>
    <n v="0"/>
    <n v="5"/>
    <n v="24"/>
    <n v="98.781840915311165"/>
  </r>
  <r>
    <x v="703"/>
    <s v="Residente, Bizarrap"/>
    <n v="2"/>
    <d v="2022-03-03T00:00:00"/>
    <n v="461"/>
    <n v="0"/>
    <n v="7"/>
    <n v="11"/>
    <n v="13"/>
    <n v="0"/>
    <n v="0"/>
    <n v="94616487"/>
    <n v="71"/>
    <s v="C#"/>
    <s v="Minor"/>
    <n v="59"/>
    <n v="70"/>
    <x v="1"/>
    <n v="74"/>
    <x v="0"/>
    <n v="56"/>
    <n v="0"/>
    <n v="11"/>
    <n v="40"/>
    <n v="91.592854087658708"/>
  </r>
  <r>
    <x v="704"/>
    <s v="Ryan Castro"/>
    <n v="1"/>
    <d v="2021-04-30T00:00:00"/>
    <n v="2844"/>
    <n v="2"/>
    <n v="29"/>
    <n v="2"/>
    <n v="35"/>
    <n v="1"/>
    <n v="0"/>
    <n v="394030335"/>
    <n v="180"/>
    <s v="A#"/>
    <s v="Minor"/>
    <n v="80"/>
    <n v="71"/>
    <x v="0"/>
    <n v="68"/>
    <x v="0"/>
    <n v="6"/>
    <n v="0"/>
    <n v="10"/>
    <n v="37"/>
    <n v="9.3048413601555247"/>
  </r>
  <r>
    <x v="705"/>
    <s v="Jack Harlow"/>
    <n v="1"/>
    <d v="2022-02-18T00:00:00"/>
    <n v="2939"/>
    <n v="0"/>
    <n v="42"/>
    <n v="0"/>
    <n v="24"/>
    <n v="0"/>
    <n v="0"/>
    <n v="193443895"/>
    <n v="150"/>
    <s v="E"/>
    <s v="Minor"/>
    <n v="65"/>
    <n v="11"/>
    <x v="2"/>
    <n v="58"/>
    <x v="0"/>
    <n v="0"/>
    <n v="0"/>
    <n v="12"/>
    <n v="9"/>
    <n v="65.984820833427406"/>
  </r>
  <r>
    <x v="706"/>
    <s v="Eden Mu√Ø¬ø¬Ω√Ø"/>
    <n v="1"/>
    <d v="2022-02-18T00:00:00"/>
    <n v="695"/>
    <n v="11"/>
    <n v="16"/>
    <n v="41"/>
    <n v="13"/>
    <n v="1"/>
    <n v="1"/>
    <n v="299648208"/>
    <n v="189"/>
    <s v="G#"/>
    <s v="Major"/>
    <n v="55"/>
    <n v="86"/>
    <x v="0"/>
    <n v="44"/>
    <x v="1"/>
    <n v="40"/>
    <n v="0"/>
    <n v="7"/>
    <n v="4"/>
    <n v="61.466051928999534"/>
  </r>
  <r>
    <x v="707"/>
    <s v="Treasure"/>
    <n v="1"/>
    <d v="2022-02-15T00:00:00"/>
    <n v="328"/>
    <n v="0"/>
    <n v="10"/>
    <n v="21"/>
    <n v="7"/>
    <n v="0"/>
    <n v="9"/>
    <n v="182978249"/>
    <n v="85"/>
    <m/>
    <s v="Major"/>
    <n v="72"/>
    <n v="55"/>
    <x v="1"/>
    <n v="64"/>
    <x v="0"/>
    <n v="49"/>
    <n v="0"/>
    <n v="7"/>
    <n v="4"/>
    <n v="24.458136603390713"/>
  </r>
  <r>
    <x v="708"/>
    <s v="Christian Nodal"/>
    <n v="1"/>
    <d v="2022-02-18T00:00:00"/>
    <n v="866"/>
    <n v="16"/>
    <n v="27"/>
    <n v="84"/>
    <n v="32"/>
    <n v="7"/>
    <n v="11"/>
    <n v="319757142"/>
    <n v="140"/>
    <s v="G"/>
    <s v="Major"/>
    <n v="59"/>
    <n v="73"/>
    <x v="0"/>
    <n v="45"/>
    <x v="1"/>
    <n v="44"/>
    <n v="0"/>
    <n v="34"/>
    <n v="3"/>
    <n v="60.538992750883622"/>
  </r>
  <r>
    <x v="709"/>
    <s v="Kevin Gates, Juicy J"/>
    <n v="2"/>
    <d v="2013-07-16T00:00:00"/>
    <n v="1550"/>
    <n v="0"/>
    <n v="0"/>
    <n v="0"/>
    <n v="14"/>
    <n v="0"/>
    <n v="0"/>
    <n v="109091573"/>
    <n v="81"/>
    <m/>
    <s v="Major"/>
    <n v="77"/>
    <n v="68"/>
    <x v="1"/>
    <n v="70"/>
    <x v="0"/>
    <n v="6"/>
    <n v="0"/>
    <n v="17"/>
    <n v="20"/>
    <n v="15.506377490693978"/>
  </r>
  <r>
    <x v="710"/>
    <s v="Tyga, Doja Cat"/>
    <n v="2"/>
    <d v="2022-02-25T00:00:00"/>
    <n v="1729"/>
    <n v="0"/>
    <n v="26"/>
    <n v="1"/>
    <n v="19"/>
    <n v="0"/>
    <n v="0"/>
    <n v="153240879"/>
    <n v="104"/>
    <s v="D"/>
    <s v="Minor"/>
    <n v="80"/>
    <n v="24"/>
    <x v="2"/>
    <n v="65"/>
    <x v="0"/>
    <n v="2"/>
    <n v="0"/>
    <n v="9"/>
    <n v="4"/>
    <n v="86.761722693308769"/>
  </r>
  <r>
    <x v="711"/>
    <s v="JVKE"/>
    <n v="1"/>
    <d v="2021-09-03T00:00:00"/>
    <n v="2005"/>
    <n v="0"/>
    <n v="16"/>
    <n v="5"/>
    <n v="43"/>
    <n v="0"/>
    <n v="7"/>
    <n v="346127840"/>
    <n v="129"/>
    <s v="B"/>
    <s v="Major"/>
    <n v="42"/>
    <n v="33"/>
    <x v="2"/>
    <n v="44"/>
    <x v="1"/>
    <n v="62"/>
    <n v="0"/>
    <n v="8"/>
    <n v="6"/>
    <n v="3.4419172074728444"/>
  </r>
  <r>
    <x v="712"/>
    <s v="Bad Bunny"/>
    <n v="1"/>
    <d v="2020-02-29T00:00:00"/>
    <n v="1188"/>
    <n v="0"/>
    <n v="13"/>
    <n v="1"/>
    <n v="15"/>
    <n v="0"/>
    <n v="1"/>
    <n v="312622938"/>
    <n v="94"/>
    <s v="C#"/>
    <s v="Minor"/>
    <n v="76"/>
    <n v="81"/>
    <x v="0"/>
    <n v="80"/>
    <x v="0"/>
    <n v="20"/>
    <n v="0"/>
    <n v="25"/>
    <n v="4"/>
    <n v="32.133107247679135"/>
  </r>
  <r>
    <x v="713"/>
    <s v="Queen"/>
    <n v="1"/>
    <d v="1975-10-31T00:00:00"/>
    <n v="40112"/>
    <n v="3"/>
    <n v="321"/>
    <n v="162"/>
    <n v="5691"/>
    <n v="8"/>
    <n v="17"/>
    <n v="2197010679"/>
    <n v="71"/>
    <m/>
    <s v="Minor"/>
    <n v="41"/>
    <n v="23"/>
    <x v="2"/>
    <n v="40"/>
    <x v="1"/>
    <n v="27"/>
    <n v="0"/>
    <n v="30"/>
    <n v="5"/>
    <n v="47.876149422284932"/>
  </r>
  <r>
    <x v="714"/>
    <s v="XXXTENTACION"/>
    <n v="1"/>
    <d v="2018-03-16T00:00:00"/>
    <n v="3659"/>
    <n v="0"/>
    <n v="11"/>
    <n v="10"/>
    <n v="267"/>
    <n v="0"/>
    <n v="7"/>
    <n v="1200808494"/>
    <n v="146"/>
    <s v="A"/>
    <s v="Minor"/>
    <n v="59"/>
    <n v="23"/>
    <x v="2"/>
    <n v="46"/>
    <x v="1"/>
    <n v="66"/>
    <n v="0"/>
    <n v="15"/>
    <n v="6"/>
    <n v="48.182001829446023"/>
  </r>
  <r>
    <x v="715"/>
    <s v="Dua Lipa"/>
    <n v="1"/>
    <d v="2020-03-27T00:00:00"/>
    <n v="9833"/>
    <n v="0"/>
    <n v="233"/>
    <n v="82"/>
    <n v="531"/>
    <n v="1"/>
    <n v="1"/>
    <n v="797196073"/>
    <n v="103"/>
    <s v="F#"/>
    <s v="Minor"/>
    <n v="69"/>
    <n v="90"/>
    <x v="0"/>
    <n v="88"/>
    <x v="0"/>
    <n v="5"/>
    <n v="0"/>
    <n v="29"/>
    <n v="8"/>
    <n v="7.9307855276624757"/>
  </r>
  <r>
    <x v="716"/>
    <s v="Avicii"/>
    <n v="1"/>
    <d v="2013-01-01T00:00:00"/>
    <n v="50887"/>
    <n v="34"/>
    <n v="315"/>
    <n v="160"/>
    <n v="6284"/>
    <n v="1"/>
    <n v="46"/>
    <n v="1970673297"/>
    <n v="124"/>
    <s v="D"/>
    <s v="Major"/>
    <n v="53"/>
    <n v="66"/>
    <x v="1"/>
    <n v="78"/>
    <x v="0"/>
    <n v="0"/>
    <n v="0"/>
    <n v="16"/>
    <n v="5"/>
    <n v="10.581199773456785"/>
  </r>
  <r>
    <x v="717"/>
    <s v="Olivia Rodrigo"/>
    <n v="1"/>
    <d v="2021-05-21T00:00:00"/>
    <n v="3257"/>
    <n v="0"/>
    <n v="10"/>
    <n v="0"/>
    <n v="70"/>
    <n v="0"/>
    <n v="0"/>
    <n v="665765558"/>
    <n v="164"/>
    <s v="A#"/>
    <s v="Minor"/>
    <n v="70"/>
    <n v="71"/>
    <x v="0"/>
    <n v="58"/>
    <x v="0"/>
    <n v="24"/>
    <n v="0"/>
    <n v="7"/>
    <n v="13"/>
    <n v="98.675283186030015"/>
  </r>
  <r>
    <x v="718"/>
    <s v="YEAT"/>
    <n v="1"/>
    <d v="2021-09-10T00:00:00"/>
    <n v="1473"/>
    <n v="0"/>
    <n v="2"/>
    <n v="0"/>
    <n v="12"/>
    <n v="0"/>
    <n v="10"/>
    <n v="263779030"/>
    <n v="138"/>
    <s v="D"/>
    <s v="Major"/>
    <n v="69"/>
    <n v="35"/>
    <x v="2"/>
    <n v="57"/>
    <x v="0"/>
    <n v="12"/>
    <n v="0"/>
    <n v="10"/>
    <n v="9"/>
    <n v="7.5241817514540958"/>
  </r>
  <r>
    <x v="719"/>
    <s v="C. Tangana"/>
    <n v="1"/>
    <d v="2020-10-08T00:00:00"/>
    <n v="2226"/>
    <n v="0"/>
    <n v="36"/>
    <n v="2"/>
    <n v="11"/>
    <n v="0"/>
    <n v="14"/>
    <n v="339473453"/>
    <n v="126"/>
    <s v="A"/>
    <s v="Minor"/>
    <n v="67"/>
    <n v="37"/>
    <x v="2"/>
    <n v="46"/>
    <x v="1"/>
    <n v="13"/>
    <n v="0"/>
    <n v="10"/>
    <n v="39"/>
    <n v="17.010575288859897"/>
  </r>
  <r>
    <x v="720"/>
    <s v="The Chainsmokers, Coldplay"/>
    <n v="2"/>
    <d v="2017-02-22T00:00:00"/>
    <n v="23375"/>
    <n v="21"/>
    <n v="336"/>
    <n v="188"/>
    <n v="2692"/>
    <n v="3"/>
    <n v="30"/>
    <n v="2204080728"/>
    <n v="103"/>
    <s v="B"/>
    <s v="Minor"/>
    <n v="61"/>
    <n v="47"/>
    <x v="1"/>
    <n v="65"/>
    <x v="0"/>
    <n v="3"/>
    <n v="0"/>
    <n v="17"/>
    <n v="4"/>
    <n v="33.26304160817606"/>
  </r>
  <r>
    <x v="721"/>
    <s v="The Chainsmokers, Halsey"/>
    <n v="2"/>
    <d v="2016-05-31T00:00:00"/>
    <n v="28032"/>
    <n v="0"/>
    <n v="315"/>
    <n v="159"/>
    <n v="2179"/>
    <n v="0"/>
    <n v="44"/>
    <n v="2591224264"/>
    <n v="95"/>
    <s v="G#"/>
    <s v="Major"/>
    <n v="75"/>
    <n v="64"/>
    <x v="1"/>
    <n v="52"/>
    <x v="0"/>
    <n v="41"/>
    <n v="0"/>
    <n v="11"/>
    <n v="3"/>
    <n v="65.176039010212122"/>
  </r>
  <r>
    <x v="722"/>
    <s v="NMIXX"/>
    <n v="1"/>
    <d v="2022-02-22T00:00:00"/>
    <n v="290"/>
    <n v="0"/>
    <n v="9"/>
    <n v="66"/>
    <n v="10"/>
    <n v="0"/>
    <n v="0"/>
    <n v="135444283"/>
    <n v="200"/>
    <s v="B"/>
    <s v="Minor"/>
    <n v="39"/>
    <n v="28"/>
    <x v="2"/>
    <n v="77"/>
    <x v="0"/>
    <n v="4"/>
    <n v="0"/>
    <n v="6"/>
    <n v="29"/>
    <n v="66.618522480748439"/>
  </r>
  <r>
    <x v="723"/>
    <s v="Gotye, Kimbra"/>
    <n v="2"/>
    <d v="2011-01-01T00:00:00"/>
    <n v="42798"/>
    <n v="0"/>
    <n v="217"/>
    <n v="136"/>
    <n v="6508"/>
    <n v="1"/>
    <m/>
    <n v="1457139296"/>
    <n v="129"/>
    <m/>
    <s v="Major"/>
    <n v="86"/>
    <n v="75"/>
    <x v="0"/>
    <n v="52"/>
    <x v="0"/>
    <n v="54"/>
    <n v="0"/>
    <n v="10"/>
    <n v="4"/>
    <n v="37.260126609308216"/>
  </r>
  <r>
    <x v="724"/>
    <s v="AnnenMayKantereit, Giant Rooks"/>
    <n v="2"/>
    <d v="2019-06-28T00:00:00"/>
    <n v="2605"/>
    <n v="0"/>
    <n v="15"/>
    <n v="48"/>
    <n v="50"/>
    <n v="0"/>
    <n v="3"/>
    <n v="236872197"/>
    <n v="98"/>
    <s v="F#"/>
    <s v="Minor"/>
    <n v="68"/>
    <n v="33"/>
    <x v="2"/>
    <n v="43"/>
    <x v="1"/>
    <n v="38"/>
    <n v="0"/>
    <n v="36"/>
    <n v="14"/>
    <n v="33.15174147980531"/>
  </r>
  <r>
    <x v="725"/>
    <s v="Jack Harlow"/>
    <n v="1"/>
    <d v="2022-04-08T00:00:00"/>
    <n v="8737"/>
    <n v="0"/>
    <n v="163"/>
    <n v="32"/>
    <n v="137"/>
    <n v="15"/>
    <n v="12"/>
    <n v="694525298"/>
    <n v="107"/>
    <s v="G#"/>
    <s v="Major"/>
    <n v="91"/>
    <n v="32"/>
    <x v="2"/>
    <n v="56"/>
    <x v="0"/>
    <n v="3"/>
    <n v="0"/>
    <n v="11"/>
    <n v="10"/>
    <n v="41.637831159346852"/>
  </r>
  <r>
    <x v="726"/>
    <s v="Paulo Londra"/>
    <n v="1"/>
    <d v="2022-03-23T00:00:00"/>
    <n v="1105"/>
    <n v="0"/>
    <n v="32"/>
    <n v="0"/>
    <n v="19"/>
    <n v="0"/>
    <n v="0"/>
    <n v="240661097"/>
    <n v="174"/>
    <m/>
    <s v="Major"/>
    <n v="58"/>
    <n v="56"/>
    <x v="1"/>
    <n v="83"/>
    <x v="0"/>
    <n v="5"/>
    <n v="0"/>
    <n v="7"/>
    <n v="4"/>
    <n v="57.5815394910558"/>
  </r>
  <r>
    <x v="727"/>
    <s v="Danny Ocean"/>
    <n v="1"/>
    <d v="2022-02-17T00:00:00"/>
    <n v="2499"/>
    <n v="21"/>
    <n v="68"/>
    <n v="24"/>
    <n v="43"/>
    <n v="1"/>
    <n v="0"/>
    <n v="421365166"/>
    <n v="92"/>
    <s v="G#"/>
    <s v="Major"/>
    <n v="45"/>
    <n v="27"/>
    <x v="2"/>
    <n v="67"/>
    <x v="0"/>
    <n v="32"/>
    <n v="0"/>
    <n v="13"/>
    <n v="14"/>
    <n v="69.516010574279235"/>
  </r>
  <r>
    <x v="728"/>
    <s v="Daddy Yankee, Bad Bunny"/>
    <n v="2"/>
    <d v="2022-03-25T00:00:00"/>
    <n v="2697"/>
    <n v="1"/>
    <n v="55"/>
    <n v="3"/>
    <n v="32"/>
    <n v="0"/>
    <n v="0"/>
    <n v="349746291"/>
    <n v="90"/>
    <s v="G"/>
    <s v="Major"/>
    <n v="81"/>
    <n v="59"/>
    <x v="1"/>
    <n v="83"/>
    <x v="0"/>
    <n v="9"/>
    <n v="0"/>
    <n v="11"/>
    <n v="5"/>
    <n v="18.104131079665976"/>
  </r>
  <r>
    <x v="729"/>
    <s v="Shawn Mendes"/>
    <n v="1"/>
    <d v="2022-03-31T00:00:00"/>
    <n v="2092"/>
    <n v="0"/>
    <n v="75"/>
    <n v="11"/>
    <n v="44"/>
    <n v="0"/>
    <n v="14"/>
    <n v="255120451"/>
    <n v="147"/>
    <s v="F"/>
    <s v="Major"/>
    <n v="60"/>
    <n v="58"/>
    <x v="1"/>
    <n v="69"/>
    <x v="0"/>
    <n v="2"/>
    <n v="0"/>
    <n v="58"/>
    <n v="4"/>
    <n v="44.788190993118093"/>
  </r>
  <r>
    <x v="730"/>
    <s v="Lil Tjay"/>
    <n v="1"/>
    <d v="2022-04-01T00:00:00"/>
    <n v="1185"/>
    <n v="0"/>
    <n v="21"/>
    <n v="0"/>
    <n v="31"/>
    <n v="0"/>
    <n v="0"/>
    <n v="190981339"/>
    <n v="143"/>
    <s v="C#"/>
    <s v="Major"/>
    <n v="68"/>
    <n v="41"/>
    <x v="1"/>
    <n v="55"/>
    <x v="0"/>
    <n v="16"/>
    <n v="0"/>
    <n v="10"/>
    <n v="12"/>
    <n v="77.548819603460558"/>
  </r>
  <r>
    <x v="731"/>
    <s v="Willow"/>
    <n v="1"/>
    <d v="2015-01-11T00:00:00"/>
    <n v="11985"/>
    <n v="0"/>
    <n v="79"/>
    <n v="80"/>
    <n v="250"/>
    <n v="3"/>
    <n v="10"/>
    <n v="924193303"/>
    <n v="101"/>
    <s v="D#"/>
    <s v="Minor"/>
    <n v="76"/>
    <n v="63"/>
    <x v="1"/>
    <n v="71"/>
    <x v="0"/>
    <n v="3"/>
    <n v="0"/>
    <n v="10"/>
    <n v="3"/>
    <n v="41.941880471528428"/>
  </r>
  <r>
    <x v="732"/>
    <s v="IVE"/>
    <n v="1"/>
    <d v="2022-04-05T00:00:00"/>
    <n v="753"/>
    <n v="8"/>
    <n v="28"/>
    <n v="124"/>
    <n v="13"/>
    <n v="0"/>
    <n v="1"/>
    <n v="305771063"/>
    <n v="118"/>
    <s v="C#"/>
    <s v="Minor"/>
    <n v="70"/>
    <n v="54"/>
    <x v="1"/>
    <n v="71"/>
    <x v="0"/>
    <n v="0"/>
    <n v="0"/>
    <n v="33"/>
    <n v="4"/>
    <n v="41.671639276738503"/>
  </r>
  <r>
    <x v="733"/>
    <s v="Feid, Alejo, Robi"/>
    <n v="3"/>
    <d v="2022-03-18T00:00:00"/>
    <n v="2995"/>
    <n v="0"/>
    <n v="49"/>
    <n v="17"/>
    <n v="30"/>
    <n v="0"/>
    <n v="0"/>
    <n v="273005485"/>
    <n v="98"/>
    <s v="G"/>
    <s v="Minor"/>
    <n v="83"/>
    <n v="63"/>
    <x v="1"/>
    <n v="74"/>
    <x v="0"/>
    <n v="14"/>
    <n v="0"/>
    <n v="16"/>
    <n v="6"/>
    <n v="5.2655900602626922"/>
  </r>
  <r>
    <x v="734"/>
    <s v="Paulo Londra"/>
    <n v="1"/>
    <d v="2022-04-06T00:00:00"/>
    <n v="225"/>
    <n v="0"/>
    <n v="11"/>
    <n v="0"/>
    <n v="7"/>
    <n v="0"/>
    <n v="0"/>
    <n v="89566512"/>
    <n v="138"/>
    <s v="C#"/>
    <s v="Minor"/>
    <n v="72"/>
    <n v="22"/>
    <x v="2"/>
    <n v="46"/>
    <x v="1"/>
    <n v="24"/>
    <n v="0"/>
    <n v="9"/>
    <n v="6"/>
    <n v="69.647323287843577"/>
  </r>
  <r>
    <x v="735"/>
    <s v="Demi Lovato"/>
    <n v="1"/>
    <d v="2015-01-01T00:00:00"/>
    <n v="9243"/>
    <n v="0"/>
    <n v="155"/>
    <n v="5"/>
    <n v="577"/>
    <n v="0"/>
    <n v="6"/>
    <n v="677389855"/>
    <n v="114"/>
    <s v="F"/>
    <s v="Minor"/>
    <n v="59"/>
    <n v="30"/>
    <x v="2"/>
    <n v="62"/>
    <x v="0"/>
    <n v="1"/>
    <n v="0"/>
    <n v="8"/>
    <n v="4"/>
    <n v="9.1621086821494053"/>
  </r>
  <r>
    <x v="736"/>
    <s v="Camila Cabello, Willow"/>
    <n v="2"/>
    <d v="2022-04-07T00:00:00"/>
    <n v="918"/>
    <n v="0"/>
    <n v="24"/>
    <n v="0"/>
    <n v="52"/>
    <n v="0"/>
    <n v="0"/>
    <n v="75476209"/>
    <n v="180"/>
    <s v="G"/>
    <s v="Minor"/>
    <n v="63"/>
    <n v="45"/>
    <x v="1"/>
    <n v="64"/>
    <x v="0"/>
    <n v="34"/>
    <n v="0"/>
    <n v="9"/>
    <n v="8"/>
    <n v="60.611445452653953"/>
  </r>
  <r>
    <x v="737"/>
    <s v="Troye Sivan"/>
    <n v="1"/>
    <d v="2021-09-09T00:00:00"/>
    <n v="1959"/>
    <n v="9"/>
    <n v="52"/>
    <n v="25"/>
    <n v="32"/>
    <n v="0"/>
    <n v="10"/>
    <n v="408843328"/>
    <n v="145"/>
    <s v="B"/>
    <s v="Major"/>
    <n v="56"/>
    <n v="41"/>
    <x v="1"/>
    <n v="57"/>
    <x v="0"/>
    <n v="1"/>
    <n v="0"/>
    <n v="13"/>
    <n v="3"/>
    <n v="84.415672668913402"/>
  </r>
  <r>
    <x v="738"/>
    <s v="Matu√Ø¬ø¬Ω√Ø¬ø¬Ω, Wiu, "/>
    <n v="3"/>
    <d v="2022-01-30T00:00:00"/>
    <n v="540"/>
    <n v="4"/>
    <n v="26"/>
    <n v="3"/>
    <n v="39"/>
    <n v="0"/>
    <n v="0"/>
    <n v="187772591"/>
    <n v="115"/>
    <s v="G#"/>
    <s v="Minor"/>
    <n v="78"/>
    <n v="63"/>
    <x v="1"/>
    <n v="64"/>
    <x v="0"/>
    <n v="1"/>
    <n v="0"/>
    <n v="7"/>
    <n v="4"/>
    <n v="30.280658463774646"/>
  </r>
  <r>
    <x v="739"/>
    <s v="De La Ghetto, Duki, Quevedo"/>
    <n v="3"/>
    <d v="2022-03-31T00:00:00"/>
    <n v="859"/>
    <n v="0"/>
    <n v="14"/>
    <n v="0"/>
    <n v="11"/>
    <n v="0"/>
    <n v="0"/>
    <n v="178512385"/>
    <n v="82"/>
    <s v="A#"/>
    <s v="Major"/>
    <n v="79"/>
    <n v="48"/>
    <x v="1"/>
    <n v="84"/>
    <x v="0"/>
    <n v="13"/>
    <n v="0"/>
    <n v="21"/>
    <n v="23"/>
    <n v="33.457591867636808"/>
  </r>
  <r>
    <x v="740"/>
    <s v="Lil Baby"/>
    <n v="1"/>
    <d v="2022-04-08T00:00:00"/>
    <n v="1116"/>
    <n v="0"/>
    <n v="31"/>
    <n v="9"/>
    <n v="15"/>
    <n v="0"/>
    <n v="1"/>
    <n v="101780047"/>
    <n v="166"/>
    <s v="D"/>
    <s v="Major"/>
    <n v="70"/>
    <n v="22"/>
    <x v="2"/>
    <n v="61"/>
    <x v="0"/>
    <n v="2"/>
    <n v="0"/>
    <n v="10"/>
    <n v="34"/>
    <n v="73.646204600419296"/>
  </r>
  <r>
    <x v="741"/>
    <s v="Ak4:20, Cris Mj, Pailita"/>
    <n v="3"/>
    <d v="2022-03-30T00:00:00"/>
    <n v="273"/>
    <n v="2"/>
    <n v="12"/>
    <n v="2"/>
    <n v="4"/>
    <n v="0"/>
    <n v="0"/>
    <n v="118381354"/>
    <n v="92"/>
    <m/>
    <s v="Major"/>
    <n v="86"/>
    <n v="91"/>
    <x v="0"/>
    <n v="79"/>
    <x v="0"/>
    <n v="29"/>
    <n v="0"/>
    <n v="60"/>
    <n v="16"/>
    <n v="20.101729737373731"/>
  </r>
  <r>
    <x v="742"/>
    <s v="Charlie Puth"/>
    <n v="1"/>
    <d v="2022-04-08T00:00:00"/>
    <n v="686"/>
    <n v="2"/>
    <n v="11"/>
    <n v="6"/>
    <n v="12"/>
    <n v="0"/>
    <n v="15"/>
    <n v="146363130"/>
    <n v="108"/>
    <s v="F#"/>
    <s v="Major"/>
    <n v="71"/>
    <n v="55"/>
    <x v="1"/>
    <n v="44"/>
    <x v="1"/>
    <n v="74"/>
    <n v="0"/>
    <n v="11"/>
    <n v="6"/>
    <n v="19.468762998800628"/>
  </r>
  <r>
    <x v="743"/>
    <s v="Yahritza Y Su Esencia"/>
    <n v="1"/>
    <d v="2022-03-25T00:00:00"/>
    <n v="226"/>
    <n v="0"/>
    <n v="5"/>
    <n v="0"/>
    <n v="4"/>
    <n v="0"/>
    <n v="1"/>
    <n v="126443991"/>
    <n v="84"/>
    <s v="E"/>
    <s v="Minor"/>
    <n v="71"/>
    <n v="63"/>
    <x v="1"/>
    <n v="45"/>
    <x v="1"/>
    <n v="45"/>
    <n v="0"/>
    <n v="11"/>
    <n v="3"/>
    <n v="99.485860151643195"/>
  </r>
  <r>
    <x v="744"/>
    <s v="Daddy Yankee"/>
    <n v="1"/>
    <d v="2022-03-25T00:00:00"/>
    <n v="1264"/>
    <n v="0"/>
    <n v="20"/>
    <n v="4"/>
    <n v="52"/>
    <n v="0"/>
    <n v="1"/>
    <n v="157990698"/>
    <n v="95"/>
    <s v="D#"/>
    <s v="Minor"/>
    <n v="69"/>
    <n v="90"/>
    <x v="0"/>
    <n v="91"/>
    <x v="0"/>
    <n v="6"/>
    <n v="0"/>
    <n v="35"/>
    <n v="4"/>
    <n v="68.188126151097023"/>
  </r>
  <r>
    <x v="745"/>
    <s v="Lu√Ø¬ø¬Ω√Ø¬ø¬Ωsa Sonza, MC Frog, Dj Gabriel do Borel, Davi K"/>
    <n v="4"/>
    <d v="2022-03-17T00:00:00"/>
    <n v="870"/>
    <n v="0"/>
    <n v="32"/>
    <n v="0"/>
    <n v="49"/>
    <n v="0"/>
    <n v="0"/>
    <n v="176290831"/>
    <n v="135"/>
    <s v="D#"/>
    <s v="Minor"/>
    <n v="93"/>
    <n v="77"/>
    <x v="0"/>
    <n v="45"/>
    <x v="1"/>
    <n v="25"/>
    <n v="0"/>
    <n v="13"/>
    <n v="27"/>
    <n v="21.059636200027921"/>
  </r>
  <r>
    <x v="746"/>
    <s v="Harry Styles"/>
    <n v="1"/>
    <d v="2019-12-13T00:00:00"/>
    <n v="7556"/>
    <n v="0"/>
    <n v="124"/>
    <n v="24"/>
    <n v="254"/>
    <n v="0"/>
    <n v="8"/>
    <n v="1023187129"/>
    <n v="110"/>
    <s v="E"/>
    <s v="Major"/>
    <n v="57"/>
    <n v="6"/>
    <x v="2"/>
    <n v="27"/>
    <x v="1"/>
    <n v="84"/>
    <n v="0"/>
    <n v="9"/>
    <n v="3"/>
    <n v="9.2242897865212665"/>
  </r>
  <r>
    <x v="747"/>
    <s v="Ed Sheeran, J Balvin"/>
    <n v="2"/>
    <d v="1996-11-24T00:00:00"/>
    <n v="1370"/>
    <n v="0"/>
    <n v="46"/>
    <n v="8"/>
    <n v="60"/>
    <n v="0"/>
    <n v="0"/>
    <n v="106933107"/>
    <n v="88"/>
    <s v="G"/>
    <s v="Major"/>
    <n v="89"/>
    <n v="59"/>
    <x v="1"/>
    <n v="64"/>
    <x v="0"/>
    <n v="5"/>
    <n v="0"/>
    <n v="19"/>
    <n v="7"/>
    <n v="50.120529070264361"/>
  </r>
  <r>
    <x v="748"/>
    <s v="teto"/>
    <n v="1"/>
    <d v="2022-03-30T00:00:00"/>
    <n v="315"/>
    <n v="2"/>
    <n v="27"/>
    <n v="2"/>
    <n v="31"/>
    <n v="0"/>
    <n v="0"/>
    <n v="139193812"/>
    <n v="119"/>
    <s v="C#"/>
    <s v="Minor"/>
    <n v="87"/>
    <n v="28"/>
    <x v="2"/>
    <n v="50"/>
    <x v="1"/>
    <n v="12"/>
    <n v="0"/>
    <n v="10"/>
    <n v="10"/>
    <n v="40.928505398726813"/>
  </r>
  <r>
    <x v="749"/>
    <s v="Stray Kids"/>
    <n v="1"/>
    <d v="2022-03-18T00:00:00"/>
    <n v="651"/>
    <n v="0"/>
    <n v="6"/>
    <n v="188"/>
    <n v="20"/>
    <n v="0"/>
    <n v="0"/>
    <n v="212234990"/>
    <n v="120"/>
    <s v="C#"/>
    <s v="Major"/>
    <n v="58"/>
    <n v="71"/>
    <x v="0"/>
    <n v="80"/>
    <x v="0"/>
    <n v="15"/>
    <n v="0"/>
    <n v="7"/>
    <n v="41"/>
    <n v="76.691484739579934"/>
  </r>
  <r>
    <x v="750"/>
    <s v="Shawn Mendes"/>
    <n v="1"/>
    <d v="2016-09-23T00:00:00"/>
    <n v="12382"/>
    <n v="0"/>
    <n v="229"/>
    <n v="57"/>
    <n v="1370"/>
    <n v="2"/>
    <n v="71"/>
    <n v="1714490998"/>
    <n v="122"/>
    <s v="D"/>
    <s v="Major"/>
    <n v="86"/>
    <n v="97"/>
    <x v="0"/>
    <n v="80"/>
    <x v="0"/>
    <n v="36"/>
    <n v="0"/>
    <n v="9"/>
    <n v="6"/>
    <n v="72.614981454113959"/>
  </r>
  <r>
    <x v="751"/>
    <s v="Blackbear, BoyWithUke"/>
    <n v="2"/>
    <d v="2022-03-18T00:00:00"/>
    <n v="625"/>
    <n v="0"/>
    <n v="10"/>
    <n v="2"/>
    <n v="13"/>
    <n v="0"/>
    <n v="1"/>
    <n v="197643795"/>
    <n v="98"/>
    <s v="F"/>
    <s v="Major"/>
    <n v="78"/>
    <n v="83"/>
    <x v="0"/>
    <n v="75"/>
    <x v="0"/>
    <n v="41"/>
    <n v="0"/>
    <n v="27"/>
    <n v="8"/>
    <n v="48.282789593155549"/>
  </r>
  <r>
    <x v="752"/>
    <s v="Harry Styles"/>
    <n v="1"/>
    <d v="2019-12-13T00:00:00"/>
    <n v="8429"/>
    <n v="1"/>
    <n v="85"/>
    <n v="24"/>
    <n v="200"/>
    <n v="0"/>
    <n v="2"/>
    <n v="807015863"/>
    <n v="140"/>
    <s v="E"/>
    <s v="Minor"/>
    <n v="45"/>
    <n v="25"/>
    <x v="2"/>
    <n v="84"/>
    <x v="0"/>
    <n v="21"/>
    <n v="0"/>
    <n v="13"/>
    <n v="6"/>
    <n v="11.674557185449464"/>
  </r>
  <r>
    <x v="753"/>
    <s v="Pharrell Williams, Nile Rodgers, Daft Punk"/>
    <n v="3"/>
    <d v="2013-01-01T00:00:00"/>
    <n v="52898"/>
    <n v="0"/>
    <n v="203"/>
    <n v="1"/>
    <n v="8215"/>
    <n v="0"/>
    <n v="0"/>
    <n v="933815613"/>
    <n v="116"/>
    <s v="F#"/>
    <s v="Minor"/>
    <n v="79"/>
    <n v="87"/>
    <x v="0"/>
    <n v="81"/>
    <x v="0"/>
    <n v="4"/>
    <n v="0"/>
    <n v="10"/>
    <n v="4"/>
    <n v="99.821776774616524"/>
  </r>
  <r>
    <x v="754"/>
    <s v="Doja Cat"/>
    <n v="1"/>
    <d v="2021-06-25T00:00:00"/>
    <n v="3436"/>
    <n v="0"/>
    <n v="32"/>
    <n v="6"/>
    <n v="46"/>
    <n v="0"/>
    <n v="1"/>
    <n v="499710590"/>
    <n v="124"/>
    <s v="D#"/>
    <s v="Major"/>
    <n v="86"/>
    <n v="62"/>
    <x v="1"/>
    <n v="49"/>
    <x v="1"/>
    <n v="51"/>
    <n v="0"/>
    <n v="35"/>
    <n v="21"/>
    <n v="25.803229326341249"/>
  </r>
  <r>
    <x v="755"/>
    <s v="Jordan Fisher, Josh Levi, Finneas O'Connell, 4*TOWN (From Disney and Pixar√Ø¬ø¬Ω√Ø¬ø¬Ω√Ø¬ø¬Ωs Turning Red), Topher Ngo, Grayson Vill"/>
    <n v="6"/>
    <d v="2022-02-25T00:00:00"/>
    <n v="918"/>
    <n v="0"/>
    <n v="34"/>
    <n v="39"/>
    <n v="30"/>
    <n v="0"/>
    <n v="0"/>
    <n v="120847157"/>
    <n v="105"/>
    <s v="A"/>
    <s v="Minor"/>
    <n v="91"/>
    <n v="73"/>
    <x v="0"/>
    <n v="72"/>
    <x v="0"/>
    <n v="13"/>
    <n v="0"/>
    <n v="9"/>
    <n v="15"/>
    <n v="64.350281075237405"/>
  </r>
  <r>
    <x v="756"/>
    <s v="BIGBANG"/>
    <n v="1"/>
    <d v="2022-04-05T00:00:00"/>
    <n v="181"/>
    <n v="0"/>
    <n v="16"/>
    <n v="14"/>
    <n v="7"/>
    <n v="0"/>
    <n v="0"/>
    <n v="53909146"/>
    <n v="118"/>
    <s v="G#"/>
    <s v="Major"/>
    <n v="68"/>
    <n v="24"/>
    <x v="2"/>
    <n v="58"/>
    <x v="0"/>
    <n v="44"/>
    <n v="0"/>
    <n v="6"/>
    <n v="3"/>
    <n v="21.237878393096533"/>
  </r>
  <r>
    <x v="757"/>
    <s v="Ed Sheeran"/>
    <n v="1"/>
    <d v="2014-06-20T00:00:00"/>
    <n v="18778"/>
    <n v="3"/>
    <n v="228"/>
    <n v="105"/>
    <n v="2453"/>
    <n v="0"/>
    <n v="84"/>
    <n v="2236667932"/>
    <n v="108"/>
    <s v="E"/>
    <s v="Major"/>
    <n v="61"/>
    <n v="20"/>
    <x v="2"/>
    <n v="38"/>
    <x v="1"/>
    <n v="61"/>
    <n v="0"/>
    <n v="10"/>
    <n v="5"/>
    <n v="72.723701408784862"/>
  </r>
  <r>
    <x v="758"/>
    <s v="Justin Bieber"/>
    <n v="1"/>
    <d v="2015-11-09T00:00:00"/>
    <n v="22730"/>
    <n v="5"/>
    <n v="289"/>
    <n v="87"/>
    <n v="2430"/>
    <n v="0"/>
    <n v="36"/>
    <n v="2123309722"/>
    <n v="100"/>
    <s v="E"/>
    <s v="Major"/>
    <n v="61"/>
    <n v="53"/>
    <x v="1"/>
    <n v="38"/>
    <x v="1"/>
    <n v="84"/>
    <n v="0"/>
    <n v="28"/>
    <n v="44"/>
    <n v="39.767374682974221"/>
  </r>
  <r>
    <x v="759"/>
    <s v="Kendrick Lamar"/>
    <n v="1"/>
    <d v="2022-05-13T00:00:00"/>
    <n v="5542"/>
    <n v="0"/>
    <n v="52"/>
    <n v="16"/>
    <n v="65"/>
    <n v="0"/>
    <n v="206"/>
    <n v="301242089"/>
    <n v="140"/>
    <s v="D#"/>
    <s v="Minor"/>
    <n v="81"/>
    <n v="39"/>
    <x v="2"/>
    <n v="66"/>
    <x v="0"/>
    <n v="38"/>
    <n v="0"/>
    <n v="12"/>
    <n v="14"/>
    <n v="80.028057859495974"/>
  </r>
  <r>
    <x v="372"/>
    <s v="Lizzo"/>
    <n v="1"/>
    <d v="2022-04-14T00:00:00"/>
    <n v="9021"/>
    <n v="0"/>
    <n v="242"/>
    <n v="49"/>
    <n v="272"/>
    <n v="21"/>
    <n v="24"/>
    <n v="723894473"/>
    <n v="109"/>
    <s v="A#"/>
    <s v="Minor"/>
    <n v="84"/>
    <n v="72"/>
    <x v="0"/>
    <n v="74"/>
    <x v="0"/>
    <n v="10"/>
    <n v="0"/>
    <n v="34"/>
    <n v="7"/>
    <n v="82.964484581082274"/>
  </r>
  <r>
    <x v="760"/>
    <s v="Kendrick Lamar, Blxst, Amanda Reifer"/>
    <n v="3"/>
    <d v="2022-05-13T00:00:00"/>
    <n v="4627"/>
    <n v="0"/>
    <n v="38"/>
    <n v="13"/>
    <n v="32"/>
    <n v="0"/>
    <n v="0"/>
    <n v="237351106"/>
    <n v="101"/>
    <s v="C#"/>
    <s v="Minor"/>
    <n v="78"/>
    <n v="40"/>
    <x v="1"/>
    <n v="74"/>
    <x v="0"/>
    <n v="36"/>
    <n v="0"/>
    <n v="17"/>
    <n v="27"/>
    <n v="64.015370175545044"/>
  </r>
  <r>
    <x v="761"/>
    <s v="Bad Bunny"/>
    <n v="1"/>
    <d v="2022-05-06T00:00:00"/>
    <n v="2229"/>
    <n v="0"/>
    <n v="27"/>
    <n v="44"/>
    <n v="24"/>
    <n v="0"/>
    <n v="5"/>
    <n v="461558540"/>
    <n v="78"/>
    <s v="F"/>
    <s v="Major"/>
    <n v="56"/>
    <n v="61"/>
    <x v="1"/>
    <n v="90"/>
    <x v="0"/>
    <n v="36"/>
    <n v="0"/>
    <n v="18"/>
    <n v="31"/>
    <n v="93.377358726799159"/>
  </r>
  <r>
    <x v="762"/>
    <s v="Bad Bunny"/>
    <n v="1"/>
    <d v="2022-05-06T00:00:00"/>
    <n v="1112"/>
    <n v="6"/>
    <n v="7"/>
    <n v="30"/>
    <n v="13"/>
    <n v="1"/>
    <n v="1"/>
    <n v="417230415"/>
    <n v="93"/>
    <m/>
    <s v="Minor"/>
    <n v="79"/>
    <n v="22"/>
    <x v="2"/>
    <n v="55"/>
    <x v="0"/>
    <n v="31"/>
    <n v="0"/>
    <n v="12"/>
    <n v="5"/>
    <n v="85.995016628718432"/>
  </r>
  <r>
    <x v="763"/>
    <s v="Kendrick Lamar"/>
    <n v="1"/>
    <d v="2022-05-13T00:00:00"/>
    <n v="2575"/>
    <n v="0"/>
    <n v="4"/>
    <n v="5"/>
    <n v="12"/>
    <n v="0"/>
    <n v="51"/>
    <n v="156898322"/>
    <n v="87"/>
    <s v="G#"/>
    <s v="Major"/>
    <n v="52"/>
    <n v="32"/>
    <x v="2"/>
    <n v="83"/>
    <x v="0"/>
    <n v="24"/>
    <n v="0"/>
    <n v="17"/>
    <n v="43"/>
    <n v="68.986171850693012"/>
  </r>
  <r>
    <x v="764"/>
    <s v="Kendrick Lamar, Sampha"/>
    <n v="2"/>
    <d v="2022-05-13T00:00:00"/>
    <n v="3107"/>
    <n v="0"/>
    <n v="4"/>
    <n v="0"/>
    <n v="22"/>
    <n v="0"/>
    <n v="0"/>
    <n v="127309180"/>
    <n v="153"/>
    <s v="A#"/>
    <s v="Minor"/>
    <n v="55"/>
    <n v="50"/>
    <x v="1"/>
    <n v="78"/>
    <x v="0"/>
    <n v="19"/>
    <n v="0"/>
    <n v="11"/>
    <n v="35"/>
    <n v="49.862423314568701"/>
  </r>
  <r>
    <x v="765"/>
    <s v="Bad Bunny"/>
    <n v="1"/>
    <d v="2022-05-06T00:00:00"/>
    <n v="1179"/>
    <n v="0"/>
    <n v="7"/>
    <n v="21"/>
    <n v="11"/>
    <n v="0"/>
    <n v="0"/>
    <n v="313113297"/>
    <n v="142"/>
    <m/>
    <s v="Major"/>
    <n v="87"/>
    <n v="93"/>
    <x v="0"/>
    <n v="59"/>
    <x v="0"/>
    <n v="28"/>
    <n v="0"/>
    <n v="17"/>
    <n v="5"/>
    <n v="8.8933989682853483"/>
  </r>
  <r>
    <x v="766"/>
    <s v="Kendrick Lamar"/>
    <n v="1"/>
    <d v="2022-05-13T00:00:00"/>
    <n v="3486"/>
    <n v="0"/>
    <n v="20"/>
    <n v="10"/>
    <n v="33"/>
    <n v="0"/>
    <n v="0"/>
    <n v="173702135"/>
    <n v="96"/>
    <s v="A#"/>
    <s v="Minor"/>
    <n v="85"/>
    <n v="41"/>
    <x v="1"/>
    <n v="43"/>
    <x v="1"/>
    <n v="39"/>
    <n v="0"/>
    <n v="12"/>
    <n v="21"/>
    <n v="68.675932213923204"/>
  </r>
  <r>
    <x v="767"/>
    <s v="Post Malone, Roddy Ricch"/>
    <n v="2"/>
    <d v="2022-05-12T00:00:00"/>
    <n v="2942"/>
    <n v="0"/>
    <n v="42"/>
    <n v="28"/>
    <n v="43"/>
    <n v="0"/>
    <n v="0"/>
    <n v="271666301"/>
    <n v="125"/>
    <m/>
    <s v="Major"/>
    <n v="50"/>
    <n v="39"/>
    <x v="2"/>
    <n v="78"/>
    <x v="0"/>
    <n v="4"/>
    <n v="0"/>
    <n v="11"/>
    <n v="33"/>
    <n v="93.625765053673007"/>
  </r>
  <r>
    <x v="768"/>
    <s v="Bad Bunny"/>
    <n v="1"/>
    <d v="2022-05-06T00:00:00"/>
    <n v="1443"/>
    <n v="0"/>
    <n v="9"/>
    <n v="11"/>
    <n v="22"/>
    <n v="1"/>
    <n v="0"/>
    <n v="305650299"/>
    <n v="85"/>
    <s v="A#"/>
    <s v="Major"/>
    <n v="71"/>
    <n v="43"/>
    <x v="1"/>
    <n v="65"/>
    <x v="0"/>
    <n v="23"/>
    <n v="0"/>
    <n v="9"/>
    <n v="5"/>
    <n v="88.188053649266209"/>
  </r>
  <r>
    <x v="769"/>
    <s v="Kendrick Lamar, Kodak Black"/>
    <n v="2"/>
    <d v="2022-05-13T00:00:00"/>
    <n v="3028"/>
    <n v="0"/>
    <n v="22"/>
    <n v="0"/>
    <n v="23"/>
    <n v="0"/>
    <n v="0"/>
    <n v="123216717"/>
    <n v="140"/>
    <s v="C#"/>
    <s v="Minor"/>
    <n v="92"/>
    <n v="78"/>
    <x v="0"/>
    <n v="57"/>
    <x v="0"/>
    <n v="46"/>
    <n v="0"/>
    <n v="14"/>
    <n v="9"/>
    <n v="60.938192424723866"/>
  </r>
  <r>
    <x v="770"/>
    <s v="Tony Dize, Bad Bunny"/>
    <n v="2"/>
    <d v="2022-05-06T00:00:00"/>
    <n v="1796"/>
    <n v="8"/>
    <n v="8"/>
    <n v="25"/>
    <n v="18"/>
    <n v="1"/>
    <n v="0"/>
    <n v="479655659"/>
    <n v="196"/>
    <s v="B"/>
    <s v="Minor"/>
    <n v="66"/>
    <n v="58"/>
    <x v="1"/>
    <n v="79"/>
    <x v="0"/>
    <n v="23"/>
    <n v="0"/>
    <n v="22"/>
    <n v="20"/>
    <n v="53.499632057544687"/>
  </r>
  <r>
    <x v="771"/>
    <s v="Kendrick Lamar"/>
    <n v="1"/>
    <d v="2022-05-13T00:00:00"/>
    <n v="2729"/>
    <n v="0"/>
    <n v="3"/>
    <n v="7"/>
    <n v="13"/>
    <n v="0"/>
    <n v="1"/>
    <n v="126191104"/>
    <n v="134"/>
    <s v="G"/>
    <s v="Major"/>
    <n v="78"/>
    <n v="51"/>
    <x v="1"/>
    <n v="43"/>
    <x v="1"/>
    <n v="69"/>
    <n v="0"/>
    <n v="14"/>
    <n v="9"/>
    <n v="97.304085206847304"/>
  </r>
  <r>
    <x v="772"/>
    <s v="Buscabulla, Bad Bunny"/>
    <n v="2"/>
    <d v="2022-05-06T00:00:00"/>
    <n v="1195"/>
    <n v="0"/>
    <n v="8"/>
    <n v="30"/>
    <n v="13"/>
    <n v="1"/>
    <n v="1"/>
    <n v="344055883"/>
    <n v="103"/>
    <s v="C#"/>
    <s v="Minor"/>
    <n v="80"/>
    <n v="45"/>
    <x v="1"/>
    <n v="62"/>
    <x v="0"/>
    <n v="76"/>
    <n v="0"/>
    <n v="10"/>
    <n v="38"/>
    <n v="79.587359912190806"/>
  </r>
  <r>
    <x v="773"/>
    <s v="Bad Bunny"/>
    <n v="1"/>
    <d v="2022-05-06T00:00:00"/>
    <n v="892"/>
    <n v="3"/>
    <n v="10"/>
    <n v="24"/>
    <n v="11"/>
    <n v="0"/>
    <n v="0"/>
    <n v="338422004"/>
    <n v="130"/>
    <s v="C#"/>
    <s v="Major"/>
    <n v="82"/>
    <n v="50"/>
    <x v="1"/>
    <n v="67"/>
    <x v="0"/>
    <n v="12"/>
    <n v="0"/>
    <n v="13"/>
    <n v="5"/>
    <n v="45.318841483130136"/>
  </r>
  <r>
    <x v="774"/>
    <s v="Kendrick Lamar, Taylour Paige"/>
    <n v="2"/>
    <d v="2022-05-13T00:00:00"/>
    <n v="1635"/>
    <n v="0"/>
    <n v="4"/>
    <n v="1"/>
    <n v="6"/>
    <n v="0"/>
    <n v="0"/>
    <n v="68895644"/>
    <n v="108"/>
    <s v="B"/>
    <s v="Major"/>
    <n v="65"/>
    <n v="52"/>
    <x v="1"/>
    <n v="69"/>
    <x v="0"/>
    <n v="31"/>
    <n v="0"/>
    <n v="8"/>
    <n v="36"/>
    <n v="80.074589622249746"/>
  </r>
  <r>
    <x v="775"/>
    <s v="Kendrick Lamar, Sam Dew, Baby Keem"/>
    <n v="3"/>
    <d v="2022-05-13T00:00:00"/>
    <n v="2291"/>
    <n v="0"/>
    <n v="9"/>
    <n v="0"/>
    <n v="8"/>
    <n v="0"/>
    <n v="0"/>
    <n v="86176890"/>
    <n v="123"/>
    <s v="G#"/>
    <s v="Major"/>
    <n v="61"/>
    <n v="66"/>
    <x v="1"/>
    <n v="71"/>
    <x v="0"/>
    <n v="53"/>
    <n v="0"/>
    <n v="32"/>
    <n v="46"/>
    <n v="16.392289903755042"/>
  </r>
  <r>
    <x v="776"/>
    <s v="Bad Bunny"/>
    <n v="1"/>
    <d v="2022-05-06T00:00:00"/>
    <n v="1029"/>
    <n v="28"/>
    <n v="5"/>
    <n v="28"/>
    <n v="9"/>
    <n v="0"/>
    <n v="0"/>
    <n v="403231558"/>
    <n v="152"/>
    <s v="B"/>
    <s v="Major"/>
    <n v="84"/>
    <n v="74"/>
    <x v="0"/>
    <n v="69"/>
    <x v="0"/>
    <n v="21"/>
    <n v="0"/>
    <n v="18"/>
    <n v="6"/>
    <n v="38.675421663461115"/>
  </r>
  <r>
    <x v="777"/>
    <s v="Bad Bunny, The Mar√Ø¬ø¬Ω√Ø"/>
    <n v="2"/>
    <d v="2022-05-06T00:00:00"/>
    <n v="1681"/>
    <n v="7"/>
    <n v="10"/>
    <n v="30"/>
    <n v="13"/>
    <n v="0"/>
    <n v="33"/>
    <n v="319546754"/>
    <n v="108"/>
    <s v="D"/>
    <s v="Major"/>
    <n v="78"/>
    <n v="55"/>
    <x v="1"/>
    <n v="60"/>
    <x v="0"/>
    <n v="59"/>
    <n v="0"/>
    <n v="7"/>
    <n v="4"/>
    <n v="43.458745020228818"/>
  </r>
  <r>
    <x v="778"/>
    <s v="Kendrick Lamar"/>
    <n v="1"/>
    <d v="2022-05-13T00:00:00"/>
    <n v="1480"/>
    <n v="0"/>
    <n v="1"/>
    <n v="0"/>
    <n v="5"/>
    <n v="0"/>
    <n v="0"/>
    <n v="61739839"/>
    <n v="72"/>
    <s v="A#"/>
    <s v="Minor"/>
    <n v="56"/>
    <n v="56"/>
    <x v="1"/>
    <n v="47"/>
    <x v="1"/>
    <n v="76"/>
    <n v="0"/>
    <n v="8"/>
    <n v="36"/>
    <n v="71.820376426774402"/>
  </r>
  <r>
    <x v="779"/>
    <s v="Bad Bunny"/>
    <n v="1"/>
    <d v="2022-05-06T00:00:00"/>
    <n v="829"/>
    <n v="0"/>
    <n v="4"/>
    <n v="15"/>
    <n v="10"/>
    <n v="0"/>
    <n v="0"/>
    <n v="283359161"/>
    <n v="121"/>
    <s v="F#"/>
    <s v="Minor"/>
    <n v="86"/>
    <n v="67"/>
    <x v="1"/>
    <n v="65"/>
    <x v="0"/>
    <n v="42"/>
    <n v="0"/>
    <n v="35"/>
    <n v="7"/>
    <n v="29.286774393540849"/>
  </r>
  <r>
    <x v="780"/>
    <s v="Kendrick Lamar, Ghostface Killah, Summer Walker"/>
    <n v="3"/>
    <d v="2022-05-13T00:00:00"/>
    <n v="2308"/>
    <n v="0"/>
    <n v="7"/>
    <n v="0"/>
    <n v="7"/>
    <n v="0"/>
    <n v="0"/>
    <n v="76831876"/>
    <n v="138"/>
    <s v="D#"/>
    <s v="Minor"/>
    <n v="57"/>
    <n v="71"/>
    <x v="0"/>
    <n v="82"/>
    <x v="0"/>
    <n v="19"/>
    <n v="0"/>
    <n v="15"/>
    <n v="29"/>
    <n v="51.287495015695782"/>
  </r>
  <r>
    <x v="781"/>
    <s v="Bad Bunny"/>
    <n v="1"/>
    <d v="2022-05-06T00:00:00"/>
    <n v="1004"/>
    <n v="1"/>
    <n v="8"/>
    <n v="12"/>
    <n v="9"/>
    <n v="0"/>
    <n v="0"/>
    <n v="283332261"/>
    <n v="188"/>
    <s v="F"/>
    <s v="Minor"/>
    <n v="50"/>
    <n v="41"/>
    <x v="1"/>
    <n v="50"/>
    <x v="1"/>
    <n v="69"/>
    <n v="0"/>
    <n v="12"/>
    <n v="6"/>
    <n v="50.200685300741185"/>
  </r>
  <r>
    <x v="782"/>
    <s v="Polima WestCoast, Pailita"/>
    <n v="2"/>
    <d v="2022-02-14T00:00:00"/>
    <n v="1367"/>
    <n v="0"/>
    <n v="48"/>
    <n v="4"/>
    <n v="34"/>
    <n v="1"/>
    <n v="0"/>
    <n v="307752576"/>
    <n v="110"/>
    <s v="C#"/>
    <s v="Major"/>
    <n v="80"/>
    <n v="26"/>
    <x v="2"/>
    <n v="85"/>
    <x v="0"/>
    <n v="23"/>
    <n v="0"/>
    <n v="11"/>
    <n v="21"/>
    <n v="13.581820726996519"/>
  </r>
  <r>
    <x v="783"/>
    <s v="Bad Bunny"/>
    <n v="1"/>
    <d v="2022-05-06T00:00:00"/>
    <n v="1112"/>
    <n v="3"/>
    <n v="7"/>
    <n v="25"/>
    <n v="12"/>
    <n v="0"/>
    <n v="0"/>
    <n v="279737940"/>
    <n v="105"/>
    <s v="G#"/>
    <s v="Major"/>
    <n v="81"/>
    <n v="77"/>
    <x v="0"/>
    <n v="79"/>
    <x v="0"/>
    <n v="19"/>
    <n v="0"/>
    <n v="47"/>
    <n v="8"/>
    <n v="11.131221582618778"/>
  </r>
  <r>
    <x v="784"/>
    <s v="Bad Bunny"/>
    <n v="1"/>
    <d v="2022-05-06T00:00:00"/>
    <n v="1209"/>
    <n v="0"/>
    <n v="9"/>
    <n v="7"/>
    <n v="14"/>
    <n v="0"/>
    <n v="1"/>
    <n v="212351890"/>
    <n v="118"/>
    <s v="G#"/>
    <s v="Major"/>
    <n v="63"/>
    <n v="60"/>
    <x v="1"/>
    <n v="70"/>
    <x v="0"/>
    <n v="5"/>
    <n v="0"/>
    <n v="9"/>
    <n v="31"/>
    <n v="24.604710442153554"/>
  </r>
  <r>
    <x v="785"/>
    <s v="Bad Bunny, Tainy"/>
    <n v="2"/>
    <d v="2019-05-31T00:00:00"/>
    <n v="9539"/>
    <n v="15"/>
    <n v="162"/>
    <n v="116"/>
    <n v="355"/>
    <n v="7"/>
    <n v="0"/>
    <n v="1304313953"/>
    <n v="176"/>
    <s v="D"/>
    <s v="Major"/>
    <n v="61"/>
    <n v="24"/>
    <x v="2"/>
    <n v="62"/>
    <x v="0"/>
    <n v="60"/>
    <n v="0"/>
    <n v="24"/>
    <n v="31"/>
    <n v="67.388638580340285"/>
  </r>
  <r>
    <x v="786"/>
    <s v="Jack Harlow"/>
    <n v="1"/>
    <d v="2022-05-06T00:00:00"/>
    <n v="1992"/>
    <n v="0"/>
    <n v="35"/>
    <n v="0"/>
    <n v="3"/>
    <n v="0"/>
    <n v="0"/>
    <n v="150500965"/>
    <n v="158"/>
    <s v="B"/>
    <s v="Major"/>
    <n v="83"/>
    <n v="41"/>
    <x v="1"/>
    <n v="65"/>
    <x v="0"/>
    <n v="0"/>
    <n v="10"/>
    <n v="11"/>
    <n v="8"/>
    <n v="8.4654902491909887"/>
  </r>
  <r>
    <x v="787"/>
    <s v="Bad Bunny"/>
    <n v="1"/>
    <d v="2022-05-06T00:00:00"/>
    <n v="897"/>
    <n v="0"/>
    <n v="6"/>
    <n v="20"/>
    <n v="8"/>
    <n v="0"/>
    <n v="0"/>
    <n v="246127838"/>
    <n v="115"/>
    <s v="C#"/>
    <s v="Minor"/>
    <n v="85"/>
    <n v="72"/>
    <x v="0"/>
    <n v="58"/>
    <x v="0"/>
    <n v="9"/>
    <n v="0"/>
    <n v="49"/>
    <n v="12"/>
    <n v="94.691958348712049"/>
  </r>
  <r>
    <x v="788"/>
    <s v="Panic! At The Disco"/>
    <n v="1"/>
    <d v="2016-01-15T00:00:00"/>
    <n v="2948"/>
    <n v="0"/>
    <n v="10"/>
    <n v="2"/>
    <n v="150"/>
    <n v="0"/>
    <n v="0"/>
    <n v="582863434"/>
    <n v="110"/>
    <s v="B"/>
    <s v="Minor"/>
    <n v="51"/>
    <n v="48"/>
    <x v="1"/>
    <n v="82"/>
    <x v="0"/>
    <n v="0"/>
    <n v="0"/>
    <n v="5"/>
    <n v="3"/>
    <n v="10.3367173386267"/>
  </r>
  <r>
    <x v="789"/>
    <s v="Kendrick Lamar, Tanna Leone"/>
    <n v="2"/>
    <d v="2022-05-13T00:00:00"/>
    <n v="1860"/>
    <n v="0"/>
    <n v="1"/>
    <n v="0"/>
    <n v="3"/>
    <n v="0"/>
    <n v="0"/>
    <n v="58687425"/>
    <n v="174"/>
    <s v="A"/>
    <s v="Major"/>
    <n v="73"/>
    <n v="26"/>
    <x v="2"/>
    <n v="54"/>
    <x v="0"/>
    <n v="30"/>
    <n v="0"/>
    <n v="34"/>
    <n v="32"/>
    <n v="49.787637528952104"/>
  </r>
  <r>
    <x v="790"/>
    <s v="PSY, Suga"/>
    <n v="2"/>
    <d v="2022-04-29T00:00:00"/>
    <n v="802"/>
    <n v="0"/>
    <n v="16"/>
    <n v="81"/>
    <n v="23"/>
    <n v="0"/>
    <n v="0"/>
    <n v="212109195"/>
    <n v="130"/>
    <s v="E"/>
    <s v="Major"/>
    <n v="91"/>
    <n v="91"/>
    <x v="0"/>
    <n v="96"/>
    <x v="0"/>
    <n v="3"/>
    <n v="0"/>
    <n v="3"/>
    <n v="9"/>
    <n v="87.490602526146674"/>
  </r>
  <r>
    <x v="791"/>
    <s v="Benson Boone"/>
    <n v="1"/>
    <d v="2022-04-29T00:00:00"/>
    <n v="2224"/>
    <n v="8"/>
    <n v="48"/>
    <n v="40"/>
    <n v="87"/>
    <n v="1"/>
    <n v="210"/>
    <n v="382199619"/>
    <n v="78"/>
    <s v="A#"/>
    <s v="Major"/>
    <n v="36"/>
    <n v="30"/>
    <x v="2"/>
    <n v="54"/>
    <x v="0"/>
    <n v="34"/>
    <n v="0"/>
    <n v="14"/>
    <n v="5"/>
    <n v="37.474890950761704"/>
  </r>
  <r>
    <x v="792"/>
    <s v="Kendrick Lamar"/>
    <n v="1"/>
    <d v="2022-05-13T00:00:00"/>
    <n v="1103"/>
    <n v="0"/>
    <n v="0"/>
    <n v="0"/>
    <n v="0"/>
    <n v="0"/>
    <n v="0"/>
    <n v="41210087"/>
    <n v="104"/>
    <s v="G"/>
    <s v="Major"/>
    <n v="44"/>
    <n v="74"/>
    <x v="0"/>
    <n v="42"/>
    <x v="1"/>
    <n v="88"/>
    <n v="0"/>
    <n v="9"/>
    <n v="9"/>
    <n v="64.456443307088847"/>
  </r>
  <r>
    <x v="793"/>
    <s v="M√Ø¬ø¬Ω√Ø¬ø¬Ωne"/>
    <n v="1"/>
    <d v="2022-05-13T00:00:00"/>
    <n v="2265"/>
    <n v="0"/>
    <n v="93"/>
    <n v="12"/>
    <n v="173"/>
    <n v="11"/>
    <n v="3"/>
    <n v="231657891"/>
    <n v="121"/>
    <s v="G"/>
    <s v="Major"/>
    <n v="64"/>
    <n v="80"/>
    <x v="0"/>
    <n v="88"/>
    <x v="0"/>
    <n v="0"/>
    <n v="0"/>
    <n v="12"/>
    <n v="6"/>
    <n v="43.019084890867418"/>
  </r>
  <r>
    <x v="794"/>
    <s v="KALUSH"/>
    <n v="1"/>
    <d v="2022-03-10T00:00:00"/>
    <n v="555"/>
    <n v="0"/>
    <n v="10"/>
    <n v="4"/>
    <n v="4"/>
    <n v="0"/>
    <n v="0"/>
    <n v="53729194"/>
    <n v="105"/>
    <s v="D"/>
    <s v="Major"/>
    <n v="83"/>
    <n v="32"/>
    <x v="2"/>
    <n v="82"/>
    <x v="0"/>
    <n v="14"/>
    <n v="0"/>
    <n v="12"/>
    <n v="4"/>
    <n v="13.308117815874642"/>
  </r>
  <r>
    <x v="795"/>
    <s v="The Kid Laroi"/>
    <n v="1"/>
    <d v="2022-04-22T00:00:00"/>
    <n v="2050"/>
    <n v="0"/>
    <n v="52"/>
    <n v="9"/>
    <n v="46"/>
    <n v="0"/>
    <n v="1"/>
    <n v="244741137"/>
    <n v="81"/>
    <s v="G"/>
    <s v="Major"/>
    <n v="38"/>
    <n v="20"/>
    <x v="2"/>
    <n v="66"/>
    <x v="0"/>
    <n v="9"/>
    <n v="0"/>
    <n v="9"/>
    <n v="8"/>
    <n v="94.76275605450904"/>
  </r>
  <r>
    <x v="796"/>
    <s v="Kendrick Lamar"/>
    <n v="1"/>
    <d v="2022-05-13T00:00:00"/>
    <n v="1493"/>
    <n v="0"/>
    <n v="2"/>
    <n v="0"/>
    <n v="10"/>
    <n v="0"/>
    <n v="0"/>
    <n v="42485571"/>
    <n v="170"/>
    <s v="C#"/>
    <s v="Minor"/>
    <n v="37"/>
    <n v="14"/>
    <x v="2"/>
    <n v="24"/>
    <x v="1"/>
    <n v="80"/>
    <n v="0"/>
    <n v="11"/>
    <n v="4"/>
    <n v="3.6953548660392355"/>
  </r>
  <r>
    <x v="797"/>
    <s v="Kendrick Lamar"/>
    <n v="1"/>
    <d v="2022-05-13T00:00:00"/>
    <n v="1545"/>
    <n v="0"/>
    <n v="1"/>
    <n v="0"/>
    <n v="4"/>
    <n v="0"/>
    <n v="0"/>
    <n v="37778188"/>
    <n v="78"/>
    <s v="G"/>
    <s v="Major"/>
    <n v="43"/>
    <n v="60"/>
    <x v="1"/>
    <n v="38"/>
    <x v="1"/>
    <n v="76"/>
    <n v="1"/>
    <n v="48"/>
    <n v="38"/>
    <n v="41.189050950395171"/>
  </r>
  <r>
    <x v="798"/>
    <s v="Future"/>
    <n v="1"/>
    <d v="2022-04-29T00:00:00"/>
    <n v="2350"/>
    <n v="0"/>
    <n v="28"/>
    <n v="42"/>
    <n v="23"/>
    <n v="0"/>
    <n v="0"/>
    <n v="254218729"/>
    <n v="125"/>
    <s v="G#"/>
    <s v="Major"/>
    <n v="88"/>
    <n v="28"/>
    <x v="2"/>
    <n v="66"/>
    <x v="0"/>
    <n v="6"/>
    <n v="0"/>
    <n v="13"/>
    <n v="31"/>
    <n v="9.9850872821751313"/>
  </r>
  <r>
    <x v="799"/>
    <s v="Kendrick Lamar"/>
    <n v="1"/>
    <d v="2022-05-13T00:00:00"/>
    <n v="1929"/>
    <n v="0"/>
    <n v="2"/>
    <n v="0"/>
    <n v="4"/>
    <n v="0"/>
    <n v="0"/>
    <n v="53603447"/>
    <n v="92"/>
    <s v="E"/>
    <s v="Minor"/>
    <n v="66"/>
    <n v="29"/>
    <x v="2"/>
    <n v="65"/>
    <x v="0"/>
    <n v="23"/>
    <n v="0"/>
    <n v="8"/>
    <n v="7"/>
    <n v="46.23594825855907"/>
  </r>
  <r>
    <x v="800"/>
    <s v="Luciano"/>
    <n v="1"/>
    <d v="2022-04-22T00:00:00"/>
    <n v="710"/>
    <n v="4"/>
    <n v="16"/>
    <n v="11"/>
    <n v="18"/>
    <n v="0"/>
    <n v="0"/>
    <n v="160035717"/>
    <n v="140"/>
    <s v="B"/>
    <s v="Minor"/>
    <n v="84"/>
    <n v="61"/>
    <x v="1"/>
    <n v="42"/>
    <x v="1"/>
    <n v="31"/>
    <n v="0"/>
    <n v="9"/>
    <n v="9"/>
    <n v="49.103351001036977"/>
  </r>
  <r>
    <x v="801"/>
    <s v="Bizarrap, Paulo Londra"/>
    <n v="2"/>
    <d v="2022-04-25T00:00:00"/>
    <n v="928"/>
    <n v="0"/>
    <n v="19"/>
    <n v="0"/>
    <n v="7"/>
    <n v="0"/>
    <n v="0"/>
    <n v="164163229"/>
    <n v="96"/>
    <m/>
    <s v="Major"/>
    <n v="61"/>
    <n v="32"/>
    <x v="2"/>
    <n v="90"/>
    <x v="0"/>
    <n v="25"/>
    <n v="0"/>
    <n v="10"/>
    <n v="9"/>
    <n v="21.759712812094069"/>
  </r>
  <r>
    <x v="802"/>
    <s v="Kendrick Lamar"/>
    <n v="1"/>
    <d v="2022-05-13T00:00:00"/>
    <n v="1194"/>
    <n v="0"/>
    <n v="0"/>
    <n v="0"/>
    <n v="3"/>
    <n v="0"/>
    <n v="0"/>
    <n v="37091576"/>
    <n v="118"/>
    <s v="F"/>
    <s v="Minor"/>
    <n v="66"/>
    <n v="83"/>
    <x v="0"/>
    <n v="43"/>
    <x v="1"/>
    <n v="84"/>
    <n v="0"/>
    <n v="19"/>
    <n v="19"/>
    <n v="75.406383651507667"/>
  </r>
  <r>
    <x v="803"/>
    <s v="Shae Gill, Ali Sethi"/>
    <n v="2"/>
    <d v="2022-02-06T00:00:00"/>
    <n v="349"/>
    <n v="6"/>
    <n v="10"/>
    <n v="22"/>
    <n v="3"/>
    <n v="0"/>
    <n v="0"/>
    <n v="284249832"/>
    <n v="92"/>
    <s v="B"/>
    <s v="Minor"/>
    <n v="71"/>
    <n v="67"/>
    <x v="1"/>
    <n v="60"/>
    <x v="0"/>
    <n v="7"/>
    <n v="0"/>
    <n v="6"/>
    <n v="4"/>
    <n v="95.232086650457546"/>
  </r>
  <r>
    <x v="804"/>
    <s v="Kendrick Lamar, Beth Gibbons"/>
    <n v="2"/>
    <d v="2022-05-13T00:00:00"/>
    <n v="1890"/>
    <n v="0"/>
    <n v="3"/>
    <n v="0"/>
    <n v="2"/>
    <n v="0"/>
    <n v="0"/>
    <n v="33381454"/>
    <n v="140"/>
    <s v="G#"/>
    <s v="Minor"/>
    <n v="49"/>
    <n v="50"/>
    <x v="1"/>
    <n v="37"/>
    <x v="1"/>
    <n v="87"/>
    <n v="0"/>
    <n v="11"/>
    <n v="35"/>
    <n v="38.758781316343814"/>
  </r>
  <r>
    <x v="805"/>
    <s v="Sech, Mora"/>
    <n v="2"/>
    <d v="2022-04-01T00:00:00"/>
    <n v="1308"/>
    <n v="2"/>
    <n v="23"/>
    <n v="16"/>
    <n v="9"/>
    <n v="0"/>
    <n v="5"/>
    <n v="184622518"/>
    <n v="174"/>
    <s v="C#"/>
    <s v="Major"/>
    <n v="68"/>
    <n v="45"/>
    <x v="1"/>
    <n v="71"/>
    <x v="0"/>
    <n v="18"/>
    <n v="0"/>
    <n v="11"/>
    <n v="25"/>
    <n v="60.745048923256427"/>
  </r>
  <r>
    <x v="806"/>
    <s v="MNEK, Jax Jones"/>
    <n v="2"/>
    <d v="2022-01-26T00:00:00"/>
    <n v="4531"/>
    <n v="0"/>
    <n v="135"/>
    <n v="74"/>
    <n v="119"/>
    <n v="1"/>
    <n v="18"/>
    <n v="300983101"/>
    <n v="127"/>
    <s v="A#"/>
    <s v="Major"/>
    <n v="77"/>
    <n v="53"/>
    <x v="1"/>
    <n v="78"/>
    <x v="0"/>
    <n v="19"/>
    <n v="0"/>
    <n v="29"/>
    <n v="4"/>
    <n v="57.774080257831194"/>
  </r>
  <r>
    <x v="807"/>
    <s v="Ugly Dray, Tesla Jnr"/>
    <n v="2"/>
    <d v="2022-05-06T00:00:00"/>
    <n v="1657"/>
    <n v="0"/>
    <n v="15"/>
    <n v="3"/>
    <n v="3"/>
    <n v="0"/>
    <n v="0"/>
    <n v="121077868"/>
    <n v="96"/>
    <s v="B"/>
    <s v="Major"/>
    <n v="71"/>
    <n v="37"/>
    <x v="2"/>
    <n v="52"/>
    <x v="0"/>
    <n v="62"/>
    <n v="0"/>
    <n v="11"/>
    <n v="36"/>
    <n v="12.445897783970061"/>
  </r>
  <r>
    <x v="808"/>
    <s v="Justin Bieber, Don Toliver"/>
    <n v="2"/>
    <d v="2022-04-29T00:00:00"/>
    <n v="1351"/>
    <n v="0"/>
    <n v="26"/>
    <n v="1"/>
    <n v="17"/>
    <n v="0"/>
    <n v="0"/>
    <n v="106919680"/>
    <n v="150"/>
    <s v="G#"/>
    <s v="Minor"/>
    <n v="82"/>
    <n v="82"/>
    <x v="0"/>
    <n v="66"/>
    <x v="0"/>
    <n v="13"/>
    <n v="0"/>
    <n v="11"/>
    <n v="6"/>
    <n v="97.729007460226612"/>
  </r>
  <r>
    <x v="809"/>
    <s v="Jessi"/>
    <n v="1"/>
    <d v="2022-04-13T00:00:00"/>
    <n v="608"/>
    <n v="0"/>
    <n v="5"/>
    <n v="29"/>
    <n v="14"/>
    <n v="0"/>
    <n v="0"/>
    <n v="136996305"/>
    <n v="100"/>
    <s v="F#"/>
    <s v="Major"/>
    <n v="87"/>
    <n v="46"/>
    <x v="1"/>
    <n v="60"/>
    <x v="0"/>
    <n v="1"/>
    <n v="0"/>
    <n v="13"/>
    <n v="16"/>
    <n v="53.097153188427058"/>
  </r>
  <r>
    <x v="810"/>
    <s v="Chanel"/>
    <n v="1"/>
    <d v="2021-12-24T00:00:00"/>
    <n v="1211"/>
    <n v="0"/>
    <n v="31"/>
    <n v="0"/>
    <n v="19"/>
    <n v="0"/>
    <n v="2"/>
    <n v="65719930"/>
    <n v="105"/>
    <s v="C#"/>
    <s v="Minor"/>
    <n v="73"/>
    <n v="59"/>
    <x v="1"/>
    <n v="81"/>
    <x v="0"/>
    <n v="13"/>
    <n v="0"/>
    <n v="9"/>
    <n v="6"/>
    <n v="68.577986293665063"/>
  </r>
  <r>
    <x v="811"/>
    <s v="LE SSERAFIM"/>
    <n v="1"/>
    <d v="2022-05-02T00:00:00"/>
    <n v="629"/>
    <n v="0"/>
    <n v="18"/>
    <n v="75"/>
    <n v="9"/>
    <n v="0"/>
    <n v="0"/>
    <n v="229497852"/>
    <n v="104"/>
    <s v="G"/>
    <s v="Major"/>
    <n v="86"/>
    <n v="43"/>
    <x v="1"/>
    <n v="62"/>
    <x v="0"/>
    <n v="5"/>
    <n v="0"/>
    <n v="13"/>
    <n v="14"/>
    <n v="71.442320253452522"/>
  </r>
  <r>
    <x v="812"/>
    <s v="Leah Kate"/>
    <n v="1"/>
    <d v="2022-03-23T00:00:00"/>
    <n v="1301"/>
    <n v="0"/>
    <n v="23"/>
    <n v="1"/>
    <n v="15"/>
    <n v="0"/>
    <n v="0"/>
    <n v="185550869"/>
    <n v="154"/>
    <s v="G#"/>
    <s v="Major"/>
    <n v="54"/>
    <n v="45"/>
    <x v="1"/>
    <n v="79"/>
    <x v="0"/>
    <n v="1"/>
    <n v="0"/>
    <n v="17"/>
    <n v="5"/>
    <n v="98.384896461065736"/>
  </r>
  <r>
    <x v="813"/>
    <s v="Sam Ryder"/>
    <n v="1"/>
    <d v="2022-02-22T00:00:00"/>
    <n v="1329"/>
    <n v="0"/>
    <n v="42"/>
    <n v="51"/>
    <n v="32"/>
    <n v="0"/>
    <n v="0"/>
    <n v="54682594"/>
    <n v="80"/>
    <s v="B"/>
    <s v="Major"/>
    <n v="47"/>
    <n v="33"/>
    <x v="2"/>
    <n v="83"/>
    <x v="0"/>
    <n v="18"/>
    <n v="0"/>
    <n v="10"/>
    <n v="5"/>
    <n v="87.92786474208512"/>
  </r>
  <r>
    <x v="814"/>
    <s v="HA SUNG WOON, Jimin"/>
    <n v="2"/>
    <d v="2022-04-24T00:00:00"/>
    <n v="343"/>
    <n v="2"/>
    <n v="4"/>
    <n v="35"/>
    <n v="11"/>
    <n v="1"/>
    <n v="1"/>
    <n v="240580042"/>
    <n v="150"/>
    <s v="D#"/>
    <s v="Major"/>
    <n v="53"/>
    <n v="14"/>
    <x v="2"/>
    <n v="43"/>
    <x v="1"/>
    <n v="64"/>
    <n v="0"/>
    <n v="13"/>
    <n v="3"/>
    <n v="1.5555307630308102"/>
  </r>
  <r>
    <x v="815"/>
    <s v="The Goo Goo Dolls"/>
    <n v="1"/>
    <d v="1998-03-31T00:00:00"/>
    <n v="13101"/>
    <n v="9"/>
    <n v="137"/>
    <n v="5"/>
    <n v="582"/>
    <n v="0"/>
    <n v="0"/>
    <n v="1284942608"/>
    <n v="156"/>
    <s v="B"/>
    <s v="Minor"/>
    <n v="32"/>
    <n v="49"/>
    <x v="1"/>
    <n v="72"/>
    <x v="0"/>
    <n v="0"/>
    <n v="0"/>
    <n v="9"/>
    <n v="4"/>
    <n v="26.413668843500059"/>
  </r>
  <r>
    <x v="816"/>
    <s v="Kendrick Lamar"/>
    <n v="1"/>
    <d v="2022-05-08T00:00:00"/>
    <n v="2939"/>
    <n v="0"/>
    <n v="29"/>
    <n v="0"/>
    <n v="30"/>
    <n v="0"/>
    <n v="0"/>
    <n v="71423324"/>
    <n v="98"/>
    <s v="G#"/>
    <s v="Minor"/>
    <n v="76"/>
    <n v="79"/>
    <x v="0"/>
    <n v="81"/>
    <x v="0"/>
    <n v="18"/>
    <n v="0"/>
    <n v="6"/>
    <n v="34"/>
    <n v="69.558857591301859"/>
  </r>
  <r>
    <x v="817"/>
    <s v="Kevin Kaarl"/>
    <n v="1"/>
    <d v="2019-11-07T00:00:00"/>
    <n v="407"/>
    <n v="1"/>
    <n v="5"/>
    <n v="0"/>
    <n v="5"/>
    <n v="0"/>
    <n v="0"/>
    <n v="244891912"/>
    <n v="92"/>
    <s v="G"/>
    <s v="Major"/>
    <n v="58"/>
    <n v="27"/>
    <x v="2"/>
    <n v="36"/>
    <x v="1"/>
    <n v="86"/>
    <n v="0"/>
    <n v="9"/>
    <n v="3"/>
    <n v="51.47395771588954"/>
  </r>
  <r>
    <x v="818"/>
    <s v="Taylor Swift"/>
    <n v="1"/>
    <d v="2022-05-06T00:00:00"/>
    <n v="1492"/>
    <n v="0"/>
    <n v="26"/>
    <n v="2"/>
    <n v="15"/>
    <n v="0"/>
    <n v="2"/>
    <n v="132171975"/>
    <n v="144"/>
    <s v="E"/>
    <s v="Major"/>
    <n v="47"/>
    <n v="7"/>
    <x v="2"/>
    <n v="50"/>
    <x v="1"/>
    <n v="32"/>
    <n v="0"/>
    <n v="7"/>
    <n v="4"/>
    <n v="16.246862495749625"/>
  </r>
  <r>
    <x v="819"/>
    <s v="Suki Waterhouse"/>
    <n v="1"/>
    <d v="2017-10-20T00:00:00"/>
    <n v="2264"/>
    <n v="0"/>
    <n v="11"/>
    <n v="6"/>
    <n v="25"/>
    <n v="0"/>
    <n v="1"/>
    <n v="184706613"/>
    <n v="150"/>
    <s v="E"/>
    <s v="Major"/>
    <n v="37"/>
    <n v="27"/>
    <x v="2"/>
    <n v="56"/>
    <x v="0"/>
    <n v="8"/>
    <n v="0"/>
    <n v="13"/>
    <n v="3"/>
    <n v="8.6671821508194746"/>
  </r>
  <r>
    <x v="12"/>
    <s v="Lauren Spencer Smith"/>
    <n v="1"/>
    <d v="2021-08-09T00:00:00"/>
    <n v="801"/>
    <n v="0"/>
    <n v="42"/>
    <n v="9"/>
    <n v="24"/>
    <n v="1"/>
    <n v="1"/>
    <n v="184826429"/>
    <n v="138"/>
    <s v="D#"/>
    <s v="Major"/>
    <n v="70"/>
    <n v="31"/>
    <x v="2"/>
    <n v="44"/>
    <x v="1"/>
    <n v="84"/>
    <n v="0"/>
    <n v="9"/>
    <n v="39"/>
    <n v="4.7487351663335398"/>
  </r>
  <r>
    <x v="820"/>
    <s v="BTS"/>
    <n v="1"/>
    <d v="2022-06-10T00:00:00"/>
    <n v="829"/>
    <n v="0"/>
    <n v="32"/>
    <n v="110"/>
    <n v="26"/>
    <n v="0"/>
    <n v="0"/>
    <n v="302006641"/>
    <n v="172"/>
    <s v="C#"/>
    <s v="Major"/>
    <n v="56"/>
    <n v="68"/>
    <x v="1"/>
    <n v="89"/>
    <x v="0"/>
    <n v="4"/>
    <n v="0"/>
    <n v="33"/>
    <n v="19"/>
    <n v="40.906005961112655"/>
  </r>
  <r>
    <x v="821"/>
    <s v="BTS"/>
    <n v="1"/>
    <d v="2022-06-10T00:00:00"/>
    <n v="736"/>
    <n v="0"/>
    <n v="5"/>
    <n v="132"/>
    <n v="17"/>
    <n v="0"/>
    <n v="3"/>
    <n v="330881149"/>
    <n v="77"/>
    <s v="G#"/>
    <s v="Major"/>
    <n v="72"/>
    <n v="70"/>
    <x v="1"/>
    <n v="82"/>
    <x v="0"/>
    <n v="2"/>
    <n v="0"/>
    <n v="4"/>
    <n v="17"/>
    <n v="24.942956413373995"/>
  </r>
  <r>
    <x v="822"/>
    <s v="Harry Styles"/>
    <n v="1"/>
    <d v="2022-05-20T00:00:00"/>
    <n v="4449"/>
    <n v="1"/>
    <n v="80"/>
    <n v="11"/>
    <n v="66"/>
    <n v="0"/>
    <n v="1"/>
    <n v="334733572"/>
    <n v="107"/>
    <s v="B"/>
    <s v="Major"/>
    <n v="72"/>
    <n v="36"/>
    <x v="2"/>
    <n v="72"/>
    <x v="0"/>
    <n v="26"/>
    <n v="6"/>
    <n v="11"/>
    <n v="4"/>
    <n v="19.324719486035434"/>
  </r>
  <r>
    <x v="823"/>
    <s v="Harry Styles"/>
    <n v="1"/>
    <d v="2022-05-20T00:00:00"/>
    <n v="3218"/>
    <n v="3"/>
    <n v="29"/>
    <n v="10"/>
    <n v="79"/>
    <n v="0"/>
    <n v="0"/>
    <n v="366214458"/>
    <n v="114"/>
    <s v="D"/>
    <s v="Major"/>
    <n v="51"/>
    <n v="39"/>
    <x v="2"/>
    <n v="29"/>
    <x v="1"/>
    <n v="90"/>
    <n v="0"/>
    <n v="10"/>
    <n v="4"/>
    <n v="72.626955827081844"/>
  </r>
  <r>
    <x v="824"/>
    <s v="BTS"/>
    <n v="1"/>
    <d v="2022-06-10T00:00:00"/>
    <n v="327"/>
    <n v="0"/>
    <n v="5"/>
    <n v="40"/>
    <n v="12"/>
    <n v="0"/>
    <n v="0"/>
    <n v="114546317"/>
    <n v="117"/>
    <s v="D"/>
    <s v="Major"/>
    <n v="63"/>
    <n v="29"/>
    <x v="2"/>
    <n v="51"/>
    <x v="0"/>
    <n v="43"/>
    <n v="0"/>
    <n v="25"/>
    <n v="4"/>
    <n v="84.074890856275374"/>
  </r>
  <r>
    <x v="13"/>
    <s v="Harry Styles"/>
    <n v="1"/>
    <d v="2022-05-20T00:00:00"/>
    <n v="2775"/>
    <n v="0"/>
    <n v="21"/>
    <n v="11"/>
    <n v="40"/>
    <n v="0"/>
    <n v="0"/>
    <n v="290833204"/>
    <n v="146"/>
    <m/>
    <s v="Major"/>
    <n v="69"/>
    <n v="63"/>
    <x v="1"/>
    <n v="45"/>
    <x v="1"/>
    <n v="48"/>
    <n v="0"/>
    <n v="18"/>
    <n v="4"/>
    <n v="12.468718598678841"/>
  </r>
  <r>
    <x v="825"/>
    <s v="Doja Cat"/>
    <n v="1"/>
    <d v="2022-05-06T00:00:00"/>
    <n v="4576"/>
    <n v="0"/>
    <n v="79"/>
    <n v="13"/>
    <n v="93"/>
    <n v="0"/>
    <n v="17"/>
    <n v="448500832"/>
    <n v="160"/>
    <s v="G#"/>
    <s v="Minor"/>
    <n v="80"/>
    <n v="74"/>
    <x v="0"/>
    <n v="60"/>
    <x v="0"/>
    <n v="8"/>
    <n v="0"/>
    <n v="14"/>
    <n v="26"/>
    <n v="42.898071695062903"/>
  </r>
  <r>
    <x v="826"/>
    <s v="Pharrell Williams, Tyler, The Creator, 21 Savage"/>
    <n v="4"/>
    <d v="2022-06-10T00:00:00"/>
    <n v="2313"/>
    <n v="0"/>
    <n v="34"/>
    <n v="0"/>
    <n v="29"/>
    <n v="0"/>
    <n v="0"/>
    <n v="136676504"/>
    <n v="120"/>
    <s v="G"/>
    <s v="Major"/>
    <n v="88"/>
    <n v="15"/>
    <x v="2"/>
    <n v="56"/>
    <x v="0"/>
    <n v="1"/>
    <n v="0"/>
    <n v="8"/>
    <n v="6"/>
    <n v="12.760102047986265"/>
  </r>
  <r>
    <x v="827"/>
    <s v="Calvin Harris, Dua Lipa, Young Thug"/>
    <n v="3"/>
    <d v="2022-05-27T00:00:00"/>
    <n v="3983"/>
    <n v="0"/>
    <n v="73"/>
    <n v="45"/>
    <n v="119"/>
    <n v="0"/>
    <n v="0"/>
    <n v="190625045"/>
    <n v="100"/>
    <s v="B"/>
    <s v="Minor"/>
    <n v="82"/>
    <n v="76"/>
    <x v="0"/>
    <n v="70"/>
    <x v="0"/>
    <n v="16"/>
    <n v="0"/>
    <n v="8"/>
    <n v="5"/>
    <n v="77.21949274231109"/>
  </r>
  <r>
    <x v="828"/>
    <s v="BTS"/>
    <n v="1"/>
    <d v="2022-06-10T00:00:00"/>
    <n v="279"/>
    <n v="0"/>
    <n v="0"/>
    <n v="18"/>
    <n v="6"/>
    <n v="0"/>
    <n v="0"/>
    <n v="79095270"/>
    <n v="158"/>
    <s v="G#"/>
    <s v="Minor"/>
    <n v="60"/>
    <n v="68"/>
    <x v="1"/>
    <n v="84"/>
    <x v="0"/>
    <n v="4"/>
    <n v="0"/>
    <n v="24"/>
    <n v="11"/>
    <n v="18.403348147547138"/>
  </r>
  <r>
    <x v="829"/>
    <s v="Harry Styles"/>
    <n v="1"/>
    <d v="2022-05-20T00:00:00"/>
    <n v="2302"/>
    <n v="0"/>
    <n v="20"/>
    <n v="3"/>
    <n v="39"/>
    <n v="0"/>
    <n v="0"/>
    <n v="273194684"/>
    <n v="142"/>
    <s v="D#"/>
    <s v="Major"/>
    <n v="56"/>
    <n v="40"/>
    <x v="1"/>
    <n v="54"/>
    <x v="0"/>
    <n v="72"/>
    <n v="0"/>
    <n v="10"/>
    <n v="4"/>
    <n v="50.337788906645621"/>
  </r>
  <r>
    <x v="830"/>
    <s v="Nengo Flow, Anuel Aa, Chris Jedi, Chencho Corleone"/>
    <n v="4"/>
    <d v="2022-05-20T00:00:00"/>
    <n v="3559"/>
    <n v="3"/>
    <n v="36"/>
    <n v="1"/>
    <n v="31"/>
    <n v="0"/>
    <n v="1"/>
    <n v="333146475"/>
    <n v="170"/>
    <s v="A"/>
    <s v="Minor"/>
    <n v="80"/>
    <n v="77"/>
    <x v="0"/>
    <n v="85"/>
    <x v="0"/>
    <n v="11"/>
    <n v="0"/>
    <n v="17"/>
    <n v="14"/>
    <n v="49.462363327821791"/>
  </r>
  <r>
    <x v="831"/>
    <s v="Kanye West, XXXTENTACION"/>
    <n v="2"/>
    <d v="2022-05-27T00:00:00"/>
    <n v="2129"/>
    <n v="0"/>
    <n v="23"/>
    <n v="1"/>
    <n v="44"/>
    <n v="1"/>
    <n v="0"/>
    <n v="194902696"/>
    <n v="84"/>
    <s v="F"/>
    <s v="Minor"/>
    <n v="71"/>
    <n v="39"/>
    <x v="2"/>
    <n v="86"/>
    <x v="0"/>
    <n v="2"/>
    <n v="0"/>
    <n v="51"/>
    <n v="25"/>
    <n v="80.351284839375083"/>
  </r>
  <r>
    <x v="832"/>
    <s v="Harry Styles"/>
    <n v="1"/>
    <d v="2022-05-20T00:00:00"/>
    <n v="3291"/>
    <n v="5"/>
    <n v="43"/>
    <n v="28"/>
    <n v="79"/>
    <n v="0"/>
    <n v="208"/>
    <n v="311482393"/>
    <n v="139"/>
    <m/>
    <s v="Major"/>
    <n v="58"/>
    <n v="30"/>
    <x v="2"/>
    <n v="46"/>
    <x v="1"/>
    <n v="14"/>
    <n v="0"/>
    <n v="9"/>
    <n v="3"/>
    <n v="68.385076248137125"/>
  </r>
  <r>
    <x v="833"/>
    <s v="Musical Youth"/>
    <n v="1"/>
    <d v="1982-01-01T00:00:00"/>
    <n v="5328"/>
    <n v="0"/>
    <n v="54"/>
    <n v="76"/>
    <n v="900"/>
    <n v="0"/>
    <n v="0"/>
    <n v="195918494"/>
    <n v="151"/>
    <s v="G"/>
    <s v="Major"/>
    <n v="73"/>
    <n v="88"/>
    <x v="0"/>
    <n v="67"/>
    <x v="0"/>
    <n v="20"/>
    <n v="0"/>
    <n v="32"/>
    <n v="5"/>
    <n v="14.877311235931545"/>
  </r>
  <r>
    <x v="834"/>
    <s v="Bizarrap, Villano Antillano"/>
    <n v="2"/>
    <d v="2022-06-08T00:00:00"/>
    <n v="1401"/>
    <n v="0"/>
    <n v="26"/>
    <n v="16"/>
    <n v="17"/>
    <n v="0"/>
    <n v="1"/>
    <n v="248511839"/>
    <n v="128"/>
    <s v="C#"/>
    <s v="Minor"/>
    <n v="82"/>
    <n v="42"/>
    <x v="1"/>
    <n v="75"/>
    <x v="0"/>
    <n v="6"/>
    <n v="0"/>
    <n v="63"/>
    <n v="6"/>
    <n v="80.660327586831031"/>
  </r>
  <r>
    <x v="835"/>
    <s v="Harry Styles"/>
    <n v="1"/>
    <d v="2022-05-20T00:00:00"/>
    <n v="1933"/>
    <n v="0"/>
    <n v="13"/>
    <n v="2"/>
    <n v="31"/>
    <n v="0"/>
    <n v="0"/>
    <n v="233671263"/>
    <n v="118"/>
    <s v="G"/>
    <s v="Major"/>
    <n v="56"/>
    <n v="20"/>
    <x v="2"/>
    <n v="54"/>
    <x v="0"/>
    <n v="67"/>
    <n v="0"/>
    <n v="6"/>
    <n v="5"/>
    <n v="85.59756072222649"/>
  </r>
  <r>
    <x v="836"/>
    <s v="Harry Styles"/>
    <n v="1"/>
    <d v="2022-05-20T00:00:00"/>
    <n v="1986"/>
    <n v="0"/>
    <n v="7"/>
    <n v="1"/>
    <n v="15"/>
    <n v="0"/>
    <n v="0"/>
    <n v="199587884"/>
    <n v="183"/>
    <s v="F"/>
    <s v="Major"/>
    <n v="65"/>
    <n v="88"/>
    <x v="0"/>
    <n v="72"/>
    <x v="0"/>
    <n v="36"/>
    <n v="14"/>
    <n v="20"/>
    <n v="3"/>
    <n v="25.34145410001577"/>
  </r>
  <r>
    <x v="837"/>
    <s v="Halsey"/>
    <n v="1"/>
    <d v="2022-06-09T00:00:00"/>
    <n v="1057"/>
    <n v="0"/>
    <n v="51"/>
    <n v="14"/>
    <n v="19"/>
    <n v="0"/>
    <n v="0"/>
    <n v="91781263"/>
    <n v="83"/>
    <s v="D#"/>
    <s v="Minor"/>
    <n v="63"/>
    <n v="29"/>
    <x v="2"/>
    <n v="62"/>
    <x v="0"/>
    <n v="4"/>
    <n v="0"/>
    <n v="18"/>
    <n v="4"/>
    <n v="95.956024926063805"/>
  </r>
  <r>
    <x v="838"/>
    <s v="BYOR, Imanbek"/>
    <n v="2"/>
    <d v="2022-02-18T00:00:00"/>
    <n v="5115"/>
    <n v="13"/>
    <n v="109"/>
    <n v="38"/>
    <n v="301"/>
    <n v="1"/>
    <n v="33"/>
    <n v="383835984"/>
    <n v="122"/>
    <s v="C#"/>
    <s v="Major"/>
    <n v="85"/>
    <n v="42"/>
    <x v="1"/>
    <n v="80"/>
    <x v="0"/>
    <n v="6"/>
    <n v="0"/>
    <n v="17"/>
    <n v="14"/>
    <n v="6.8613484145963248"/>
  </r>
  <r>
    <x v="839"/>
    <s v="Harry Styles"/>
    <n v="1"/>
    <d v="2022-05-20T00:00:00"/>
    <n v="2094"/>
    <n v="1"/>
    <n v="8"/>
    <n v="1"/>
    <n v="18"/>
    <n v="0"/>
    <n v="0"/>
    <n v="236060709"/>
    <n v="165"/>
    <s v="A"/>
    <s v="Major"/>
    <n v="72"/>
    <n v="90"/>
    <x v="0"/>
    <n v="48"/>
    <x v="1"/>
    <n v="32"/>
    <n v="0"/>
    <n v="18"/>
    <n v="23"/>
    <n v="1.7194210611571004"/>
  </r>
  <r>
    <x v="840"/>
    <s v="Harry Styles"/>
    <n v="1"/>
    <d v="2022-05-20T00:00:00"/>
    <n v="2171"/>
    <n v="0"/>
    <n v="18"/>
    <n v="1"/>
    <n v="28"/>
    <n v="0"/>
    <n v="0"/>
    <n v="189236868"/>
    <n v="106"/>
    <s v="A"/>
    <s v="Minor"/>
    <n v="83"/>
    <n v="90"/>
    <x v="0"/>
    <n v="64"/>
    <x v="0"/>
    <n v="35"/>
    <n v="5"/>
    <n v="9"/>
    <n v="4"/>
    <n v="17.12646621465721"/>
  </r>
  <r>
    <x v="841"/>
    <s v="Sleepy hallow, 347aidan"/>
    <n v="2"/>
    <d v="2022-05-25T00:00:00"/>
    <n v="896"/>
    <n v="0"/>
    <n v="19"/>
    <n v="0"/>
    <n v="15"/>
    <n v="0"/>
    <n v="0"/>
    <n v="160845341"/>
    <n v="77"/>
    <s v="B"/>
    <s v="Major"/>
    <n v="81"/>
    <n v="68"/>
    <x v="1"/>
    <n v="58"/>
    <x v="0"/>
    <n v="83"/>
    <n v="0"/>
    <n v="11"/>
    <n v="34"/>
    <n v="38.741043225032001"/>
  </r>
  <r>
    <x v="842"/>
    <s v="Paloma Faith"/>
    <n v="1"/>
    <d v="2014-01-01T00:00:00"/>
    <n v="5148"/>
    <n v="0"/>
    <n v="90"/>
    <n v="22"/>
    <n v="365"/>
    <n v="0"/>
    <n v="114"/>
    <n v="588955257"/>
    <n v="91"/>
    <s v="G#"/>
    <s v="Major"/>
    <n v="57"/>
    <n v="30"/>
    <x v="2"/>
    <n v="89"/>
    <x v="0"/>
    <n v="10"/>
    <n v="0"/>
    <n v="33"/>
    <n v="8"/>
    <n v="23.778602047991772"/>
  </r>
  <r>
    <x v="843"/>
    <s v="Lady Gaga"/>
    <n v="1"/>
    <d v="2022-05-03T00:00:00"/>
    <n v="2528"/>
    <n v="0"/>
    <n v="63"/>
    <n v="8"/>
    <n v="270"/>
    <n v="2"/>
    <n v="105"/>
    <n v="238350348"/>
    <n v="148"/>
    <s v="G"/>
    <s v="Major"/>
    <n v="51"/>
    <n v="21"/>
    <x v="2"/>
    <n v="63"/>
    <x v="0"/>
    <n v="5"/>
    <n v="0"/>
    <n v="41"/>
    <n v="3"/>
    <n v="27.714002729774158"/>
  </r>
  <r>
    <x v="844"/>
    <s v="Harry Styles"/>
    <n v="1"/>
    <d v="2022-05-20T00:00:00"/>
    <n v="1900"/>
    <n v="1"/>
    <n v="15"/>
    <n v="1"/>
    <n v="23"/>
    <n v="0"/>
    <n v="0"/>
    <n v="187703102"/>
    <n v="114"/>
    <s v="E"/>
    <s v="Minor"/>
    <n v="71"/>
    <n v="90"/>
    <x v="0"/>
    <n v="81"/>
    <x v="0"/>
    <n v="31"/>
    <n v="2"/>
    <n v="13"/>
    <n v="3"/>
    <n v="2.8261750641529249"/>
  </r>
  <r>
    <x v="331"/>
    <s v="Marshmello, Khalid"/>
    <n v="2"/>
    <d v="2022-06-10T00:00:00"/>
    <n v="3879"/>
    <n v="2"/>
    <n v="107"/>
    <n v="76"/>
    <n v="86"/>
    <n v="1"/>
    <n v="9"/>
    <n v="295307001"/>
    <n v="120"/>
    <m/>
    <s v="Minor"/>
    <n v="91"/>
    <n v="63"/>
    <x v="1"/>
    <n v="77"/>
    <x v="0"/>
    <n v="12"/>
    <n v="1"/>
    <n v="10"/>
    <n v="5"/>
    <n v="0.18796963842574455"/>
  </r>
  <r>
    <x v="845"/>
    <s v="Ozuna, Tiago pzk"/>
    <n v="2"/>
    <d v="2022-06-02T00:00:00"/>
    <n v="896"/>
    <n v="0"/>
    <n v="0"/>
    <n v="0"/>
    <n v="2"/>
    <n v="0"/>
    <n v="0"/>
    <n v="138334433"/>
    <n v="92"/>
    <s v="F#"/>
    <s v="Major"/>
    <n v="83"/>
    <n v="56"/>
    <x v="1"/>
    <n v="82"/>
    <x v="0"/>
    <n v="10"/>
    <n v="0"/>
    <n v="9"/>
    <n v="5"/>
    <n v="55.614875135246237"/>
  </r>
  <r>
    <x v="846"/>
    <s v="Childish Gambino"/>
    <n v="1"/>
    <d v="2016-11-10T00:00:00"/>
    <n v="8775"/>
    <n v="0"/>
    <n v="33"/>
    <n v="60"/>
    <n v="107"/>
    <n v="1"/>
    <n v="0"/>
    <n v="445590495"/>
    <n v="118"/>
    <s v="F"/>
    <s v="Major"/>
    <n v="56"/>
    <n v="25"/>
    <x v="2"/>
    <n v="45"/>
    <x v="1"/>
    <n v="1"/>
    <n v="3"/>
    <n v="7"/>
    <n v="3"/>
    <n v="32.824572317631073"/>
  </r>
  <r>
    <x v="847"/>
    <s v="David Guetta, Ella Henderson, Becky Hill"/>
    <n v="3"/>
    <d v="2022-03-18T00:00:00"/>
    <n v="5290"/>
    <n v="0"/>
    <n v="139"/>
    <n v="73"/>
    <n v="142"/>
    <n v="0"/>
    <n v="5"/>
    <n v="286739476"/>
    <n v="123"/>
    <s v="E"/>
    <s v="Minor"/>
    <n v="60"/>
    <n v="46"/>
    <x v="1"/>
    <n v="71"/>
    <x v="0"/>
    <n v="3"/>
    <n v="0"/>
    <n v="16"/>
    <n v="4"/>
    <n v="97.858090704447534"/>
  </r>
  <r>
    <x v="848"/>
    <s v="Joji"/>
    <n v="1"/>
    <d v="2018-09-12T00:00:00"/>
    <n v="10211"/>
    <n v="0"/>
    <n v="38"/>
    <n v="79"/>
    <n v="65"/>
    <n v="0"/>
    <n v="1"/>
    <n v="1122364376"/>
    <n v="89"/>
    <s v="D#"/>
    <s v="Major"/>
    <n v="52"/>
    <n v="28"/>
    <x v="2"/>
    <n v="48"/>
    <x v="1"/>
    <n v="54"/>
    <n v="1"/>
    <n v="19"/>
    <n v="3"/>
    <n v="33.566389247381778"/>
  </r>
  <r>
    <x v="849"/>
    <s v="Duki"/>
    <n v="1"/>
    <d v="2022-06-02T00:00:00"/>
    <n v="584"/>
    <n v="8"/>
    <n v="12"/>
    <n v="1"/>
    <n v="8"/>
    <n v="0"/>
    <n v="1"/>
    <n v="157136970"/>
    <n v="110"/>
    <s v="F"/>
    <s v="Minor"/>
    <n v="81"/>
    <n v="61"/>
    <x v="1"/>
    <n v="93"/>
    <x v="0"/>
    <n v="49"/>
    <n v="0"/>
    <n v="12"/>
    <n v="11"/>
    <n v="98.324443489809426"/>
  </r>
  <r>
    <x v="850"/>
    <s v="Harry Styles"/>
    <n v="1"/>
    <d v="2022-05-20T00:00:00"/>
    <n v="1517"/>
    <n v="0"/>
    <n v="26"/>
    <n v="2"/>
    <n v="30"/>
    <n v="0"/>
    <n v="0"/>
    <n v="137070925"/>
    <n v="118"/>
    <m/>
    <s v="Major"/>
    <n v="42"/>
    <n v="32"/>
    <x v="2"/>
    <n v="20"/>
    <x v="1"/>
    <n v="94"/>
    <n v="0"/>
    <n v="11"/>
    <n v="4"/>
    <n v="51.654371398424168"/>
  </r>
  <r>
    <x v="851"/>
    <s v="Sidhu Moose Wala"/>
    <n v="1"/>
    <d v="2021-05-15T00:00:00"/>
    <n v="246"/>
    <n v="4"/>
    <n v="4"/>
    <n v="106"/>
    <n v="0"/>
    <n v="0"/>
    <n v="7"/>
    <n v="183273246"/>
    <n v="90"/>
    <s v="B"/>
    <s v="Minor"/>
    <n v="68"/>
    <n v="54"/>
    <x v="1"/>
    <n v="76"/>
    <x v="0"/>
    <n v="21"/>
    <n v="0"/>
    <n v="11"/>
    <n v="20"/>
    <n v="24.161626942961256"/>
  </r>
  <r>
    <x v="852"/>
    <s v="Keisya Levronka"/>
    <n v="1"/>
    <d v="2022-05-13T00:00:00"/>
    <n v="220"/>
    <n v="4"/>
    <n v="16"/>
    <n v="5"/>
    <n v="0"/>
    <n v="0"/>
    <n v="6"/>
    <n v="184807630"/>
    <n v="130"/>
    <m/>
    <s v="Major"/>
    <n v="49"/>
    <n v="14"/>
    <x v="2"/>
    <n v="40"/>
    <x v="1"/>
    <n v="82"/>
    <n v="0"/>
    <n v="11"/>
    <n v="3"/>
    <n v="2.2888686195656982"/>
  </r>
  <r>
    <x v="853"/>
    <s v="Victor Cibrian"/>
    <n v="1"/>
    <d v="2022-05-13T00:00:00"/>
    <n v="514"/>
    <n v="0"/>
    <n v="5"/>
    <n v="36"/>
    <n v="1"/>
    <n v="0"/>
    <n v="0"/>
    <n v="164856284"/>
    <n v="154"/>
    <s v="F#"/>
    <s v="Minor"/>
    <n v="70"/>
    <n v="97"/>
    <x v="0"/>
    <n v="62"/>
    <x v="0"/>
    <n v="47"/>
    <n v="0"/>
    <n v="10"/>
    <n v="4"/>
    <n v="42.716729082398629"/>
  </r>
  <r>
    <x v="854"/>
    <s v="Metallica"/>
    <n v="1"/>
    <d v="1986-03-03T00:00:00"/>
    <n v="6080"/>
    <n v="0"/>
    <n v="112"/>
    <n v="198"/>
    <n v="406"/>
    <n v="1"/>
    <n v="0"/>
    <n v="704171068"/>
    <n v="105"/>
    <s v="E"/>
    <s v="Minor"/>
    <n v="54"/>
    <n v="59"/>
    <x v="1"/>
    <n v="83"/>
    <x v="0"/>
    <n v="0"/>
    <n v="44"/>
    <n v="20"/>
    <n v="4"/>
    <n v="66.729496017222431"/>
  </r>
  <r>
    <x v="855"/>
    <s v="Beyonc√Ø¬ø"/>
    <n v="1"/>
    <d v="2022-06-21T00:00:00"/>
    <n v="9724"/>
    <n v="0"/>
    <n v="222"/>
    <n v="61"/>
    <n v="259"/>
    <n v="14"/>
    <n v="2"/>
    <n v="354614964"/>
    <n v="115"/>
    <s v="C#"/>
    <s v="Minor"/>
    <n v="70"/>
    <n v="87"/>
    <x v="0"/>
    <n v="88"/>
    <x v="0"/>
    <n v="4"/>
    <n v="0"/>
    <n v="26"/>
    <n v="8"/>
    <n v="48.860330886051251"/>
  </r>
  <r>
    <x v="856"/>
    <s v="De La Ghetto, Feid, Polima WestCoast, Paloma Mami, Pailita"/>
    <n v="5"/>
    <d v="2022-06-16T00:00:00"/>
    <n v="2341"/>
    <n v="0"/>
    <n v="37"/>
    <n v="2"/>
    <n v="38"/>
    <n v="2"/>
    <n v="0"/>
    <n v="279717388"/>
    <n v="110"/>
    <s v="C#"/>
    <s v="Major"/>
    <n v="91"/>
    <n v="59"/>
    <x v="1"/>
    <n v="82"/>
    <x v="0"/>
    <n v="8"/>
    <n v="0"/>
    <n v="6"/>
    <n v="8"/>
    <n v="44.563397513353479"/>
  </r>
  <r>
    <x v="857"/>
    <s v="Drake"/>
    <n v="1"/>
    <d v="2022-06-17T00:00:00"/>
    <n v="5263"/>
    <n v="0"/>
    <n v="66"/>
    <n v="89"/>
    <n v="61"/>
    <n v="0"/>
    <n v="11"/>
    <n v="195628667"/>
    <n v="125"/>
    <s v="E"/>
    <s v="Minor"/>
    <n v="51"/>
    <n v="5"/>
    <x v="2"/>
    <n v="68"/>
    <x v="0"/>
    <n v="12"/>
    <n v="2"/>
    <n v="15"/>
    <n v="6"/>
    <n v="4.4428012725891586"/>
  </r>
  <r>
    <x v="858"/>
    <s v="Yung Gravy"/>
    <n v="1"/>
    <d v="2022-06-10T00:00:00"/>
    <n v="2402"/>
    <n v="0"/>
    <n v="45"/>
    <n v="2"/>
    <n v="26"/>
    <n v="0"/>
    <n v="1"/>
    <n v="221752937"/>
    <n v="102"/>
    <s v="C#"/>
    <s v="Major"/>
    <n v="73"/>
    <n v="62"/>
    <x v="1"/>
    <n v="75"/>
    <x v="0"/>
    <n v="0"/>
    <n v="0"/>
    <n v="34"/>
    <n v="8"/>
    <n v="20.337087889937688"/>
  </r>
  <r>
    <x v="859"/>
    <s v="Lasso"/>
    <n v="1"/>
    <d v="2022-02-06T00:00:00"/>
    <n v="795"/>
    <n v="11"/>
    <n v="26"/>
    <n v="18"/>
    <n v="15"/>
    <n v="1"/>
    <n v="4"/>
    <n v="263280370"/>
    <n v="120"/>
    <s v="G#"/>
    <s v="Minor"/>
    <n v="81"/>
    <n v="72"/>
    <x v="0"/>
    <n v="65"/>
    <x v="0"/>
    <n v="4"/>
    <n v="0"/>
    <n v="14"/>
    <n v="4"/>
    <n v="50.031117344829568"/>
  </r>
  <r>
    <x v="860"/>
    <s v="Nayeon"/>
    <n v="1"/>
    <d v="2022-06-24T00:00:00"/>
    <n v="571"/>
    <n v="0"/>
    <n v="19"/>
    <n v="21"/>
    <n v="14"/>
    <n v="0"/>
    <n v="2"/>
    <n v="213505179"/>
    <n v="97"/>
    <s v="D"/>
    <s v="Major"/>
    <n v="80"/>
    <n v="36"/>
    <x v="2"/>
    <n v="86"/>
    <x v="0"/>
    <n v="4"/>
    <n v="0"/>
    <n v="3"/>
    <n v="5"/>
    <n v="77.677315496338423"/>
  </r>
  <r>
    <x v="861"/>
    <s v="Sch√Ø¬ø¬Ω√Ø¬ø¬Ωrze, DJ R"/>
    <n v="2"/>
    <d v="2022-03-24T00:00:00"/>
    <n v="832"/>
    <n v="3"/>
    <n v="18"/>
    <n v="124"/>
    <n v="24"/>
    <n v="1"/>
    <n v="0"/>
    <n v="130419412"/>
    <n v="140"/>
    <s v="F"/>
    <s v="Minor"/>
    <n v="44"/>
    <n v="41"/>
    <x v="1"/>
    <n v="92"/>
    <x v="0"/>
    <n v="0"/>
    <n v="0"/>
    <n v="44"/>
    <n v="7"/>
    <n v="77.578460376354485"/>
  </r>
  <r>
    <x v="862"/>
    <s v="j-hope"/>
    <n v="1"/>
    <d v="2022-07-01T00:00:00"/>
    <n v="565"/>
    <n v="0"/>
    <n v="6"/>
    <n v="52"/>
    <n v="11"/>
    <n v="0"/>
    <n v="0"/>
    <n v="155795783"/>
    <n v="97"/>
    <s v="D"/>
    <s v="Major"/>
    <n v="78"/>
    <n v="31"/>
    <x v="2"/>
    <n v="72"/>
    <x v="0"/>
    <n v="1"/>
    <n v="0"/>
    <n v="11"/>
    <n v="4"/>
    <n v="36.745566885485879"/>
  </r>
  <r>
    <x v="863"/>
    <s v="Guns N' Roses"/>
    <n v="1"/>
    <d v="1987-01-01T00:00:00"/>
    <n v="41231"/>
    <n v="1"/>
    <n v="228"/>
    <n v="151"/>
    <n v="6720"/>
    <n v="3"/>
    <n v="99"/>
    <n v="1553497987"/>
    <n v="125"/>
    <s v="F#"/>
    <s v="Major"/>
    <n v="45"/>
    <n v="67"/>
    <x v="1"/>
    <n v="90"/>
    <x v="0"/>
    <n v="9"/>
    <n v="11"/>
    <n v="10"/>
    <n v="5"/>
    <n v="19.032537008741336"/>
  </r>
  <r>
    <x v="864"/>
    <s v="Burna Boy"/>
    <n v="1"/>
    <d v="2022-05-12T00:00:00"/>
    <n v="4526"/>
    <n v="12"/>
    <n v="156"/>
    <n v="275"/>
    <n v="150"/>
    <n v="3"/>
    <n v="128"/>
    <n v="293466523"/>
    <n v="88"/>
    <s v="D#"/>
    <s v="Minor"/>
    <n v="80"/>
    <n v="55"/>
    <x v="1"/>
    <n v="56"/>
    <x v="0"/>
    <n v="13"/>
    <n v="0"/>
    <n v="8"/>
    <n v="9"/>
    <n v="23.311617638015679"/>
  </r>
  <r>
    <x v="178"/>
    <s v="Rosa Linn"/>
    <n v="1"/>
    <d v="2022-03-19T00:00:00"/>
    <n v="1818"/>
    <n v="0"/>
    <n v="3"/>
    <n v="0"/>
    <n v="63"/>
    <n v="0"/>
    <n v="353"/>
    <n v="711366595"/>
    <n v="170"/>
    <m/>
    <s v="Major"/>
    <n v="56"/>
    <n v="52"/>
    <x v="1"/>
    <n v="64"/>
    <x v="0"/>
    <n v="11"/>
    <n v="0"/>
    <n v="45"/>
    <n v="7"/>
    <n v="47.965413868172249"/>
  </r>
  <r>
    <x v="865"/>
    <s v="Drake"/>
    <n v="1"/>
    <d v="2022-06-17T00:00:00"/>
    <n v="2814"/>
    <n v="0"/>
    <n v="38"/>
    <n v="105"/>
    <n v="25"/>
    <n v="0"/>
    <n v="2"/>
    <n v="191448892"/>
    <n v="137"/>
    <s v="A#"/>
    <s v="Minor"/>
    <n v="88"/>
    <n v="8"/>
    <x v="2"/>
    <n v="49"/>
    <x v="1"/>
    <n v="9"/>
    <n v="0"/>
    <n v="9"/>
    <n v="14"/>
    <n v="62.671902160020068"/>
  </r>
  <r>
    <x v="866"/>
    <s v="Kanye West, Lil Durk, Cardi B"/>
    <n v="3"/>
    <d v="2022-07-01T00:00:00"/>
    <n v="1601"/>
    <n v="0"/>
    <n v="11"/>
    <n v="0"/>
    <n v="2"/>
    <n v="0"/>
    <n v="0"/>
    <n v="85924992"/>
    <n v="157"/>
    <s v="A"/>
    <s v="Major"/>
    <n v="88"/>
    <n v="52"/>
    <x v="1"/>
    <n v="69"/>
    <x v="0"/>
    <n v="0"/>
    <n v="0"/>
    <n v="8"/>
    <n v="23"/>
    <n v="12.485240021256782"/>
  </r>
  <r>
    <x v="867"/>
    <s v="L7nnon, DJ Biel do Furduncinho, Bianca"/>
    <n v="3"/>
    <d v="2022-06-03T00:00:00"/>
    <n v="894"/>
    <n v="4"/>
    <n v="28"/>
    <n v="0"/>
    <n v="54"/>
    <n v="0"/>
    <n v="0"/>
    <n v="176103902"/>
    <n v="130"/>
    <s v="F#"/>
    <s v="Major"/>
    <n v="95"/>
    <n v="83"/>
    <x v="0"/>
    <n v="57"/>
    <x v="0"/>
    <n v="54"/>
    <n v="0"/>
    <n v="10"/>
    <n v="25"/>
    <n v="8.9325405287781994"/>
  </r>
  <r>
    <x v="868"/>
    <s v="Anitta, Tini, Becky G"/>
    <n v="3"/>
    <d v="2022-07-06T00:00:00"/>
    <n v="945"/>
    <n v="0"/>
    <n v="49"/>
    <n v="3"/>
    <n v="57"/>
    <n v="0"/>
    <n v="0"/>
    <n v="121189256"/>
    <n v="90"/>
    <s v="C#"/>
    <s v="Major"/>
    <n v="85"/>
    <n v="80"/>
    <x v="0"/>
    <n v="83"/>
    <x v="0"/>
    <n v="10"/>
    <n v="0"/>
    <n v="8"/>
    <n v="11"/>
    <n v="60.018573479512106"/>
  </r>
  <r>
    <x v="869"/>
    <s v="Nessa Barrett"/>
    <n v="1"/>
    <d v="2022-06-24T00:00:00"/>
    <n v="767"/>
    <n v="0"/>
    <n v="25"/>
    <n v="0"/>
    <n v="22"/>
    <n v="0"/>
    <n v="0"/>
    <n v="131746175"/>
    <n v="183"/>
    <s v="G#"/>
    <s v="Minor"/>
    <n v="44"/>
    <n v="44"/>
    <x v="1"/>
    <n v="67"/>
    <x v="0"/>
    <n v="7"/>
    <n v="0"/>
    <n v="12"/>
    <n v="13"/>
    <n v="76.30023695080682"/>
  </r>
  <r>
    <x v="870"/>
    <s v="LF System"/>
    <n v="1"/>
    <d v="2022-05-02T00:00:00"/>
    <n v="5898"/>
    <n v="5"/>
    <n v="129"/>
    <n v="55"/>
    <n v="128"/>
    <n v="0"/>
    <n v="101"/>
    <n v="244790012"/>
    <n v="128"/>
    <s v="C#"/>
    <s v="Major"/>
    <n v="58"/>
    <n v="68"/>
    <x v="1"/>
    <n v="91"/>
    <x v="0"/>
    <n v="2"/>
    <n v="0"/>
    <n v="27"/>
    <n v="11"/>
    <n v="14.563996109155985"/>
  </r>
  <r>
    <x v="871"/>
    <s v="Mc Vitin Da Igrejinha, MC Tairon, DJ Win"/>
    <n v="3"/>
    <d v="2022-06-10T00:00:00"/>
    <n v="685"/>
    <n v="2"/>
    <n v="17"/>
    <n v="0"/>
    <n v="24"/>
    <n v="0"/>
    <n v="30"/>
    <n v="129314708"/>
    <n v="130"/>
    <s v="D#"/>
    <s v="Minor"/>
    <n v="71"/>
    <n v="78"/>
    <x v="0"/>
    <n v="40"/>
    <x v="1"/>
    <n v="46"/>
    <n v="0"/>
    <n v="7"/>
    <n v="45"/>
    <n v="55.540170382260477"/>
  </r>
  <r>
    <x v="872"/>
    <s v="Rels B"/>
    <n v="1"/>
    <d v="2022-08-04T00:00:00"/>
    <n v="1452"/>
    <n v="35"/>
    <n v="16"/>
    <n v="15"/>
    <n v="20"/>
    <n v="0"/>
    <n v="0"/>
    <n v="331511413"/>
    <n v="126"/>
    <s v="C#"/>
    <s v="Major"/>
    <n v="63"/>
    <n v="56"/>
    <x v="1"/>
    <n v="43"/>
    <x v="1"/>
    <n v="24"/>
    <n v="0"/>
    <n v="12"/>
    <n v="23"/>
    <n v="4.7736985381238606"/>
  </r>
  <r>
    <x v="873"/>
    <s v="Snoop Dogg, BTS, Benny Blanco"/>
    <n v="3"/>
    <d v="2022-08-05T00:00:00"/>
    <n v="1456"/>
    <n v="0"/>
    <n v="53"/>
    <n v="2"/>
    <n v="33"/>
    <n v="0"/>
    <n v="0"/>
    <n v="219196651"/>
    <n v="120"/>
    <m/>
    <s v="Major"/>
    <n v="77"/>
    <n v="94"/>
    <x v="0"/>
    <n v="87"/>
    <x v="0"/>
    <n v="2"/>
    <n v="0"/>
    <n v="23"/>
    <n v="12"/>
    <n v="94.622576517042205"/>
  </r>
  <r>
    <x v="874"/>
    <s v="Drake, DJ Khaled, Lil Baby"/>
    <n v="3"/>
    <d v="2022-08-05T00:00:00"/>
    <n v="2107"/>
    <n v="0"/>
    <n v="51"/>
    <n v="1"/>
    <n v="50"/>
    <n v="0"/>
    <n v="0"/>
    <n v="170732845"/>
    <n v="130"/>
    <s v="E"/>
    <s v="Minor"/>
    <n v="72"/>
    <n v="18"/>
    <x v="2"/>
    <n v="46"/>
    <x v="1"/>
    <n v="7"/>
    <n v="0"/>
    <n v="28"/>
    <n v="8"/>
    <n v="35.333379987872227"/>
  </r>
  <r>
    <x v="875"/>
    <s v="Luar La L"/>
    <n v="1"/>
    <d v="2020-12-18T00:00:00"/>
    <n v="1494"/>
    <n v="2"/>
    <n v="17"/>
    <n v="12"/>
    <n v="15"/>
    <n v="0"/>
    <n v="0"/>
    <n v="273914335"/>
    <n v="122"/>
    <m/>
    <s v="Major"/>
    <n v="70"/>
    <n v="46"/>
    <x v="1"/>
    <n v="76"/>
    <x v="0"/>
    <n v="30"/>
    <n v="0"/>
    <n v="9"/>
    <n v="45"/>
    <n v="70.028442277895394"/>
  </r>
  <r>
    <x v="876"/>
    <s v="Feid"/>
    <n v="1"/>
    <d v="2022-08-05T00:00:00"/>
    <n v="1379"/>
    <n v="4"/>
    <n v="23"/>
    <n v="10"/>
    <n v="18"/>
    <n v="0"/>
    <n v="0"/>
    <n v="179061440"/>
    <n v="172"/>
    <s v="G#"/>
    <s v="Minor"/>
    <n v="74"/>
    <n v="46"/>
    <x v="1"/>
    <n v="58"/>
    <x v="0"/>
    <n v="15"/>
    <n v="0"/>
    <n v="13"/>
    <n v="8"/>
    <n v="18.089626756343879"/>
  </r>
  <r>
    <x v="877"/>
    <s v="Duki"/>
    <n v="1"/>
    <d v="2022-07-20T00:00:00"/>
    <n v="625"/>
    <n v="4"/>
    <n v="13"/>
    <n v="18"/>
    <n v="12"/>
    <n v="0"/>
    <n v="0"/>
    <n v="185236961"/>
    <n v="103"/>
    <s v="G#"/>
    <s v="Major"/>
    <n v="61"/>
    <n v="38"/>
    <x v="2"/>
    <n v="62"/>
    <x v="0"/>
    <n v="14"/>
    <n v="0"/>
    <n v="23"/>
    <n v="40"/>
    <n v="69.508492832466871"/>
  </r>
  <r>
    <x v="878"/>
    <s v="Beyonc√Ø¬ø"/>
    <n v="1"/>
    <d v="2022-07-29T00:00:00"/>
    <n v="2688"/>
    <n v="0"/>
    <n v="39"/>
    <n v="47"/>
    <n v="36"/>
    <n v="0"/>
    <n v="0"/>
    <n v="171788484"/>
    <n v="122"/>
    <s v="A#"/>
    <s v="Minor"/>
    <n v="55"/>
    <n v="46"/>
    <x v="1"/>
    <n v="64"/>
    <x v="0"/>
    <n v="0"/>
    <n v="0"/>
    <n v="17"/>
    <n v="10"/>
    <n v="76.92657955679411"/>
  </r>
  <r>
    <x v="879"/>
    <s v="Ghost"/>
    <n v="1"/>
    <d v="2019-09-13T00:00:00"/>
    <n v="2668"/>
    <n v="2"/>
    <n v="38"/>
    <n v="266"/>
    <n v="78"/>
    <n v="0"/>
    <n v="141"/>
    <n v="387080183"/>
    <n v="130"/>
    <s v="B"/>
    <s v="Major"/>
    <n v="47"/>
    <n v="56"/>
    <x v="1"/>
    <n v="90"/>
    <x v="0"/>
    <n v="0"/>
    <n v="0"/>
    <n v="10"/>
    <n v="4"/>
    <n v="13.786088424024513"/>
  </r>
  <r>
    <x v="880"/>
    <s v="NewJeans"/>
    <n v="1"/>
    <d v="2022-08-01T00:00:00"/>
    <n v="799"/>
    <n v="12"/>
    <n v="14"/>
    <n v="141"/>
    <n v="9"/>
    <n v="0"/>
    <n v="1"/>
    <n v="264717480"/>
    <n v="105"/>
    <s v="A#"/>
    <s v="Minor"/>
    <n v="81"/>
    <n v="70"/>
    <x v="1"/>
    <n v="65"/>
    <x v="0"/>
    <n v="24"/>
    <n v="0"/>
    <n v="8"/>
    <n v="4"/>
    <n v="31.711593044565912"/>
  </r>
  <r>
    <x v="881"/>
    <s v="Rex Orange County"/>
    <n v="1"/>
    <d v="2022-03-11T00:00:00"/>
    <n v="1189"/>
    <n v="6"/>
    <n v="17"/>
    <n v="10"/>
    <n v="16"/>
    <n v="0"/>
    <n v="4"/>
    <n v="244928911"/>
    <n v="120"/>
    <s v="F"/>
    <s v="Major"/>
    <n v="90"/>
    <n v="73"/>
    <x v="0"/>
    <n v="51"/>
    <x v="0"/>
    <n v="39"/>
    <n v="0"/>
    <n v="9"/>
    <n v="6"/>
    <n v="92.210339060682657"/>
  </r>
  <r>
    <x v="882"/>
    <s v="Sofia Carson"/>
    <n v="1"/>
    <d v="2022-07-12T00:00:00"/>
    <n v="367"/>
    <n v="0"/>
    <n v="28"/>
    <n v="67"/>
    <n v="195"/>
    <n v="0"/>
    <n v="0"/>
    <n v="97610446"/>
    <n v="145"/>
    <s v="G"/>
    <s v="Major"/>
    <n v="56"/>
    <n v="43"/>
    <x v="1"/>
    <n v="53"/>
    <x v="0"/>
    <n v="24"/>
    <n v="0"/>
    <n v="12"/>
    <n v="4"/>
    <n v="79.855480969183105"/>
  </r>
  <r>
    <x v="883"/>
    <s v="Grupo Marca Registrada, Junior H"/>
    <n v="2"/>
    <d v="2022-07-22T00:00:00"/>
    <n v="527"/>
    <n v="4"/>
    <n v="10"/>
    <n v="43"/>
    <n v="3"/>
    <n v="1"/>
    <n v="0"/>
    <n v="287278853"/>
    <n v="99"/>
    <s v="G"/>
    <s v="Minor"/>
    <n v="79"/>
    <n v="64"/>
    <x v="1"/>
    <n v="59"/>
    <x v="0"/>
    <n v="28"/>
    <n v="0"/>
    <n v="11"/>
    <n v="14"/>
    <n v="95.843281389313802"/>
  </r>
  <r>
    <x v="884"/>
    <s v="Kanye West"/>
    <n v="1"/>
    <d v="2008-01-01T00:00:00"/>
    <n v="17504"/>
    <n v="34"/>
    <n v="63"/>
    <n v="39"/>
    <n v="1315"/>
    <n v="0"/>
    <n v="2"/>
    <n v="887906111"/>
    <n v="88"/>
    <s v="A#"/>
    <s v="Minor"/>
    <n v="79"/>
    <n v="66"/>
    <x v="1"/>
    <n v="65"/>
    <x v="0"/>
    <n v="5"/>
    <n v="0"/>
    <n v="25"/>
    <n v="14"/>
    <n v="76.28094927499906"/>
  </r>
  <r>
    <x v="885"/>
    <s v="Calvin Harris, Halsey, Pharrell Williams, Justin Timberlake"/>
    <n v="4"/>
    <d v="2022-07-15T00:00:00"/>
    <n v="3113"/>
    <n v="0"/>
    <n v="54"/>
    <n v="6"/>
    <n v="124"/>
    <n v="1"/>
    <n v="0"/>
    <n v="123473120"/>
    <n v="126"/>
    <s v="A"/>
    <s v="Major"/>
    <n v="81"/>
    <n v="90"/>
    <x v="0"/>
    <n v="73"/>
    <x v="0"/>
    <n v="28"/>
    <n v="0"/>
    <n v="29"/>
    <n v="4"/>
    <n v="55.434969297488813"/>
  </r>
  <r>
    <x v="886"/>
    <s v="Peso Pluma, Luis R Conriquez"/>
    <n v="2"/>
    <d v="2022-08-15T00:00:00"/>
    <n v="685"/>
    <n v="5"/>
    <n v="15"/>
    <n v="79"/>
    <n v="4"/>
    <n v="2"/>
    <n v="0"/>
    <n v="295152154"/>
    <n v="136"/>
    <m/>
    <s v="Major"/>
    <n v="77"/>
    <n v="71"/>
    <x v="0"/>
    <n v="75"/>
    <x v="0"/>
    <n v="33"/>
    <n v="1"/>
    <n v="13"/>
    <n v="4"/>
    <n v="84.187426635936816"/>
  </r>
  <r>
    <x v="887"/>
    <s v="Luis R Conriquez, La Adictiva"/>
    <n v="2"/>
    <d v="2022-02-18T00:00:00"/>
    <n v="782"/>
    <n v="9"/>
    <n v="15"/>
    <n v="33"/>
    <n v="6"/>
    <n v="1"/>
    <n v="0"/>
    <n v="323455692"/>
    <n v="113"/>
    <s v="G#"/>
    <s v="Major"/>
    <n v="70"/>
    <n v="97"/>
    <x v="0"/>
    <n v="59"/>
    <x v="0"/>
    <n v="55"/>
    <n v="0"/>
    <n v="27"/>
    <n v="12"/>
    <n v="46.594710406570208"/>
  </r>
  <r>
    <x v="888"/>
    <s v="David Guetta, Shakira, Black Eyed Peas"/>
    <n v="3"/>
    <d v="2022-06-16T00:00:00"/>
    <n v="2442"/>
    <n v="0"/>
    <n v="81"/>
    <n v="4"/>
    <n v="248"/>
    <n v="1"/>
    <n v="6"/>
    <n v="240918092"/>
    <n v="132"/>
    <s v="B"/>
    <s v="Major"/>
    <n v="82"/>
    <n v="49"/>
    <x v="1"/>
    <n v="88"/>
    <x v="0"/>
    <n v="20"/>
    <n v="0"/>
    <n v="21"/>
    <n v="3"/>
    <n v="92.860154738232765"/>
  </r>
  <r>
    <x v="889"/>
    <s v="Melody, Ana Castela, Dj Chris No Beat"/>
    <n v="3"/>
    <d v="2022-05-20T00:00:00"/>
    <n v="1112"/>
    <n v="4"/>
    <n v="22"/>
    <n v="2"/>
    <n v="65"/>
    <n v="1"/>
    <n v="3"/>
    <n v="191873381"/>
    <n v="135"/>
    <s v="G#"/>
    <s v="Major"/>
    <n v="77"/>
    <n v="74"/>
    <x v="0"/>
    <n v="74"/>
    <x v="0"/>
    <n v="47"/>
    <n v="0"/>
    <n v="34"/>
    <n v="8"/>
    <n v="7.4615097271557573"/>
  </r>
  <r>
    <x v="890"/>
    <s v="Elton John, Britney Spears"/>
    <n v="2"/>
    <d v="2017-11-10T00:00:00"/>
    <n v="4967"/>
    <n v="0"/>
    <n v="165"/>
    <n v="10"/>
    <n v="177"/>
    <n v="4"/>
    <n v="73"/>
    <n v="284216603"/>
    <n v="126"/>
    <m/>
    <s v="Major"/>
    <n v="67"/>
    <n v="49"/>
    <x v="1"/>
    <n v="77"/>
    <x v="0"/>
    <n v="11"/>
    <n v="0"/>
    <n v="19"/>
    <n v="11"/>
    <n v="39.649997649706762"/>
  </r>
  <r>
    <x v="891"/>
    <s v="Lewis Capaldi"/>
    <n v="1"/>
    <d v="2022-09-09T00:00:00"/>
    <n v="2520"/>
    <n v="4"/>
    <n v="93"/>
    <n v="95"/>
    <n v="84"/>
    <n v="9"/>
    <n v="202"/>
    <n v="239411309"/>
    <n v="102"/>
    <s v="C#"/>
    <s v="Minor"/>
    <n v="67"/>
    <n v="72"/>
    <x v="0"/>
    <n v="74"/>
    <x v="0"/>
    <n v="30"/>
    <n v="0"/>
    <n v="36"/>
    <n v="4"/>
    <n v="10.064188379951455"/>
  </r>
  <r>
    <x v="892"/>
    <s v="IVE"/>
    <n v="1"/>
    <d v="2022-08-22T00:00:00"/>
    <n v="767"/>
    <n v="12"/>
    <n v="20"/>
    <n v="129"/>
    <n v="11"/>
    <n v="0"/>
    <n v="12"/>
    <n v="265548837"/>
    <n v="125"/>
    <m/>
    <s v="Major"/>
    <n v="68"/>
    <n v="80"/>
    <x v="0"/>
    <n v="92"/>
    <x v="0"/>
    <n v="10"/>
    <n v="0"/>
    <n v="9"/>
    <n v="12"/>
    <n v="39.555590158867417"/>
  </r>
  <r>
    <x v="893"/>
    <s v="Kanye West"/>
    <n v="1"/>
    <d v="2013-01-01T00:00:00"/>
    <n v="19806"/>
    <n v="7"/>
    <n v="33"/>
    <n v="11"/>
    <n v="274"/>
    <n v="0"/>
    <n v="0"/>
    <n v="703301727"/>
    <n v="149"/>
    <s v="C#"/>
    <s v="Major"/>
    <n v="37"/>
    <n v="28"/>
    <x v="2"/>
    <n v="66"/>
    <x v="0"/>
    <n v="14"/>
    <n v="0"/>
    <n v="9"/>
    <n v="5"/>
    <n v="33.005549572628979"/>
  </r>
  <r>
    <x v="894"/>
    <s v="Interplanetary Criminal, Eliza Rose"/>
    <n v="2"/>
    <d v="2022-06-15T00:00:00"/>
    <n v="5153"/>
    <n v="6"/>
    <n v="102"/>
    <n v="53"/>
    <n v="113"/>
    <n v="12"/>
    <n v="0"/>
    <n v="244585109"/>
    <n v="137"/>
    <m/>
    <s v="Major"/>
    <n v="74"/>
    <n v="71"/>
    <x v="0"/>
    <n v="89"/>
    <x v="0"/>
    <n v="24"/>
    <n v="61"/>
    <n v="15"/>
    <n v="5"/>
    <n v="61.469107111346666"/>
  </r>
  <r>
    <x v="895"/>
    <s v="TWICE"/>
    <n v="1"/>
    <d v="2022-08-26T00:00:00"/>
    <n v="615"/>
    <n v="0"/>
    <n v="14"/>
    <n v="77"/>
    <n v="15"/>
    <n v="1"/>
    <n v="2"/>
    <n v="189476119"/>
    <n v="120"/>
    <s v="D#"/>
    <s v="Minor"/>
    <n v="77"/>
    <n v="78"/>
    <x v="0"/>
    <n v="91"/>
    <x v="0"/>
    <n v="14"/>
    <n v="0"/>
    <n v="33"/>
    <n v="12"/>
    <n v="51.515709856250311"/>
  </r>
  <r>
    <x v="896"/>
    <s v="Armani White"/>
    <n v="1"/>
    <d v="2022-01-20T00:00:00"/>
    <n v="2537"/>
    <n v="0"/>
    <n v="49"/>
    <n v="1"/>
    <n v="67"/>
    <n v="11"/>
    <n v="1"/>
    <n v="277132266"/>
    <n v="100"/>
    <s v="C#"/>
    <s v="Major"/>
    <n v="90"/>
    <n v="75"/>
    <x v="0"/>
    <n v="50"/>
    <x v="1"/>
    <n v="11"/>
    <n v="0"/>
    <n v="9"/>
    <n v="26"/>
    <n v="27.392345220807258"/>
  </r>
  <r>
    <x v="897"/>
    <s v="Feid"/>
    <n v="1"/>
    <d v="2022-06-03T00:00:00"/>
    <n v="1647"/>
    <n v="30"/>
    <n v="20"/>
    <n v="49"/>
    <n v="23"/>
    <n v="2"/>
    <n v="2"/>
    <n v="278920007"/>
    <n v="164"/>
    <s v="G#"/>
    <s v="Minor"/>
    <n v="70"/>
    <n v="58"/>
    <x v="1"/>
    <n v="57"/>
    <x v="0"/>
    <n v="25"/>
    <n v="0"/>
    <n v="15"/>
    <n v="7"/>
    <n v="84.137103434704045"/>
  </r>
  <r>
    <x v="898"/>
    <s v="Oxlade"/>
    <n v="1"/>
    <d v="2022-06-10T00:00:00"/>
    <n v="2019"/>
    <n v="8"/>
    <n v="117"/>
    <n v="72"/>
    <n v="107"/>
    <n v="1"/>
    <n v="7"/>
    <n v="222410722"/>
    <n v="93"/>
    <s v="A#"/>
    <s v="Minor"/>
    <n v="65"/>
    <n v="79"/>
    <x v="0"/>
    <n v="66"/>
    <x v="0"/>
    <n v="31"/>
    <n v="0"/>
    <n v="22"/>
    <n v="7"/>
    <n v="65.590616135962989"/>
  </r>
  <r>
    <x v="899"/>
    <s v="Feid"/>
    <n v="1"/>
    <d v="2022-09-13T00:00:00"/>
    <n v="1473"/>
    <n v="12"/>
    <n v="25"/>
    <n v="36"/>
    <n v="25"/>
    <n v="1"/>
    <n v="0"/>
    <n v="185392587"/>
    <n v="180"/>
    <s v="C#"/>
    <s v="Minor"/>
    <n v="65"/>
    <n v="52"/>
    <x v="1"/>
    <n v="80"/>
    <x v="0"/>
    <n v="5"/>
    <n v="0"/>
    <n v="6"/>
    <n v="25"/>
    <n v="12.922778635973852"/>
  </r>
  <r>
    <x v="900"/>
    <s v="Steve Lacy"/>
    <n v="1"/>
    <d v="2022-07-15T00:00:00"/>
    <n v="1613"/>
    <n v="0"/>
    <n v="21"/>
    <n v="15"/>
    <n v="13"/>
    <n v="0"/>
    <n v="0"/>
    <n v="202452860"/>
    <n v="79"/>
    <s v="C#"/>
    <s v="Major"/>
    <n v="34"/>
    <n v="22"/>
    <x v="2"/>
    <n v="31"/>
    <x v="1"/>
    <n v="43"/>
    <n v="63"/>
    <n v="10"/>
    <n v="7"/>
    <n v="89.632536343943201"/>
  </r>
  <r>
    <x v="901"/>
    <s v="Coldplay"/>
    <n v="1"/>
    <d v="2002-08-05T00:00:00"/>
    <n v="30992"/>
    <n v="6"/>
    <n v="124"/>
    <n v="25"/>
    <n v="7827"/>
    <n v="1"/>
    <n v="0"/>
    <n v="1608164312"/>
    <n v="146"/>
    <s v="F"/>
    <s v="Major"/>
    <n v="56"/>
    <n v="21"/>
    <x v="2"/>
    <n v="44"/>
    <x v="1"/>
    <n v="73"/>
    <n v="0"/>
    <n v="11"/>
    <n v="2"/>
    <n v="31.795789328147571"/>
  </r>
  <r>
    <x v="902"/>
    <s v="Coldplay"/>
    <n v="1"/>
    <d v="2000-07-10T00:00:00"/>
    <n v="10826"/>
    <n v="4"/>
    <n v="24"/>
    <n v="0"/>
    <n v="805"/>
    <n v="0"/>
    <n v="0"/>
    <n v="624101957"/>
    <n v="103"/>
    <s v="C#"/>
    <s v="Major"/>
    <n v="37"/>
    <n v="17"/>
    <x v="2"/>
    <n v="27"/>
    <x v="1"/>
    <n v="75"/>
    <n v="5"/>
    <n v="10"/>
    <n v="3"/>
    <n v="5.5275223561692455"/>
  </r>
  <r>
    <x v="903"/>
    <s v="YEAT"/>
    <n v="1"/>
    <d v="2022-09-02T00:00:00"/>
    <n v="920"/>
    <n v="0"/>
    <n v="10"/>
    <n v="1"/>
    <n v="8"/>
    <n v="0"/>
    <n v="0"/>
    <n v="148461629"/>
    <n v="140"/>
    <s v="E"/>
    <s v="Minor"/>
    <n v="70"/>
    <n v="26"/>
    <x v="2"/>
    <n v="76"/>
    <x v="0"/>
    <n v="8"/>
    <n v="0"/>
    <n v="54"/>
    <n v="23"/>
    <n v="94.414469276356513"/>
  </r>
  <r>
    <x v="904"/>
    <s v="Yandel, Feid"/>
    <n v="2"/>
    <d v="2022-09-13T00:00:00"/>
    <n v="308"/>
    <n v="0"/>
    <n v="6"/>
    <n v="1"/>
    <n v="6"/>
    <n v="0"/>
    <n v="0"/>
    <n v="47093942"/>
    <n v="92"/>
    <s v="A#"/>
    <s v="Major"/>
    <n v="81"/>
    <n v="48"/>
    <x v="1"/>
    <n v="70"/>
    <x v="0"/>
    <n v="13"/>
    <n v="0"/>
    <n v="15"/>
    <n v="7"/>
    <n v="66.323069616776706"/>
  </r>
  <r>
    <x v="905"/>
    <s v="PnB Rock"/>
    <n v="1"/>
    <d v="2016-06-23T00:00:00"/>
    <n v="2468"/>
    <n v="0"/>
    <n v="15"/>
    <n v="0"/>
    <n v="0"/>
    <n v="0"/>
    <n v="0"/>
    <n v="380319238"/>
    <n v="102"/>
    <s v="C#"/>
    <s v="Minor"/>
    <n v="64"/>
    <n v="4"/>
    <x v="2"/>
    <n v="60"/>
    <x v="0"/>
    <n v="11"/>
    <n v="0"/>
    <n v="19"/>
    <n v="4"/>
    <n v="47.643825076336284"/>
  </r>
  <r>
    <x v="906"/>
    <s v="Ovy On The Drums, Quevedo"/>
    <n v="2"/>
    <d v="2022-07-22T00:00:00"/>
    <n v="1097"/>
    <n v="2"/>
    <n v="18"/>
    <n v="10"/>
    <n v="13"/>
    <n v="1"/>
    <n v="1"/>
    <n v="209106362"/>
    <n v="118"/>
    <s v="B"/>
    <s v="Minor"/>
    <n v="82"/>
    <n v="75"/>
    <x v="0"/>
    <n v="85"/>
    <x v="0"/>
    <n v="33"/>
    <n v="1"/>
    <n v="11"/>
    <n v="4"/>
    <n v="80.208648416345198"/>
  </r>
  <r>
    <x v="907"/>
    <s v="Feid"/>
    <n v="1"/>
    <d v="2022-09-13T00:00:00"/>
    <n v="330"/>
    <n v="0"/>
    <n v="3"/>
    <n v="0"/>
    <n v="2"/>
    <n v="0"/>
    <n v="0"/>
    <n v="53987404"/>
    <n v="93"/>
    <s v="D"/>
    <s v="Major"/>
    <n v="78"/>
    <n v="75"/>
    <x v="0"/>
    <n v="62"/>
    <x v="0"/>
    <n v="6"/>
    <n v="0"/>
    <n v="15"/>
    <n v="6"/>
    <n v="44.926503476344912"/>
  </r>
  <r>
    <x v="908"/>
    <s v="Lil Yachty"/>
    <n v="1"/>
    <d v="2022-06-23T00:00:00"/>
    <n v="1584"/>
    <n v="0"/>
    <n v="38"/>
    <n v="0"/>
    <n v="24"/>
    <n v="0"/>
    <n v="0"/>
    <n v="115331792"/>
    <n v="150"/>
    <s v="F"/>
    <s v="Minor"/>
    <n v="70"/>
    <n v="26"/>
    <x v="2"/>
    <n v="56"/>
    <x v="0"/>
    <n v="14"/>
    <n v="83"/>
    <n v="11"/>
    <n v="5"/>
    <n v="32.885153179456076"/>
  </r>
  <r>
    <x v="909"/>
    <s v="M√Ø¬ø¬Ω√Ø¬ø¬Ωne"/>
    <n v="1"/>
    <d v="2022-10-07T00:00:00"/>
    <n v="1585"/>
    <n v="5"/>
    <n v="78"/>
    <n v="65"/>
    <n v="328"/>
    <n v="1"/>
    <n v="198"/>
    <n v="225093344"/>
    <n v="130"/>
    <s v="D"/>
    <s v="Major"/>
    <n v="52"/>
    <n v="24"/>
    <x v="2"/>
    <n v="60"/>
    <x v="0"/>
    <n v="0"/>
    <n v="0"/>
    <n v="8"/>
    <n v="3"/>
    <n v="6.5830768507889603"/>
  </r>
  <r>
    <x v="910"/>
    <s v="Marshmello, Juice WRLD"/>
    <n v="2"/>
    <d v="2022-10-14T00:00:00"/>
    <n v="766"/>
    <n v="0"/>
    <n v="16"/>
    <n v="0"/>
    <n v="9"/>
    <n v="0"/>
    <n v="0"/>
    <n v="84697729"/>
    <n v="83"/>
    <s v="D#"/>
    <s v="Minor"/>
    <n v="65"/>
    <n v="24"/>
    <x v="2"/>
    <n v="53"/>
    <x v="0"/>
    <n v="6"/>
    <n v="0"/>
    <n v="51"/>
    <n v="4"/>
    <n v="70.5421963109942"/>
  </r>
  <r>
    <x v="911"/>
    <s v="Fran C, Polima WestCoast, Nickoog Clk, Pablito Pesadilla"/>
    <n v="4"/>
    <d v="2022-08-18T00:00:00"/>
    <n v="836"/>
    <n v="0"/>
    <n v="14"/>
    <n v="1"/>
    <n v="13"/>
    <n v="0"/>
    <n v="0"/>
    <n v="159240673"/>
    <n v="102"/>
    <s v="A"/>
    <s v="Major"/>
    <n v="84"/>
    <n v="43"/>
    <x v="1"/>
    <n v="75"/>
    <x v="0"/>
    <n v="5"/>
    <n v="0"/>
    <n v="6"/>
    <n v="8"/>
    <n v="24.866134534598096"/>
  </r>
  <r>
    <x v="912"/>
    <s v="(G)I-DLE"/>
    <n v="1"/>
    <d v="2022-10-17T00:00:00"/>
    <n v="430"/>
    <n v="6"/>
    <n v="14"/>
    <n v="116"/>
    <n v="9"/>
    <n v="0"/>
    <n v="11"/>
    <n v="170709584"/>
    <n v="136"/>
    <s v="E"/>
    <s v="Minor"/>
    <n v="73"/>
    <n v="65"/>
    <x v="1"/>
    <n v="91"/>
    <x v="0"/>
    <n v="4"/>
    <n v="0"/>
    <n v="48"/>
    <n v="18"/>
    <n v="74.199130389307854"/>
  </r>
  <r>
    <x v="335"/>
    <s v="Southstar"/>
    <n v="1"/>
    <d v="1982-05-16T00:00:00"/>
    <n v="2020"/>
    <n v="0"/>
    <n v="77"/>
    <n v="10"/>
    <n v="119"/>
    <n v="0"/>
    <n v="40"/>
    <n v="154356956"/>
    <n v="145"/>
    <s v="A"/>
    <s v="Major"/>
    <n v="66"/>
    <n v="24"/>
    <x v="2"/>
    <n v="58"/>
    <x v="0"/>
    <n v="17"/>
    <n v="0"/>
    <n v="19"/>
    <n v="5"/>
    <n v="15.73918689291467"/>
  </r>
  <r>
    <x v="913"/>
    <s v="girl in red"/>
    <n v="1"/>
    <d v="2018-11-21T00:00:00"/>
    <n v="6858"/>
    <n v="0"/>
    <n v="31"/>
    <n v="21"/>
    <n v="15"/>
    <n v="0"/>
    <n v="4"/>
    <n v="723043854"/>
    <n v="130"/>
    <s v="G"/>
    <s v="Major"/>
    <n v="57"/>
    <n v="24"/>
    <x v="2"/>
    <n v="37"/>
    <x v="1"/>
    <n v="11"/>
    <n v="18"/>
    <n v="16"/>
    <n v="3"/>
    <n v="49.049083076314915"/>
  </r>
  <r>
    <x v="914"/>
    <s v="Lizzo"/>
    <n v="1"/>
    <d v="2022-07-14T00:00:00"/>
    <n v="3682"/>
    <n v="6"/>
    <n v="41"/>
    <n v="0"/>
    <n v="158"/>
    <n v="2"/>
    <n v="68"/>
    <n v="247689123"/>
    <n v="156"/>
    <s v="G"/>
    <s v="Major"/>
    <n v="72"/>
    <n v="92"/>
    <x v="0"/>
    <n v="77"/>
    <x v="0"/>
    <n v="9"/>
    <n v="0"/>
    <n v="8"/>
    <n v="11"/>
    <n v="34.059037007160534"/>
  </r>
  <r>
    <x v="915"/>
    <s v="Ed Sheeran"/>
    <n v="1"/>
    <d v="2022-09-29T00:00:00"/>
    <n v="1639"/>
    <n v="0"/>
    <n v="86"/>
    <n v="14"/>
    <n v="80"/>
    <n v="0"/>
    <n v="37"/>
    <n v="176474912"/>
    <n v="123"/>
    <s v="D"/>
    <s v="Major"/>
    <n v="57"/>
    <n v="50"/>
    <x v="1"/>
    <n v="85"/>
    <x v="0"/>
    <n v="5"/>
    <n v="0"/>
    <n v="16"/>
    <n v="4"/>
    <n v="7.6859180355930201"/>
  </r>
  <r>
    <x v="916"/>
    <s v="BLACKPINK"/>
    <n v="1"/>
    <d v="2022-09-16T00:00:00"/>
    <n v="452"/>
    <n v="10"/>
    <n v="2"/>
    <n v="129"/>
    <n v="13"/>
    <n v="0"/>
    <n v="1"/>
    <n v="235549288"/>
    <n v="132"/>
    <s v="G"/>
    <s v="Major"/>
    <n v="92"/>
    <n v="53"/>
    <x v="1"/>
    <n v="62"/>
    <x v="0"/>
    <n v="7"/>
    <n v="0"/>
    <n v="63"/>
    <n v="10"/>
    <n v="40.828827387659807"/>
  </r>
  <r>
    <x v="917"/>
    <s v="Rosa Walton, Hallie Coggins"/>
    <n v="2"/>
    <d v="2020-12-18T00:00:00"/>
    <n v="668"/>
    <n v="1"/>
    <n v="0"/>
    <n v="0"/>
    <n v="31"/>
    <n v="0"/>
    <m/>
    <n v="140430339"/>
    <n v="125"/>
    <s v="D#"/>
    <s v="Minor"/>
    <n v="49"/>
    <n v="13"/>
    <x v="2"/>
    <n v="74"/>
    <x v="0"/>
    <n v="0"/>
    <n v="0"/>
    <n v="9"/>
    <n v="4"/>
    <n v="81.477486579066223"/>
  </r>
  <r>
    <x v="918"/>
    <s v="Lil Baby"/>
    <n v="1"/>
    <d v="2022-10-14T00:00:00"/>
    <n v="991"/>
    <n v="0"/>
    <n v="36"/>
    <n v="38"/>
    <n v="13"/>
    <n v="0"/>
    <n v="3"/>
    <n v="85559365"/>
    <n v="162"/>
    <s v="F"/>
    <s v="Minor"/>
    <n v="74"/>
    <n v="22"/>
    <x v="2"/>
    <n v="67"/>
    <x v="0"/>
    <n v="0"/>
    <n v="0"/>
    <n v="11"/>
    <n v="46"/>
    <n v="63.73318395302563"/>
  </r>
  <r>
    <x v="919"/>
    <s v="Luciano, Aitch, B√Ø¬ø¬Ω"/>
    <n v="3"/>
    <d v="2022-09-22T00:00:00"/>
    <n v="869"/>
    <n v="7"/>
    <n v="14"/>
    <n v="12"/>
    <n v="12"/>
    <n v="2"/>
    <n v="28"/>
    <n v="146223492"/>
    <n v="138"/>
    <s v="A#"/>
    <s v="Major"/>
    <n v="80"/>
    <n v="82"/>
    <x v="0"/>
    <n v="81"/>
    <x v="0"/>
    <n v="14"/>
    <n v="0"/>
    <n v="13"/>
    <n v="36"/>
    <n v="1.142381906216261"/>
  </r>
  <r>
    <x v="920"/>
    <s v="MC Ryan SP, Love Funk, Mc Paiva ZS"/>
    <n v="3"/>
    <d v="2022-07-01T00:00:00"/>
    <n v="648"/>
    <n v="4"/>
    <n v="0"/>
    <n v="0"/>
    <n v="30"/>
    <n v="0"/>
    <n v="0"/>
    <n v="187701588"/>
    <n v="161"/>
    <s v="A#"/>
    <s v="Minor"/>
    <n v="59"/>
    <n v="62"/>
    <x v="1"/>
    <n v="60"/>
    <x v="0"/>
    <n v="12"/>
    <n v="0"/>
    <n v="5"/>
    <n v="44"/>
    <n v="36.561109483336665"/>
  </r>
  <r>
    <x v="921"/>
    <s v="Drake, 21 Savage"/>
    <n v="2"/>
    <d v="2022-11-04T00:00:00"/>
    <n v="1545"/>
    <n v="0"/>
    <n v="22"/>
    <n v="7"/>
    <n v="15"/>
    <n v="0"/>
    <n v="0"/>
    <n v="154863153"/>
    <n v="131"/>
    <s v="G#"/>
    <s v="Minor"/>
    <n v="91"/>
    <n v="23"/>
    <x v="2"/>
    <n v="55"/>
    <x v="0"/>
    <n v="1"/>
    <n v="0"/>
    <n v="7"/>
    <n v="32"/>
    <n v="41.778554894118926"/>
  </r>
  <r>
    <x v="922"/>
    <s v="Drake, Travis Scott, 21 Savage"/>
    <n v="3"/>
    <d v="2022-11-04T00:00:00"/>
    <n v="1930"/>
    <n v="0"/>
    <n v="24"/>
    <n v="8"/>
    <n v="17"/>
    <n v="0"/>
    <n v="1"/>
    <n v="191333656"/>
    <n v="122"/>
    <s v="E"/>
    <s v="Minor"/>
    <n v="75"/>
    <n v="45"/>
    <x v="1"/>
    <n v="63"/>
    <x v="0"/>
    <n v="6"/>
    <n v="0"/>
    <n v="35"/>
    <n v="12"/>
    <n v="44.074522193771081"/>
  </r>
  <r>
    <x v="923"/>
    <s v="Taylor Swift"/>
    <n v="1"/>
    <d v="2022-10-21T00:00:00"/>
    <n v="1948"/>
    <n v="0"/>
    <n v="12"/>
    <n v="9"/>
    <n v="16"/>
    <n v="0"/>
    <n v="0"/>
    <n v="253650850"/>
    <n v="80"/>
    <s v="E"/>
    <s v="Minor"/>
    <n v="80"/>
    <n v="16"/>
    <x v="2"/>
    <n v="28"/>
    <x v="1"/>
    <n v="17"/>
    <n v="0"/>
    <n v="12"/>
    <n v="39"/>
    <n v="52.278088224577715"/>
  </r>
  <r>
    <x v="924"/>
    <s v="Taylor Swift"/>
    <n v="1"/>
    <d v="2022-10-21T00:00:00"/>
    <n v="1608"/>
    <n v="0"/>
    <n v="10"/>
    <n v="3"/>
    <n v="12"/>
    <n v="0"/>
    <n v="0"/>
    <n v="223064273"/>
    <n v="109"/>
    <s v="G"/>
    <s v="Major"/>
    <n v="75"/>
    <n v="11"/>
    <x v="2"/>
    <n v="50"/>
    <x v="1"/>
    <n v="20"/>
    <n v="0"/>
    <n v="30"/>
    <n v="17"/>
    <n v="11.723712574391287"/>
  </r>
  <r>
    <x v="925"/>
    <s v="Drake, 21 Savage"/>
    <n v="2"/>
    <d v="2022-11-04T00:00:00"/>
    <n v="1338"/>
    <n v="0"/>
    <n v="9"/>
    <n v="20"/>
    <n v="7"/>
    <n v="0"/>
    <n v="0"/>
    <n v="170413877"/>
    <n v="158"/>
    <s v="A"/>
    <s v="Major"/>
    <n v="84"/>
    <n v="33"/>
    <x v="2"/>
    <n v="36"/>
    <x v="1"/>
    <n v="2"/>
    <n v="0"/>
    <n v="39"/>
    <n v="59"/>
    <n v="66.96370089581778"/>
  </r>
  <r>
    <x v="926"/>
    <s v="Taylor Swift"/>
    <n v="1"/>
    <d v="2022-10-21T00:00:00"/>
    <n v="1936"/>
    <n v="0"/>
    <n v="7"/>
    <n v="5"/>
    <n v="13"/>
    <n v="0"/>
    <n v="0"/>
    <n v="218320587"/>
    <n v="126"/>
    <s v="E"/>
    <s v="Major"/>
    <n v="66"/>
    <n v="12"/>
    <x v="2"/>
    <n v="35"/>
    <x v="1"/>
    <n v="55"/>
    <n v="0"/>
    <n v="9"/>
    <n v="14"/>
    <n v="22.04819384253901"/>
  </r>
  <r>
    <x v="927"/>
    <s v="Drake, 21 Savage"/>
    <n v="2"/>
    <d v="2022-11-04T00:00:00"/>
    <n v="1794"/>
    <n v="0"/>
    <n v="26"/>
    <n v="9"/>
    <n v="17"/>
    <n v="0"/>
    <n v="3"/>
    <n v="141720999"/>
    <n v="104"/>
    <s v="C#"/>
    <s v="Major"/>
    <n v="73"/>
    <n v="25"/>
    <x v="2"/>
    <n v="61"/>
    <x v="0"/>
    <n v="1"/>
    <n v="0"/>
    <n v="32"/>
    <n v="7"/>
    <n v="66.550525475197148"/>
  </r>
  <r>
    <x v="928"/>
    <s v="Taylor Swift"/>
    <n v="1"/>
    <d v="2022-10-21T00:00:00"/>
    <n v="1597"/>
    <n v="0"/>
    <n v="6"/>
    <n v="3"/>
    <n v="15"/>
    <n v="0"/>
    <n v="0"/>
    <n v="187339835"/>
    <n v="110"/>
    <m/>
    <s v="Major"/>
    <n v="48"/>
    <n v="15"/>
    <x v="2"/>
    <n v="31"/>
    <x v="1"/>
    <n v="80"/>
    <n v="22"/>
    <n v="12"/>
    <n v="4"/>
    <n v="49.939420883167273"/>
  </r>
  <r>
    <x v="929"/>
    <s v="Drake, 21 Savage"/>
    <n v="2"/>
    <d v="2022-11-04T00:00:00"/>
    <n v="1652"/>
    <n v="2"/>
    <n v="26"/>
    <n v="52"/>
    <n v="10"/>
    <n v="0"/>
    <n v="95"/>
    <n v="198365537"/>
    <n v="130"/>
    <s v="G"/>
    <s v="Major"/>
    <n v="77"/>
    <n v="20"/>
    <x v="2"/>
    <n v="70"/>
    <x v="0"/>
    <n v="1"/>
    <n v="0"/>
    <n v="16"/>
    <n v="5"/>
    <n v="41.373970236770909"/>
  </r>
  <r>
    <x v="930"/>
    <s v="Taylor Swift"/>
    <n v="1"/>
    <d v="2022-10-21T00:00:00"/>
    <n v="1747"/>
    <n v="0"/>
    <n v="9"/>
    <n v="6"/>
    <n v="13"/>
    <n v="0"/>
    <n v="2"/>
    <n v="186104310"/>
    <n v="177"/>
    <m/>
    <s v="Major"/>
    <n v="34"/>
    <n v="39"/>
    <x v="2"/>
    <n v="16"/>
    <x v="1"/>
    <n v="97"/>
    <n v="0"/>
    <n v="12"/>
    <n v="5"/>
    <n v="95.669126213938625"/>
  </r>
  <r>
    <x v="931"/>
    <s v="Taylor Swift"/>
    <n v="1"/>
    <d v="2022-10-21T00:00:00"/>
    <n v="1715"/>
    <n v="0"/>
    <n v="4"/>
    <n v="5"/>
    <n v="8"/>
    <n v="0"/>
    <n v="0"/>
    <n v="177503916"/>
    <n v="158"/>
    <s v="G"/>
    <s v="Major"/>
    <n v="48"/>
    <n v="55"/>
    <x v="1"/>
    <n v="84"/>
    <x v="0"/>
    <n v="43"/>
    <n v="0"/>
    <n v="15"/>
    <n v="12"/>
    <n v="61.391761329088702"/>
  </r>
  <r>
    <x v="932"/>
    <s v="Ludwig Goransson, Foudeqush"/>
    <n v="2"/>
    <d v="2022-11-04T00:00:00"/>
    <n v="486"/>
    <n v="0"/>
    <n v="8"/>
    <n v="1"/>
    <n v="7"/>
    <n v="0"/>
    <n v="0"/>
    <n v="71095708"/>
    <n v="114"/>
    <s v="D"/>
    <s v="Minor"/>
    <n v="62"/>
    <n v="25"/>
    <x v="2"/>
    <n v="44"/>
    <x v="1"/>
    <n v="51"/>
    <n v="33"/>
    <n v="14"/>
    <n v="3"/>
    <n v="41.970004247061397"/>
  </r>
  <r>
    <x v="933"/>
    <s v="Drake, 21 Savage"/>
    <n v="2"/>
    <d v="2022-11-04T00:00:00"/>
    <n v="1007"/>
    <n v="0"/>
    <n v="6"/>
    <n v="5"/>
    <n v="3"/>
    <n v="0"/>
    <n v="0"/>
    <n v="112436403"/>
    <n v="144"/>
    <s v="F"/>
    <s v="Major"/>
    <n v="93"/>
    <n v="62"/>
    <x v="1"/>
    <n v="61"/>
    <x v="0"/>
    <n v="0"/>
    <n v="0"/>
    <n v="12"/>
    <n v="20"/>
    <n v="81.490740130193501"/>
  </r>
  <r>
    <x v="934"/>
    <s v="Jin"/>
    <n v="1"/>
    <d v="2022-10-28T00:00:00"/>
    <n v="481"/>
    <n v="9"/>
    <n v="10"/>
    <n v="100"/>
    <n v="15"/>
    <n v="1"/>
    <n v="27"/>
    <n v="203436468"/>
    <n v="125"/>
    <s v="F"/>
    <s v="Major"/>
    <n v="54"/>
    <n v="22"/>
    <x v="2"/>
    <n v="76"/>
    <x v="0"/>
    <n v="0"/>
    <n v="0"/>
    <n v="14"/>
    <n v="3"/>
    <n v="32.179739994634829"/>
  </r>
  <r>
    <x v="935"/>
    <s v="Drake"/>
    <n v="1"/>
    <d v="2022-11-04T00:00:00"/>
    <n v="1045"/>
    <n v="0"/>
    <n v="8"/>
    <n v="5"/>
    <n v="2"/>
    <n v="0"/>
    <n v="0"/>
    <n v="93367537"/>
    <n v="142"/>
    <s v="F"/>
    <s v="Minor"/>
    <n v="85"/>
    <n v="40"/>
    <x v="1"/>
    <n v="43"/>
    <x v="1"/>
    <n v="4"/>
    <n v="0"/>
    <n v="39"/>
    <n v="32"/>
    <n v="24.701122189018456"/>
  </r>
  <r>
    <x v="936"/>
    <s v="Drake, 21 Savage"/>
    <n v="2"/>
    <d v="2022-11-04T00:00:00"/>
    <n v="1060"/>
    <n v="0"/>
    <n v="3"/>
    <n v="8"/>
    <n v="5"/>
    <n v="0"/>
    <n v="0"/>
    <n v="106249219"/>
    <n v="120"/>
    <s v="D"/>
    <s v="Major"/>
    <n v="64"/>
    <n v="11"/>
    <x v="2"/>
    <n v="53"/>
    <x v="0"/>
    <n v="1"/>
    <n v="0"/>
    <n v="25"/>
    <n v="27"/>
    <n v="81.186913070716841"/>
  </r>
  <r>
    <x v="937"/>
    <s v="Taylor Swift"/>
    <n v="1"/>
    <d v="2022-10-21T00:00:00"/>
    <n v="1274"/>
    <n v="0"/>
    <n v="1"/>
    <n v="6"/>
    <n v="11"/>
    <n v="0"/>
    <n v="0"/>
    <n v="181382590"/>
    <n v="96"/>
    <s v="F"/>
    <s v="Major"/>
    <n v="57"/>
    <n v="55"/>
    <x v="1"/>
    <n v="74"/>
    <x v="0"/>
    <n v="22"/>
    <n v="0"/>
    <n v="8"/>
    <n v="4"/>
    <n v="24.634697507589266"/>
  </r>
  <r>
    <x v="938"/>
    <s v="Selena Gomez"/>
    <n v="1"/>
    <d v="2022-11-03T00:00:00"/>
    <n v="953"/>
    <n v="0"/>
    <n v="61"/>
    <n v="13"/>
    <n v="37"/>
    <n v="1"/>
    <n v="0"/>
    <n v="91473363"/>
    <n v="144"/>
    <s v="A"/>
    <s v="Major"/>
    <n v="60"/>
    <n v="24"/>
    <x v="2"/>
    <n v="39"/>
    <x v="1"/>
    <n v="57"/>
    <n v="0"/>
    <n v="8"/>
    <n v="3"/>
    <n v="31.969453102539447"/>
  </r>
  <r>
    <x v="939"/>
    <s v="Taylor Swift"/>
    <n v="1"/>
    <d v="2022-10-21T00:00:00"/>
    <n v="1180"/>
    <n v="0"/>
    <n v="4"/>
    <n v="0"/>
    <n v="8"/>
    <n v="0"/>
    <n v="0"/>
    <n v="121871870"/>
    <n v="166"/>
    <s v="F#"/>
    <s v="Major"/>
    <n v="42"/>
    <n v="7"/>
    <x v="2"/>
    <n v="24"/>
    <x v="1"/>
    <n v="83"/>
    <n v="1"/>
    <n v="12"/>
    <n v="6"/>
    <n v="13.963542657601092"/>
  </r>
  <r>
    <x v="940"/>
    <s v="Feid, Paulo Londra"/>
    <n v="2"/>
    <d v="2022-11-03T00:00:00"/>
    <n v="573"/>
    <n v="0"/>
    <n v="2"/>
    <n v="0"/>
    <n v="7"/>
    <n v="0"/>
    <n v="0"/>
    <n v="73513683"/>
    <n v="92"/>
    <s v="C#"/>
    <s v="Major"/>
    <n v="80"/>
    <n v="81"/>
    <x v="0"/>
    <n v="67"/>
    <x v="0"/>
    <n v="4"/>
    <n v="0"/>
    <n v="8"/>
    <n v="6"/>
    <n v="20.650531252471403"/>
  </r>
  <r>
    <x v="941"/>
    <s v="Feid, Sech, Jhayco"/>
    <n v="3"/>
    <d v="2022-10-20T00:00:00"/>
    <n v="1320"/>
    <n v="0"/>
    <n v="29"/>
    <n v="26"/>
    <n v="17"/>
    <n v="0"/>
    <n v="0"/>
    <n v="133895612"/>
    <n v="97"/>
    <s v="C#"/>
    <s v="Major"/>
    <n v="82"/>
    <n v="67"/>
    <x v="1"/>
    <n v="77"/>
    <x v="0"/>
    <n v="8"/>
    <n v="0"/>
    <n v="12"/>
    <n v="5"/>
    <n v="95.235750871461306"/>
  </r>
  <r>
    <x v="942"/>
    <s v="Burna Boy"/>
    <n v="1"/>
    <d v="2022-11-04T00:00:00"/>
    <n v="782"/>
    <n v="2"/>
    <n v="27"/>
    <n v="18"/>
    <n v="32"/>
    <n v="1"/>
    <n v="0"/>
    <n v="96007391"/>
    <n v="90"/>
    <s v="E"/>
    <s v="Minor"/>
    <n v="61"/>
    <n v="32"/>
    <x v="2"/>
    <n v="67"/>
    <x v="0"/>
    <n v="15"/>
    <n v="0"/>
    <n v="11"/>
    <n v="5"/>
    <n v="77.0763583366932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C80C75-5506-48FC-86D1-C392217D7C96}"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6">
  <location ref="AA5:AE205" firstHeaderRow="0" firstDataRow="1" firstDataCol="1"/>
  <pivotFields count="25">
    <pivotField axis="axisRow" showAll="0" sortType="descending">
      <items count="944">
        <item x="303"/>
        <item x="809"/>
        <item x="359"/>
        <item x="436"/>
        <item x="561"/>
        <item x="316"/>
        <item x="488"/>
        <item x="611"/>
        <item x="191"/>
        <item x="421"/>
        <item x="702"/>
        <item x="765"/>
        <item x="820"/>
        <item x="65"/>
        <item x="78"/>
        <item x="708"/>
        <item x="904"/>
        <item x="261"/>
        <item x="728"/>
        <item x="931"/>
        <item x="427"/>
        <item x="677"/>
        <item x="778"/>
        <item x="460"/>
        <item x="433"/>
        <item x="143"/>
        <item x="814"/>
        <item x="477"/>
        <item x="177"/>
        <item x="467"/>
        <item x="4"/>
        <item x="806"/>
        <item x="426"/>
        <item x="729"/>
        <item x="640"/>
        <item x="169"/>
        <item x="685"/>
        <item x="17"/>
        <item x="91"/>
        <item x="582"/>
        <item x="168"/>
        <item x="913"/>
        <item x="503"/>
        <item x="774"/>
        <item x="613"/>
        <item x="127"/>
        <item x="280"/>
        <item x="356"/>
        <item x="716"/>
        <item x="406"/>
        <item x="731"/>
        <item x="544"/>
        <item x="567"/>
        <item x="312"/>
        <item x="75"/>
        <item x="363"/>
        <item x="834"/>
        <item x="923"/>
        <item x="385"/>
        <item x="825"/>
        <item x="738"/>
        <item x="2"/>
        <item x="598"/>
        <item x="118"/>
        <item x="457"/>
        <item x="81"/>
        <item x="244"/>
        <item x="243"/>
        <item x="763"/>
        <item x="77"/>
        <item x="256"/>
        <item x="449"/>
        <item x="159"/>
        <item x="696"/>
        <item x="10"/>
        <item x="781"/>
        <item x="762"/>
        <item x="155"/>
        <item x="776"/>
        <item x="856"/>
        <item x="782"/>
        <item x="916"/>
        <item x="399"/>
        <item x="805"/>
        <item x="31"/>
        <item x="485"/>
        <item x="382"/>
        <item x="831"/>
        <item x="136"/>
        <item x="530"/>
        <item x="39"/>
        <item x="34"/>
        <item x="531"/>
        <item x="332"/>
        <item x="101"/>
        <item x="490"/>
        <item x="724"/>
        <item x="545"/>
        <item x="564"/>
        <item x="192"/>
        <item x="636"/>
        <item x="553"/>
        <item x="594"/>
        <item x="795"/>
        <item x="357"/>
        <item x="579"/>
        <item x="148"/>
        <item x="818"/>
        <item x="711"/>
        <item x="709"/>
        <item x="681"/>
        <item x="337"/>
        <item x="750"/>
        <item x="881"/>
        <item x="901"/>
        <item x="624"/>
        <item x="250"/>
        <item x="612"/>
        <item x="167"/>
        <item x="649"/>
        <item x="527"/>
        <item x="909"/>
        <item x="648"/>
        <item x="325"/>
        <item x="816"/>
        <item x="937"/>
        <item x="599"/>
        <item x="573"/>
        <item x="252"/>
        <item x="459"/>
        <item x="595"/>
        <item x="934"/>
        <item x="521"/>
        <item x="742"/>
        <item x="790"/>
        <item x="137"/>
        <item x="397"/>
        <item x="116"/>
        <item x="487"/>
        <item x="610"/>
        <item x="895"/>
        <item x="903"/>
        <item x="99"/>
        <item x="199"/>
        <item x="509"/>
        <item x="189"/>
        <item x="111"/>
        <item x="852"/>
        <item x="550"/>
        <item x="60"/>
        <item x="671"/>
        <item x="694"/>
        <item x="930"/>
        <item x="863"/>
        <item x="73"/>
        <item x="519"/>
        <item x="165"/>
        <item x="793"/>
        <item x="297"/>
        <item x="219"/>
        <item x="11"/>
        <item x="543"/>
        <item x="422"/>
        <item x="267"/>
        <item x="295"/>
        <item x="41"/>
        <item x="98"/>
        <item x="404"/>
        <item x="38"/>
        <item x="629"/>
        <item x="94"/>
        <item x="756"/>
        <item x="682"/>
        <item x="645"/>
        <item x="865"/>
        <item x="794"/>
        <item x="874"/>
        <item x="885"/>
        <item x="646"/>
        <item x="84"/>
        <item x="900"/>
        <item x="520"/>
        <item x="698"/>
        <item x="145"/>
        <item x="48"/>
        <item x="388"/>
        <item x="226"/>
        <item x="669"/>
        <item x="5"/>
        <item x="345"/>
        <item x="929"/>
        <item x="463"/>
        <item x="902"/>
        <item x="395"/>
        <item x="813"/>
        <item x="743"/>
        <item x="465"/>
        <item x="304"/>
        <item x="147"/>
        <item x="720"/>
        <item x="693"/>
        <item x="311"/>
        <item x="86"/>
        <item x="723"/>
        <item x="542"/>
        <item x="591"/>
        <item x="837"/>
        <item x="448"/>
        <item x="223"/>
        <item x="483"/>
        <item x="97"/>
        <item x="178"/>
        <item x="481"/>
        <item x="547"/>
        <item x="620"/>
        <item x="268"/>
        <item x="848"/>
        <item x="810"/>
        <item x="453"/>
        <item x="589"/>
        <item x="906"/>
        <item x="769"/>
        <item x="747"/>
        <item x="886"/>
        <item x="342"/>
        <item x="876"/>
        <item x="739"/>
        <item x="434"/>
        <item x="194"/>
        <item x="290"/>
        <item x="266"/>
        <item x="276"/>
        <item x="274"/>
        <item x="386"/>
        <item x="655"/>
        <item x="179"/>
        <item x="630"/>
        <item x="133"/>
        <item x="176"/>
        <item x="389"/>
        <item x="0"/>
        <item x="229"/>
        <item x="287"/>
        <item x="109"/>
        <item x="745"/>
        <item x="364"/>
        <item x="905"/>
        <item x="208"/>
        <item x="454"/>
        <item x="43"/>
        <item x="235"/>
        <item x="689"/>
        <item x="638"/>
        <item x="205"/>
        <item x="324"/>
        <item x="96"/>
        <item x="802"/>
        <item x="775"/>
        <item x="310"/>
        <item x="164"/>
        <item x="832"/>
        <item x="445"/>
        <item x="817"/>
        <item x="566"/>
        <item x="558"/>
        <item x="498"/>
        <item x="25"/>
        <item x="58"/>
        <item x="643"/>
        <item x="30"/>
        <item x="423"/>
        <item x="492"/>
        <item x="821"/>
        <item x="419"/>
        <item x="744"/>
        <item x="294"/>
        <item x="139"/>
        <item x="590"/>
        <item x="442"/>
        <item x="80"/>
        <item x="740"/>
        <item x="766"/>
        <item x="245"/>
        <item x="792"/>
        <item x="366"/>
        <item x="703"/>
        <item x="300"/>
        <item x="175"/>
        <item x="348"/>
        <item x="129"/>
        <item x="117"/>
        <item x="635"/>
        <item x="479"/>
        <item x="132"/>
        <item x="74"/>
        <item x="924"/>
        <item x="144"/>
        <item x="130"/>
        <item x="123"/>
        <item x="618"/>
        <item x="369"/>
        <item x="922"/>
        <item x="560"/>
        <item x="780"/>
        <item x="282"/>
        <item x="413"/>
        <item x="798"/>
        <item x="736"/>
        <item x="271"/>
        <item x="899"/>
        <item x="675"/>
        <item x="933"/>
        <item x="338"/>
        <item x="272"/>
        <item x="105"/>
        <item x="160"/>
        <item x="586"/>
        <item x="827"/>
        <item x="596"/>
        <item x="124"/>
        <item x="24"/>
        <item x="603"/>
        <item x="860"/>
        <item x="631"/>
        <item x="197"/>
        <item x="908"/>
        <item x="224"/>
        <item x="346"/>
        <item x="726"/>
        <item x="889"/>
        <item x="405"/>
        <item x="186"/>
        <item x="212"/>
        <item x="757"/>
        <item x="204"/>
        <item x="574"/>
        <item x="23"/>
        <item x="592"/>
        <item x="351"/>
        <item x="633"/>
        <item x="138"/>
        <item x="504"/>
        <item x="299"/>
        <item x="67"/>
        <item x="327"/>
        <item x="551"/>
        <item x="439"/>
        <item x="801"/>
        <item x="833"/>
        <item x="803"/>
        <item x="491"/>
        <item x="733"/>
        <item x="68"/>
        <item x="602"/>
        <item x="501"/>
        <item x="777"/>
        <item x="466"/>
        <item x="842"/>
        <item x="334"/>
        <item x="522"/>
        <item x="403"/>
        <item x="162"/>
        <item x="495"/>
        <item x="333"/>
        <item x="925"/>
        <item x="131"/>
        <item x="859"/>
        <item x="146"/>
        <item x="249"/>
        <item x="536"/>
        <item x="211"/>
        <item x="722"/>
        <item x="912"/>
        <item x="673"/>
        <item x="331"/>
        <item x="141"/>
        <item x="82"/>
        <item x="658"/>
        <item x="472"/>
        <item x="555"/>
        <item x="153"/>
        <item x="845"/>
        <item x="227"/>
        <item x="122"/>
        <item x="755"/>
        <item x="350"/>
        <item x="281"/>
        <item x="115"/>
        <item x="601"/>
        <item x="180"/>
        <item x="420"/>
        <item x="234"/>
        <item x="690"/>
        <item x="104"/>
        <item x="362"/>
        <item x="260"/>
        <item x="515"/>
        <item x="705"/>
        <item x="759"/>
        <item x="378"/>
        <item x="475"/>
        <item x="938"/>
        <item x="822"/>
        <item x="319"/>
        <item x="667"/>
        <item x="398"/>
        <item x="789"/>
        <item x="626"/>
        <item x="660"/>
        <item x="804"/>
        <item x="529"/>
        <item x="377"/>
        <item x="862"/>
        <item x="56"/>
        <item x="581"/>
        <item x="516"/>
        <item x="89"/>
        <item x="354"/>
        <item x="110"/>
        <item x="526"/>
        <item x="718"/>
        <item x="524"/>
        <item x="27"/>
        <item x="103"/>
        <item x="452"/>
        <item x="335"/>
        <item x="584"/>
        <item x="799"/>
        <item x="121"/>
        <item x="113"/>
        <item x="259"/>
        <item x="314"/>
        <item x="411"/>
        <item x="642"/>
        <item x="150"/>
        <item x="284"/>
        <item x="464"/>
        <item x="473"/>
        <item x="251"/>
        <item x="637"/>
        <item x="254"/>
        <item x="548"/>
        <item x="540"/>
        <item x="87"/>
        <item x="768"/>
        <item x="741"/>
        <item x="846"/>
        <item x="823"/>
        <item x="926"/>
        <item x="854"/>
        <item x="857"/>
        <item x="298"/>
        <item x="879"/>
        <item x="484"/>
        <item x="328"/>
        <item x="749"/>
        <item x="347"/>
        <item x="644"/>
        <item x="285"/>
        <item x="678"/>
        <item x="533"/>
        <item x="318"/>
        <item x="684"/>
        <item x="88"/>
        <item x="921"/>
        <item x="279"/>
        <item x="376"/>
        <item x="120"/>
        <item x="617"/>
        <item x="330"/>
        <item x="360"/>
        <item x="283"/>
        <item x="100"/>
        <item x="128"/>
        <item x="758"/>
        <item x="835"/>
        <item x="517"/>
        <item x="546"/>
        <item x="455"/>
        <item x="571"/>
        <item x="732"/>
        <item x="370"/>
        <item x="565"/>
        <item x="653"/>
        <item x="296"/>
        <item x="35"/>
        <item x="329"/>
        <item x="154"/>
        <item x="525"/>
        <item x="380"/>
        <item x="829"/>
        <item x="238"/>
        <item x="425"/>
        <item x="232"/>
        <item x="293"/>
        <item x="19"/>
        <item x="650"/>
        <item x="387"/>
        <item x="557"/>
        <item x="608"/>
        <item x="432"/>
        <item x="715"/>
        <item x="170"/>
        <item x="447"/>
        <item x="341"/>
        <item x="508"/>
        <item x="62"/>
        <item x="568"/>
        <item x="632"/>
        <item x="309"/>
        <item x="861"/>
        <item x="237"/>
        <item x="308"/>
        <item x="28"/>
        <item x="864"/>
        <item x="441"/>
        <item x="220"/>
        <item x="1"/>
        <item x="112"/>
        <item x="907"/>
        <item x="20"/>
        <item x="928"/>
        <item x="712"/>
        <item x="692"/>
        <item x="868"/>
        <item x="830"/>
        <item x="217"/>
        <item x="317"/>
        <item x="572"/>
        <item x="770"/>
        <item x="368"/>
        <item x="9"/>
        <item x="306"/>
        <item x="57"/>
        <item x="554"/>
        <item x="898"/>
        <item x="277"/>
        <item x="569"/>
        <item x="513"/>
        <item x="15"/>
        <item x="429"/>
        <item x="437"/>
        <item x="839"/>
        <item x="218"/>
        <item x="66"/>
        <item x="349"/>
        <item x="242"/>
        <item x="188"/>
        <item x="704"/>
        <item x="493"/>
        <item x="443"/>
        <item x="156"/>
        <item x="393"/>
        <item x="887"/>
        <item x="717"/>
        <item x="446"/>
        <item x="474"/>
        <item x="444"/>
        <item x="541"/>
        <item x="499"/>
        <item x="815"/>
        <item x="507"/>
        <item x="410"/>
        <item x="791"/>
        <item x="358"/>
        <item x="730"/>
        <item x="654"/>
        <item x="700"/>
        <item x="400"/>
        <item x="381"/>
        <item x="42"/>
        <item x="275"/>
        <item x="315"/>
        <item x="751"/>
        <item x="343"/>
        <item x="288"/>
        <item x="22"/>
        <item x="597"/>
        <item x="807"/>
        <item x="917"/>
        <item x="322"/>
        <item x="361"/>
        <item x="307"/>
        <item x="514"/>
        <item x="478"/>
        <item x="21"/>
        <item x="539"/>
        <item x="264"/>
        <item x="46"/>
        <item x="352"/>
        <item x="228"/>
        <item x="668"/>
        <item x="679"/>
        <item x="415"/>
        <item x="505"/>
        <item x="788"/>
        <item x="866"/>
        <item x="714"/>
        <item x="808"/>
        <item x="451"/>
        <item x="843"/>
        <item x="890"/>
        <item x="206"/>
        <item x="391"/>
        <item x="64"/>
        <item x="76"/>
        <item x="511"/>
        <item x="340"/>
        <item x="401"/>
        <item x="71"/>
        <item x="884"/>
        <item x="600"/>
        <item x="326"/>
        <item x="195"/>
        <item x="699"/>
        <item x="456"/>
        <item x="305"/>
        <item x="606"/>
        <item x="528"/>
        <item x="585"/>
        <item x="257"/>
        <item x="836"/>
        <item x="688"/>
        <item x="819"/>
        <item x="431"/>
        <item x="510"/>
        <item x="470"/>
        <item x="72"/>
        <item x="752"/>
        <item x="142"/>
        <item x="253"/>
        <item x="877"/>
        <item x="656"/>
        <item x="462"/>
        <item x="158"/>
        <item x="753"/>
        <item x="587"/>
        <item x="291"/>
        <item x="418"/>
        <item x="496"/>
        <item x="506"/>
        <item x="161"/>
        <item x="320"/>
        <item x="8"/>
        <item x="727"/>
        <item x="634"/>
        <item x="710"/>
        <item x="576"/>
        <item x="36"/>
        <item x="659"/>
        <item x="665"/>
        <item x="891"/>
        <item x="687"/>
        <item x="824"/>
        <item x="12"/>
        <item x="213"/>
        <item x="725"/>
        <item x="500"/>
        <item x="181"/>
        <item x="748"/>
        <item x="897"/>
        <item x="435"/>
        <item x="450"/>
        <item x="125"/>
        <item x="811"/>
        <item x="593"/>
        <item x="764"/>
        <item x="90"/>
        <item x="494"/>
        <item x="625"/>
        <item x="746"/>
        <item x="622"/>
        <item x="471"/>
        <item x="215"/>
        <item x="661"/>
        <item x="414"/>
        <item x="339"/>
        <item x="114"/>
        <item x="609"/>
        <item x="166"/>
        <item x="549"/>
        <item x="430"/>
        <item x="409"/>
        <item x="641"/>
        <item x="394"/>
        <item x="216"/>
        <item x="196"/>
        <item x="240"/>
        <item x="697"/>
        <item x="537"/>
        <item x="783"/>
        <item x="365"/>
        <item x="615"/>
        <item x="69"/>
        <item x="163"/>
        <item x="286"/>
        <item x="941"/>
        <item x="853"/>
        <item x="6"/>
        <item x="580"/>
        <item x="883"/>
        <item x="85"/>
        <item x="149"/>
        <item x="50"/>
        <item x="40"/>
        <item x="784"/>
        <item x="239"/>
        <item x="246"/>
        <item x="563"/>
        <item x="786"/>
        <item x="468"/>
        <item x="532"/>
        <item x="396"/>
        <item x="424"/>
        <item x="666"/>
        <item x="269"/>
        <item x="575"/>
        <item x="773"/>
        <item x="888"/>
        <item x="407"/>
        <item x="289"/>
        <item x="570"/>
        <item x="535"/>
        <item x="93"/>
        <item x="417"/>
        <item x="302"/>
        <item x="686"/>
        <item x="461"/>
        <item x="502"/>
        <item x="172"/>
        <item x="198"/>
        <item x="313"/>
        <item x="841"/>
        <item x="760"/>
        <item x="49"/>
        <item x="47"/>
        <item x="869"/>
        <item x="273"/>
        <item x="379"/>
        <item x="761"/>
        <item x="278"/>
        <item x="489"/>
        <item x="173"/>
        <item x="719"/>
        <item x="562"/>
        <item x="480"/>
        <item x="13"/>
        <item x="844"/>
        <item x="518"/>
        <item x="323"/>
        <item x="707"/>
        <item x="152"/>
        <item x="248"/>
        <item x="107"/>
        <item x="29"/>
        <item x="616"/>
        <item x="583"/>
        <item x="701"/>
        <item x="552"/>
        <item x="578"/>
        <item x="255"/>
        <item x="241"/>
        <item x="265"/>
        <item x="16"/>
        <item x="263"/>
        <item x="231"/>
        <item x="3"/>
        <item x="796"/>
        <item x="32"/>
        <item x="182"/>
        <item x="847"/>
        <item x="157"/>
        <item x="771"/>
        <item x="79"/>
        <item x="767"/>
        <item x="735"/>
        <item x="670"/>
        <item x="258"/>
        <item x="482"/>
        <item x="932"/>
        <item x="882"/>
        <item x="7"/>
        <item x="106"/>
        <item x="92"/>
        <item x="721"/>
        <item x="18"/>
        <item x="651"/>
        <item x="927"/>
        <item x="187"/>
        <item x="840"/>
        <item x="662"/>
        <item x="683"/>
        <item x="469"/>
        <item x="221"/>
        <item x="185"/>
        <item x="102"/>
        <item x="207"/>
        <item x="734"/>
        <item x="706"/>
        <item x="222"/>
        <item x="915"/>
        <item x="262"/>
        <item x="663"/>
        <item x="826"/>
        <item x="920"/>
        <item x="247"/>
        <item x="183"/>
        <item x="59"/>
        <item x="126"/>
        <item x="26"/>
        <item x="392"/>
        <item x="135"/>
        <item x="785"/>
        <item x="292"/>
        <item x="664"/>
        <item x="918"/>
        <item x="321"/>
        <item x="875"/>
        <item x="872"/>
        <item x="614"/>
        <item x="910"/>
        <item x="151"/>
        <item x="559"/>
        <item x="676"/>
        <item x="936"/>
        <item x="652"/>
        <item x="855"/>
        <item x="61"/>
        <item x="384"/>
        <item x="850"/>
        <item x="647"/>
        <item x="390"/>
        <item x="893"/>
        <item x="373"/>
        <item x="828"/>
        <item x="605"/>
        <item x="108"/>
        <item x="367"/>
        <item x="713"/>
        <item x="353"/>
        <item x="55"/>
        <item x="416"/>
        <item x="627"/>
        <item x="37"/>
        <item x="225"/>
        <item x="896"/>
        <item x="939"/>
        <item x="858"/>
        <item x="193"/>
        <item x="556"/>
        <item x="512"/>
        <item x="375"/>
        <item x="63"/>
        <item x="402"/>
        <item x="838"/>
        <item x="140"/>
        <item x="486"/>
        <item x="523"/>
        <item x="588"/>
        <item x="190"/>
        <item x="800"/>
        <item x="44"/>
        <item x="623"/>
        <item x="919"/>
        <item x="695"/>
        <item x="871"/>
        <item x="428"/>
        <item x="230"/>
        <item x="873"/>
        <item x="935"/>
        <item x="83"/>
        <item x="911"/>
        <item x="70"/>
        <item x="51"/>
        <item x="894"/>
        <item x="797"/>
        <item x="880"/>
        <item x="412"/>
        <item x="607"/>
        <item x="14"/>
        <item x="209"/>
        <item x="621"/>
        <item x="301"/>
        <item x="184"/>
        <item x="344"/>
        <item x="33"/>
        <item x="383"/>
        <item x="476"/>
        <item x="849"/>
        <item x="54"/>
        <item x="200"/>
        <item x="45"/>
        <item x="201"/>
        <item x="737"/>
        <item x="772"/>
        <item x="203"/>
        <item x="236"/>
        <item x="52"/>
        <item x="628"/>
        <item x="171"/>
        <item x="942"/>
        <item x="534"/>
        <item x="214"/>
        <item x="270"/>
        <item x="619"/>
        <item x="95"/>
        <item x="440"/>
        <item x="657"/>
        <item x="878"/>
        <item x="680"/>
        <item x="754"/>
        <item x="336"/>
        <item x="867"/>
        <item x="438"/>
        <item x="779"/>
        <item x="787"/>
        <item x="892"/>
        <item x="371"/>
        <item x="408"/>
        <item x="870"/>
        <item x="691"/>
        <item x="202"/>
        <item x="577"/>
        <item x="372"/>
        <item x="210"/>
        <item x="940"/>
        <item x="672"/>
        <item x="538"/>
        <item x="458"/>
        <item x="639"/>
        <item x="914"/>
        <item x="812"/>
        <item x="497"/>
        <item x="355"/>
        <item x="374"/>
        <item x="174"/>
        <item x="53"/>
        <item x="119"/>
        <item x="604"/>
        <item x="134"/>
        <item x="851"/>
        <item x="674"/>
        <item x="233"/>
        <item t="default"/>
      </items>
      <autoSortScope>
        <pivotArea dataOnly="0" outline="0" fieldPosition="0">
          <references count="1">
            <reference field="4294967294" count="1" selected="0">
              <x v="3"/>
            </reference>
          </references>
        </pivotArea>
      </autoSortScope>
    </pivotField>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4">
        <item x="2"/>
        <item h="1" x="0"/>
        <item h="1" x="1"/>
        <item t="default"/>
      </items>
    </pivotField>
    <pivotField showAll="0"/>
    <pivotField multipleItemSelectionAllowed="1" showAll="0">
      <items count="3">
        <item x="0"/>
        <item h="1" x="1"/>
        <item t="default"/>
      </items>
    </pivotField>
    <pivotField dataField="1" showAll="0"/>
    <pivotField showAll="0"/>
    <pivotField dataField="1" showAll="0"/>
    <pivotField showAll="0"/>
    <pivotField dataField="1" showAll="0"/>
  </pivotFields>
  <rowFields count="1">
    <field x="0"/>
  </rowFields>
  <rowItems count="200">
    <i>
      <x v="727"/>
    </i>
    <i>
      <x v="602"/>
    </i>
    <i>
      <x v="206"/>
    </i>
    <i>
      <x v="768"/>
    </i>
    <i>
      <x v="488"/>
    </i>
    <i>
      <x v="103"/>
    </i>
    <i>
      <x v="141"/>
    </i>
    <i>
      <x v="873"/>
    </i>
    <i>
      <x v="469"/>
    </i>
    <i>
      <x v="684"/>
    </i>
    <i>
      <x v="105"/>
    </i>
    <i>
      <x v="774"/>
    </i>
    <i>
      <x v="411"/>
    </i>
    <i>
      <x v="231"/>
    </i>
    <i>
      <x v="367"/>
    </i>
    <i>
      <x v="432"/>
    </i>
    <i>
      <x v="781"/>
    </i>
    <i>
      <x v="813"/>
    </i>
    <i>
      <x v="811"/>
    </i>
    <i>
      <x v="248"/>
    </i>
    <i>
      <x v="65"/>
    </i>
    <i>
      <x v="892"/>
    </i>
    <i>
      <x v="30"/>
    </i>
    <i>
      <x v="546"/>
    </i>
    <i>
      <x v="194"/>
    </i>
    <i>
      <x v="889"/>
    </i>
    <i>
      <x v="714"/>
    </i>
    <i>
      <x v="646"/>
    </i>
    <i>
      <x v="423"/>
    </i>
    <i>
      <x v="273"/>
    </i>
    <i>
      <x v="76"/>
    </i>
    <i>
      <x v="475"/>
    </i>
    <i>
      <x v="653"/>
    </i>
    <i>
      <x v="819"/>
    </i>
    <i>
      <x v="606"/>
    </i>
    <i>
      <x v="207"/>
    </i>
    <i>
      <x v="579"/>
    </i>
    <i>
      <x v="824"/>
    </i>
    <i>
      <x v="627"/>
    </i>
    <i>
      <x v="693"/>
    </i>
    <i>
      <x v="87"/>
    </i>
    <i>
      <x v="907"/>
    </i>
    <i>
      <x v="93"/>
    </i>
    <i>
      <x v="398"/>
    </i>
    <i>
      <x v="172"/>
    </i>
    <i>
      <x v="425"/>
    </i>
    <i>
      <x v="322"/>
    </i>
    <i>
      <x v="744"/>
    </i>
    <i>
      <x v="830"/>
    </i>
    <i>
      <x v="166"/>
    </i>
    <i>
      <x v="900"/>
    </i>
    <i>
      <x v="906"/>
    </i>
    <i>
      <x v="643"/>
    </i>
    <i>
      <x v="396"/>
    </i>
    <i>
      <x v="374"/>
    </i>
    <i>
      <x v="902"/>
    </i>
    <i>
      <x v="280"/>
    </i>
    <i>
      <x v="870"/>
    </i>
    <i>
      <x v="310"/>
    </i>
    <i>
      <x v="264"/>
    </i>
    <i>
      <x v="840"/>
    </i>
    <i>
      <x v="575"/>
    </i>
    <i>
      <x v="742"/>
    </i>
    <i>
      <x v="730"/>
    </i>
    <i>
      <x v="820"/>
    </i>
    <i>
      <x v="616"/>
    </i>
    <i>
      <x v="806"/>
    </i>
    <i>
      <x v="644"/>
    </i>
    <i>
      <x v="631"/>
    </i>
    <i>
      <x v="68"/>
    </i>
    <i>
      <x v="94"/>
    </i>
    <i>
      <x v="66"/>
    </i>
    <i>
      <x v="99"/>
    </i>
    <i>
      <x v="67"/>
    </i>
    <i>
      <x v="812"/>
    </i>
    <i>
      <x v="49"/>
    </i>
    <i>
      <x v="371"/>
    </i>
    <i>
      <x v="787"/>
    </i>
    <i>
      <x v="715"/>
    </i>
    <i>
      <x v="397"/>
    </i>
    <i>
      <x v="673"/>
    </i>
    <i>
      <x v="792"/>
    </i>
    <i>
      <x v="815"/>
    </i>
    <i>
      <x v="587"/>
    </i>
    <i>
      <x v="617"/>
    </i>
    <i>
      <x v="918"/>
    </i>
    <i>
      <x v="703"/>
    </i>
    <i>
      <x v="428"/>
    </i>
    <i>
      <x v="407"/>
    </i>
    <i>
      <x v="458"/>
    </i>
    <i>
      <x v="794"/>
    </i>
    <i>
      <x v="86"/>
    </i>
    <i>
      <x v="632"/>
    </i>
    <i>
      <x v="639"/>
    </i>
    <i>
      <x v="20"/>
    </i>
    <i>
      <x v="305"/>
    </i>
    <i>
      <x v="316"/>
    </i>
    <i>
      <x v="185"/>
    </i>
    <i>
      <x v="783"/>
    </i>
    <i>
      <x v="95"/>
    </i>
    <i>
      <x v="100"/>
    </i>
    <i>
      <x v="204"/>
    </i>
    <i>
      <x v="723"/>
    </i>
    <i>
      <x v="495"/>
    </i>
    <i>
      <x v="582"/>
    </i>
    <i>
      <x v="269"/>
    </i>
    <i>
      <x v="72"/>
    </i>
    <i>
      <x v="377"/>
    </i>
    <i>
      <x v="917"/>
    </i>
    <i>
      <x v="694"/>
    </i>
    <i>
      <x v="212"/>
    </i>
    <i>
      <x v="649"/>
    </i>
    <i>
      <x v="406"/>
    </i>
    <i>
      <x v="163"/>
    </i>
    <i>
      <x v="482"/>
    </i>
    <i>
      <x v="856"/>
    </i>
    <i>
      <x v="150"/>
    </i>
    <i>
      <x v="246"/>
    </i>
    <i>
      <x v="390"/>
    </i>
    <i>
      <x v="427"/>
    </i>
    <i>
      <x v="901"/>
    </i>
    <i>
      <x v="493"/>
    </i>
    <i>
      <x v="435"/>
    </i>
    <i>
      <x v="464"/>
    </i>
    <i>
      <x v="656"/>
    </i>
    <i>
      <x v="190"/>
    </i>
    <i>
      <x v="356"/>
    </i>
    <i>
      <x v="119"/>
    </i>
    <i>
      <x v="640"/>
    </i>
    <i>
      <x v="858"/>
    </i>
    <i>
      <x v="722"/>
    </i>
    <i>
      <x v="563"/>
    </i>
    <i>
      <x v="292"/>
    </i>
    <i>
      <x v="319"/>
    </i>
    <i>
      <x v="412"/>
    </i>
    <i>
      <x v="484"/>
    </i>
    <i>
      <x v="44"/>
    </i>
    <i>
      <x v="276"/>
    </i>
    <i>
      <x v="270"/>
    </i>
    <i>
      <x v="144"/>
    </i>
    <i>
      <x v="832"/>
    </i>
    <i>
      <x v="325"/>
    </i>
    <i>
      <x v="738"/>
    </i>
    <i>
      <x v="131"/>
    </i>
    <i>
      <x v="123"/>
    </i>
    <i>
      <x v="593"/>
    </i>
    <i>
      <x v="421"/>
    </i>
    <i>
      <x v="32"/>
    </i>
    <i>
      <x v="896"/>
    </i>
    <i>
      <x v="600"/>
    </i>
    <i>
      <x v="669"/>
    </i>
    <i>
      <x v="759"/>
    </i>
    <i>
      <x v="544"/>
    </i>
    <i>
      <x v="288"/>
    </i>
    <i>
      <x v="540"/>
    </i>
    <i>
      <x v="357"/>
    </i>
    <i>
      <x v="418"/>
    </i>
    <i>
      <x v="347"/>
    </i>
    <i>
      <x v="171"/>
    </i>
    <i>
      <x v="758"/>
    </i>
    <i>
      <x v="13"/>
    </i>
    <i>
      <x v="402"/>
    </i>
    <i>
      <x v="410"/>
    </i>
    <i>
      <x v="70"/>
    </i>
    <i>
      <x v="293"/>
    </i>
    <i>
      <x v="198"/>
    </i>
    <i>
      <x v="361"/>
    </i>
    <i>
      <x v="61"/>
    </i>
    <i>
      <x v="685"/>
    </i>
    <i>
      <x v="570"/>
    </i>
    <i>
      <x v="80"/>
    </i>
    <i>
      <x v="795"/>
    </i>
    <i>
      <x v="175"/>
    </i>
    <i>
      <x v="899"/>
    </i>
    <i>
      <x v="658"/>
    </i>
    <i>
      <x v="803"/>
    </i>
    <i>
      <x v="578"/>
    </i>
    <i>
      <x v="628"/>
    </i>
    <i>
      <x v="615"/>
    </i>
    <i>
      <x v="306"/>
    </i>
    <i>
      <x v="98"/>
    </i>
    <i>
      <x v="712"/>
    </i>
    <i>
      <x v="775"/>
    </i>
    <i>
      <x v="735"/>
    </i>
    <i>
      <x v="130"/>
    </i>
    <i>
      <x v="623"/>
    </i>
    <i>
      <x v="210"/>
    </i>
    <i>
      <x v="420"/>
    </i>
    <i>
      <x v="752"/>
    </i>
    <i>
      <x v="543"/>
    </i>
    <i>
      <x v="648"/>
    </i>
    <i>
      <x v="121"/>
    </i>
    <i>
      <x v="494"/>
    </i>
    <i>
      <x v="450"/>
    </i>
    <i>
      <x v="46"/>
    </i>
    <i>
      <x v="155"/>
    </i>
    <i>
      <x v="137"/>
    </i>
    <i>
      <x v="590"/>
    </i>
    <i>
      <x v="939"/>
    </i>
    <i>
      <x v="139"/>
    </i>
  </rowItems>
  <colFields count="1">
    <field x="-2"/>
  </colFields>
  <colItems count="4">
    <i>
      <x/>
    </i>
    <i i="1">
      <x v="1"/>
    </i>
    <i i="2">
      <x v="2"/>
    </i>
    <i i="3">
      <x v="3"/>
    </i>
  </colItems>
  <dataFields count="4">
    <dataField name="Liveness (%)" fld="22" subtotal="max" baseField="0" baseItem="119"/>
    <dataField name="Danceability (%)" fld="15" subtotal="max" baseField="0" baseItem="230"/>
    <dataField name="Acousticness (%)" fld="20" subtotal="max" baseField="0" baseItem="230"/>
    <dataField name="Sum of Random" fld="2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ergy_Level" xr10:uid="{CBD55EC4-08BC-4412-BFDE-3D3D1B7E8FD1}" sourceName="Energy Level">
  <pivotTables>
    <pivotTable tabId="1" name="pivottable1"/>
  </pivotTables>
  <data>
    <tabular pivotCacheId="918905545" showMissing="0">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od" xr10:uid="{8F00D241-6A59-4889-AE1F-19D85C3AE946}" sourceName="Mood">
  <pivotTables>
    <pivotTable tabId="1" name="pivottable1"/>
  </pivotTables>
  <data>
    <tabular pivotCacheId="918905545">
      <items count="3">
        <i x="2" s="1"/>
        <i x="0"/>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nergy Level" xr10:uid="{813DAB81-661D-41D2-9916-87A3AF492177}" cache="Slicer_Energy_Level" caption="Energy Level" rowHeight="273050"/>
  <slicer name="Mood" xr10:uid="{670EC557-E001-4566-AF16-2168078BECD8}" cache="Slicer_Mood" caption="Mood"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nergy Level 1" xr10:uid="{E65DB39A-1BAD-4CB2-BE2B-74DEA0592C0C}" cache="Slicer_Energy_Level" caption="Energy Level" style="SlicerStyleLight3 2" rowHeight="640080"/>
  <slicer name="Mood 1" xr10:uid="{F3BDB95B-FE16-4A22-B93B-540098278567}" cache="Slicer_Mood" caption="Mood" style="SlicerStyleLight3 2" rowHeight="548640"/>
</slicers>
</file>

<file path=xl/theme/theme1.xml><?xml version="1.0" encoding="utf-8"?>
<a:theme xmlns:a="http://schemas.openxmlformats.org/drawingml/2006/main" name="Office Theme">
  <a:themeElements>
    <a:clrScheme name="Custom 5">
      <a:dk1>
        <a:sysClr val="windowText" lastClr="000000"/>
      </a:dk1>
      <a:lt1>
        <a:sysClr val="window" lastClr="FFFFFF"/>
      </a:lt1>
      <a:dk2>
        <a:srgbClr val="0E2841"/>
      </a:dk2>
      <a:lt2>
        <a:srgbClr val="5F5F5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954"/>
  <sheetViews>
    <sheetView topLeftCell="W1" zoomScale="65" zoomScaleNormal="130" workbookViewId="0">
      <selection activeCell="X1" sqref="X1"/>
    </sheetView>
  </sheetViews>
  <sheetFormatPr defaultColWidth="11.19921875" defaultRowHeight="15.6" x14ac:dyDescent="0.3"/>
  <cols>
    <col min="1" max="1" width="17" customWidth="1"/>
    <col min="2" max="2" width="19.69921875" customWidth="1"/>
    <col min="4" max="4" width="14.5" customWidth="1"/>
    <col min="5" max="5" width="17" customWidth="1"/>
    <col min="6" max="6" width="15.19921875" customWidth="1"/>
    <col min="7" max="7" width="16.5" customWidth="1"/>
    <col min="8" max="8" width="15.5" customWidth="1"/>
    <col min="9" max="9" width="17" customWidth="1"/>
    <col min="10" max="10" width="16.5" customWidth="1"/>
    <col min="11" max="11" width="17" customWidth="1"/>
    <col min="12" max="12" width="16.19921875" customWidth="1"/>
    <col min="13" max="13" width="13.69921875" customWidth="1"/>
    <col min="14" max="14" width="12.5" customWidth="1"/>
    <col min="15" max="15" width="12.19921875" customWidth="1"/>
    <col min="16" max="16" width="15.19921875" customWidth="1"/>
    <col min="17" max="18" width="14.19921875" customWidth="1"/>
    <col min="19" max="20" width="13.69921875" customWidth="1"/>
    <col min="21" max="21" width="15.19921875" customWidth="1"/>
    <col min="22" max="23" width="19.69921875" customWidth="1"/>
    <col min="24" max="24" width="15" customWidth="1"/>
    <col min="27" max="27" width="89.09765625" bestFit="1" customWidth="1"/>
    <col min="28" max="28" width="11.5" bestFit="1" customWidth="1"/>
    <col min="29" max="29" width="14.59765625" bestFit="1" customWidth="1"/>
    <col min="30" max="30" width="15.296875" bestFit="1" customWidth="1"/>
    <col min="31" max="31" width="14.09765625" bestFit="1" customWidth="1"/>
    <col min="32" max="62" width="8.8984375" bestFit="1" customWidth="1"/>
    <col min="63" max="221" width="9.8984375" bestFit="1" customWidth="1"/>
    <col min="222" max="257" width="10.8984375" bestFit="1" customWidth="1"/>
    <col min="259" max="292" width="8.8984375" bestFit="1" customWidth="1"/>
    <col min="293" max="451" width="9.8984375" bestFit="1" customWidth="1"/>
    <col min="452" max="487" width="10.8984375" bestFit="1" customWidth="1"/>
  </cols>
  <sheetData>
    <row r="1" spans="1:31" s="4" customFormat="1" x14ac:dyDescent="0.3">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t="s">
        <v>18</v>
      </c>
      <c r="T1" s="4" t="s">
        <v>19</v>
      </c>
      <c r="U1" s="4" t="s">
        <v>20</v>
      </c>
      <c r="V1" s="4" t="s">
        <v>21</v>
      </c>
      <c r="W1" s="4" t="s">
        <v>22</v>
      </c>
      <c r="X1" s="4" t="s">
        <v>23</v>
      </c>
      <c r="Y1" s="4" t="s">
        <v>24</v>
      </c>
    </row>
    <row r="2" spans="1:31" x14ac:dyDescent="0.3">
      <c r="A2" t="s">
        <v>25</v>
      </c>
      <c r="B2" t="s">
        <v>26</v>
      </c>
      <c r="C2">
        <v>2</v>
      </c>
      <c r="D2" s="1">
        <v>45121</v>
      </c>
      <c r="E2">
        <v>553</v>
      </c>
      <c r="F2">
        <v>147</v>
      </c>
      <c r="G2">
        <v>43</v>
      </c>
      <c r="H2">
        <v>263</v>
      </c>
      <c r="I2">
        <v>45</v>
      </c>
      <c r="J2">
        <v>10</v>
      </c>
      <c r="K2">
        <v>826</v>
      </c>
      <c r="L2">
        <v>141381703</v>
      </c>
      <c r="M2">
        <v>125</v>
      </c>
      <c r="N2" t="s">
        <v>27</v>
      </c>
      <c r="O2" t="s">
        <v>28</v>
      </c>
      <c r="P2">
        <v>80</v>
      </c>
      <c r="Q2">
        <v>89</v>
      </c>
      <c r="R2" t="str" cm="1">
        <f t="array" ref="R2">_xlfn.IFS(Q2&gt;70,"Good",Q2&lt;40,"Bad",(Q2&gt;OP40*(Q2&lt;80)),"Ok")</f>
        <v>Good</v>
      </c>
      <c r="S2">
        <v>83</v>
      </c>
      <c r="T2" t="str" cm="1">
        <f t="array" ref="T2">_xlfn.IFS(S2&gt;50, "High", S2&lt;=50, "Low")</f>
        <v>High</v>
      </c>
      <c r="U2">
        <v>31</v>
      </c>
      <c r="V2">
        <v>0</v>
      </c>
      <c r="W2">
        <v>8</v>
      </c>
      <c r="X2">
        <v>4</v>
      </c>
      <c r="Y2">
        <f t="shared" ref="Y2:Y65" ca="1" si="0">RAND()*100</f>
        <v>1.8020208292736761</v>
      </c>
    </row>
    <row r="3" spans="1:31" x14ac:dyDescent="0.3">
      <c r="A3" t="s">
        <v>29</v>
      </c>
      <c r="B3" t="s">
        <v>30</v>
      </c>
      <c r="C3">
        <v>1</v>
      </c>
      <c r="D3" s="1">
        <v>45008</v>
      </c>
      <c r="E3">
        <v>1474</v>
      </c>
      <c r="F3">
        <v>48</v>
      </c>
      <c r="G3">
        <v>48</v>
      </c>
      <c r="H3">
        <v>126</v>
      </c>
      <c r="I3">
        <v>58</v>
      </c>
      <c r="J3">
        <v>14</v>
      </c>
      <c r="K3">
        <v>382</v>
      </c>
      <c r="L3">
        <v>133716286</v>
      </c>
      <c r="M3">
        <v>92</v>
      </c>
      <c r="N3" t="s">
        <v>31</v>
      </c>
      <c r="O3" t="s">
        <v>28</v>
      </c>
      <c r="P3">
        <v>71</v>
      </c>
      <c r="Q3">
        <v>61</v>
      </c>
      <c r="R3" t="str" cm="1">
        <f t="array" ref="R3">_xlfn.IFS(Q3&gt;70,"Good",Q3&lt;40,"Bad",(Q3&gt;OP41*(Q3&lt;80)),"Ok")</f>
        <v>Ok</v>
      </c>
      <c r="S3">
        <v>74</v>
      </c>
      <c r="T3" t="str" cm="1">
        <f t="array" ref="T3">_xlfn.IFS(S3&gt;50, "High", S3&lt;=50, "Low")</f>
        <v>High</v>
      </c>
      <c r="U3">
        <v>7</v>
      </c>
      <c r="V3">
        <v>0</v>
      </c>
      <c r="W3">
        <v>10</v>
      </c>
      <c r="X3">
        <v>4</v>
      </c>
      <c r="Y3">
        <f t="shared" ca="1" si="0"/>
        <v>90.72752181528864</v>
      </c>
    </row>
    <row r="4" spans="1:31" x14ac:dyDescent="0.3">
      <c r="A4" t="s">
        <v>32</v>
      </c>
      <c r="B4" t="s">
        <v>33</v>
      </c>
      <c r="C4">
        <v>1</v>
      </c>
      <c r="D4" s="1">
        <v>45107</v>
      </c>
      <c r="E4">
        <v>1397</v>
      </c>
      <c r="F4">
        <v>113</v>
      </c>
      <c r="G4">
        <v>94</v>
      </c>
      <c r="H4">
        <v>207</v>
      </c>
      <c r="I4">
        <v>91</v>
      </c>
      <c r="J4">
        <v>14</v>
      </c>
      <c r="K4">
        <v>949</v>
      </c>
      <c r="L4">
        <v>140003974</v>
      </c>
      <c r="M4">
        <v>138</v>
      </c>
      <c r="N4" t="s">
        <v>34</v>
      </c>
      <c r="O4" t="s">
        <v>28</v>
      </c>
      <c r="P4">
        <v>51</v>
      </c>
      <c r="Q4">
        <v>32</v>
      </c>
      <c r="R4" t="str" cm="1">
        <f t="array" ref="R4">_xlfn.IFS(Q4&gt;70,"Good",Q4&lt;40,"Bad",(Q4&gt;OS42*(Q4&lt;80)),"Ok")</f>
        <v>Bad</v>
      </c>
      <c r="S4">
        <v>53</v>
      </c>
      <c r="T4" t="str" cm="1">
        <f t="array" ref="T4">_xlfn.IFS(S4&gt;50, "High", S4&lt;=50, "Low")</f>
        <v>High</v>
      </c>
      <c r="U4">
        <v>17</v>
      </c>
      <c r="V4">
        <v>0</v>
      </c>
      <c r="W4">
        <v>31</v>
      </c>
      <c r="X4">
        <v>6</v>
      </c>
      <c r="Y4">
        <f t="shared" ca="1" si="0"/>
        <v>72.892348431488102</v>
      </c>
    </row>
    <row r="5" spans="1:31" x14ac:dyDescent="0.3">
      <c r="A5" t="s">
        <v>35</v>
      </c>
      <c r="B5" t="s">
        <v>36</v>
      </c>
      <c r="C5">
        <v>1</v>
      </c>
      <c r="D5" s="1">
        <v>43700</v>
      </c>
      <c r="E5">
        <v>7858</v>
      </c>
      <c r="F5">
        <v>100</v>
      </c>
      <c r="G5">
        <v>116</v>
      </c>
      <c r="H5">
        <v>207</v>
      </c>
      <c r="I5">
        <v>125</v>
      </c>
      <c r="J5">
        <v>12</v>
      </c>
      <c r="K5">
        <v>548</v>
      </c>
      <c r="L5">
        <v>800840817</v>
      </c>
      <c r="M5">
        <v>170</v>
      </c>
      <c r="N5" t="s">
        <v>37</v>
      </c>
      <c r="O5" t="s">
        <v>28</v>
      </c>
      <c r="P5">
        <v>55</v>
      </c>
      <c r="Q5">
        <v>58</v>
      </c>
      <c r="R5" t="str" cm="1">
        <f t="array" ref="R5">_xlfn.IFS(Q5&gt;70,"Good",Q5&lt;40,"Bad",(Q5&gt;OS43*(Q5&lt;80)),"Ok")</f>
        <v>Ok</v>
      </c>
      <c r="S5">
        <v>72</v>
      </c>
      <c r="T5" t="str" cm="1">
        <f t="array" ref="T5">_xlfn.IFS(S5&gt;50, "High", S5&lt;=50, "Low")</f>
        <v>High</v>
      </c>
      <c r="U5">
        <v>11</v>
      </c>
      <c r="V5">
        <v>0</v>
      </c>
      <c r="W5">
        <v>11</v>
      </c>
      <c r="X5">
        <v>15</v>
      </c>
      <c r="Y5">
        <f t="shared" ca="1" si="0"/>
        <v>79.688138134740953</v>
      </c>
      <c r="AA5" s="10" t="s">
        <v>38</v>
      </c>
      <c r="AB5" t="s">
        <v>39</v>
      </c>
      <c r="AC5" t="s">
        <v>40</v>
      </c>
      <c r="AD5" t="s">
        <v>41</v>
      </c>
      <c r="AE5" t="s">
        <v>42</v>
      </c>
    </row>
    <row r="6" spans="1:31" x14ac:dyDescent="0.3">
      <c r="A6" t="s">
        <v>43</v>
      </c>
      <c r="B6" t="s">
        <v>44</v>
      </c>
      <c r="C6">
        <v>1</v>
      </c>
      <c r="D6" s="1">
        <v>45064</v>
      </c>
      <c r="E6">
        <v>3133</v>
      </c>
      <c r="F6">
        <v>50</v>
      </c>
      <c r="G6">
        <v>84</v>
      </c>
      <c r="H6">
        <v>133</v>
      </c>
      <c r="I6">
        <v>87</v>
      </c>
      <c r="J6">
        <v>15</v>
      </c>
      <c r="K6">
        <v>425</v>
      </c>
      <c r="L6">
        <v>303236322</v>
      </c>
      <c r="M6">
        <v>144</v>
      </c>
      <c r="N6" t="s">
        <v>37</v>
      </c>
      <c r="O6" t="s">
        <v>45</v>
      </c>
      <c r="P6">
        <v>65</v>
      </c>
      <c r="Q6">
        <v>23</v>
      </c>
      <c r="R6" t="str" cm="1">
        <f t="array" ref="R6">_xlfn.IFS(Q6&gt;70,"Good",Q6&lt;40,"Bad",(Q6&gt;OS44*(Q6&lt;80)),"Ok")</f>
        <v>Bad</v>
      </c>
      <c r="S6">
        <v>80</v>
      </c>
      <c r="T6" t="str" cm="1">
        <f t="array" ref="T6">_xlfn.IFS(S6&gt;50, "High", S6&lt;=50, "Low")</f>
        <v>High</v>
      </c>
      <c r="U6">
        <v>14</v>
      </c>
      <c r="V6">
        <v>63</v>
      </c>
      <c r="W6">
        <v>11</v>
      </c>
      <c r="X6">
        <v>6</v>
      </c>
      <c r="Y6">
        <f t="shared" ca="1" si="0"/>
        <v>21.796478837736633</v>
      </c>
      <c r="AA6" s="8" t="s">
        <v>946</v>
      </c>
      <c r="AB6">
        <v>27</v>
      </c>
      <c r="AC6">
        <v>60</v>
      </c>
      <c r="AD6">
        <v>0</v>
      </c>
      <c r="AE6">
        <v>98.016128843464813</v>
      </c>
    </row>
    <row r="7" spans="1:31" x14ac:dyDescent="0.3">
      <c r="A7" t="s">
        <v>47</v>
      </c>
      <c r="B7" t="s">
        <v>48</v>
      </c>
      <c r="C7">
        <v>2</v>
      </c>
      <c r="D7" s="1">
        <v>45078</v>
      </c>
      <c r="E7">
        <v>2186</v>
      </c>
      <c r="F7">
        <v>91</v>
      </c>
      <c r="G7">
        <v>67</v>
      </c>
      <c r="H7">
        <v>213</v>
      </c>
      <c r="I7">
        <v>88</v>
      </c>
      <c r="J7">
        <v>17</v>
      </c>
      <c r="K7">
        <v>946</v>
      </c>
      <c r="L7">
        <v>183706234</v>
      </c>
      <c r="M7">
        <v>141</v>
      </c>
      <c r="N7" t="s">
        <v>31</v>
      </c>
      <c r="O7" t="s">
        <v>28</v>
      </c>
      <c r="P7">
        <v>92</v>
      </c>
      <c r="Q7">
        <v>66</v>
      </c>
      <c r="R7" t="str" cm="1">
        <f t="array" ref="R7">_xlfn.IFS(Q7&gt;70,"Good",Q7&lt;40,"Bad",(Q7&gt;OS45*(Q7&lt;80)),"Ok")</f>
        <v>Ok</v>
      </c>
      <c r="S7">
        <v>58</v>
      </c>
      <c r="T7" t="str" cm="1">
        <f t="array" ref="T7">_xlfn.IFS(S7&gt;50, "High", S7&lt;=50, "Low")</f>
        <v>High</v>
      </c>
      <c r="U7">
        <v>19</v>
      </c>
      <c r="V7">
        <v>0</v>
      </c>
      <c r="W7">
        <v>8</v>
      </c>
      <c r="X7">
        <v>24</v>
      </c>
      <c r="Y7">
        <f t="shared" ca="1" si="0"/>
        <v>59.590501236522556</v>
      </c>
      <c r="AA7" s="8" t="s">
        <v>561</v>
      </c>
      <c r="AB7">
        <v>30</v>
      </c>
      <c r="AC7">
        <v>67</v>
      </c>
      <c r="AD7">
        <v>15</v>
      </c>
      <c r="AE7">
        <v>97.985191253980602</v>
      </c>
    </row>
    <row r="8" spans="1:31" x14ac:dyDescent="0.3">
      <c r="A8" t="s">
        <v>50</v>
      </c>
      <c r="B8" t="s">
        <v>51</v>
      </c>
      <c r="C8">
        <v>2</v>
      </c>
      <c r="D8" s="1">
        <v>45001</v>
      </c>
      <c r="E8">
        <v>3090</v>
      </c>
      <c r="F8">
        <v>50</v>
      </c>
      <c r="G8">
        <v>34</v>
      </c>
      <c r="H8">
        <v>222</v>
      </c>
      <c r="I8">
        <v>43</v>
      </c>
      <c r="J8">
        <v>13</v>
      </c>
      <c r="K8">
        <v>418</v>
      </c>
      <c r="L8">
        <v>725980112</v>
      </c>
      <c r="M8">
        <v>148</v>
      </c>
      <c r="N8" t="s">
        <v>34</v>
      </c>
      <c r="O8" t="s">
        <v>45</v>
      </c>
      <c r="P8">
        <v>67</v>
      </c>
      <c r="Q8">
        <v>83</v>
      </c>
      <c r="R8" t="str" cm="1">
        <f t="array" ref="R8">_xlfn.IFS(Q8&gt;70,"Good",Q8&lt;40,"Bad",(Q8&gt;OS46*(Q8&lt;80)),"Ok")</f>
        <v>Good</v>
      </c>
      <c r="S8">
        <v>76</v>
      </c>
      <c r="T8" t="str" cm="1">
        <f t="array" ref="T8">_xlfn.IFS(S8&gt;50, "High", S8&lt;=50, "Low")</f>
        <v>High</v>
      </c>
      <c r="U8">
        <v>48</v>
      </c>
      <c r="V8">
        <v>0</v>
      </c>
      <c r="W8">
        <v>8</v>
      </c>
      <c r="X8">
        <v>3</v>
      </c>
      <c r="Y8">
        <f t="shared" ca="1" si="0"/>
        <v>87.241912991899042</v>
      </c>
      <c r="AA8" s="8" t="s">
        <v>1482</v>
      </c>
      <c r="AB8">
        <v>18</v>
      </c>
      <c r="AC8">
        <v>63</v>
      </c>
      <c r="AD8">
        <v>4</v>
      </c>
      <c r="AE8">
        <v>95.956024926063805</v>
      </c>
    </row>
    <row r="9" spans="1:31" x14ac:dyDescent="0.3">
      <c r="A9" t="s">
        <v>53</v>
      </c>
      <c r="B9" t="s">
        <v>54</v>
      </c>
      <c r="C9">
        <v>1</v>
      </c>
      <c r="D9" s="1">
        <v>45114</v>
      </c>
      <c r="E9">
        <v>714</v>
      </c>
      <c r="F9">
        <v>43</v>
      </c>
      <c r="G9">
        <v>25</v>
      </c>
      <c r="H9">
        <v>89</v>
      </c>
      <c r="I9">
        <v>30</v>
      </c>
      <c r="J9">
        <v>13</v>
      </c>
      <c r="K9">
        <v>194</v>
      </c>
      <c r="L9">
        <v>58149378</v>
      </c>
      <c r="M9">
        <v>100</v>
      </c>
      <c r="N9" t="s">
        <v>34</v>
      </c>
      <c r="O9" t="s">
        <v>28</v>
      </c>
      <c r="P9">
        <v>67</v>
      </c>
      <c r="Q9">
        <v>26</v>
      </c>
      <c r="R9" t="str" cm="1">
        <f t="array" ref="R9">_xlfn.IFS(Q9&gt;70,"Good",Q9&lt;40,"Bad",(Q9&gt;OS47*(Q9&lt;80)),"Ok")</f>
        <v>Bad</v>
      </c>
      <c r="S9">
        <v>71</v>
      </c>
      <c r="T9" t="str" cm="1">
        <f t="array" ref="T9">_xlfn.IFS(S9&gt;50, "High", S9&lt;=50, "Low")</f>
        <v>High</v>
      </c>
      <c r="U9">
        <v>37</v>
      </c>
      <c r="V9">
        <v>0</v>
      </c>
      <c r="W9">
        <v>11</v>
      </c>
      <c r="X9">
        <v>4</v>
      </c>
      <c r="Y9">
        <f t="shared" ca="1" si="0"/>
        <v>70.792613673849175</v>
      </c>
      <c r="AA9" s="8" t="s">
        <v>130</v>
      </c>
      <c r="AB9">
        <v>8</v>
      </c>
      <c r="AC9">
        <v>71</v>
      </c>
      <c r="AD9">
        <v>36</v>
      </c>
      <c r="AE9">
        <v>95.70271329989275</v>
      </c>
    </row>
    <row r="10" spans="1:31" x14ac:dyDescent="0.3">
      <c r="A10" t="s">
        <v>56</v>
      </c>
      <c r="B10" t="s">
        <v>57</v>
      </c>
      <c r="C10">
        <v>1</v>
      </c>
      <c r="D10" s="1">
        <v>45061</v>
      </c>
      <c r="E10">
        <v>1096</v>
      </c>
      <c r="F10">
        <v>83</v>
      </c>
      <c r="G10">
        <v>60</v>
      </c>
      <c r="H10">
        <v>210</v>
      </c>
      <c r="I10">
        <v>48</v>
      </c>
      <c r="J10">
        <v>11</v>
      </c>
      <c r="K10">
        <v>953</v>
      </c>
      <c r="L10">
        <v>95217315</v>
      </c>
      <c r="M10">
        <v>130</v>
      </c>
      <c r="N10" t="s">
        <v>31</v>
      </c>
      <c r="O10" t="s">
        <v>45</v>
      </c>
      <c r="P10">
        <v>85</v>
      </c>
      <c r="Q10">
        <v>22</v>
      </c>
      <c r="R10" t="str" cm="1">
        <f t="array" ref="R10">_xlfn.IFS(Q10&gt;70,"Good",Q10&lt;40,"Bad",(Q10&gt;OS48*(Q10&lt;80)),"Ok")</f>
        <v>Bad</v>
      </c>
      <c r="S10">
        <v>62</v>
      </c>
      <c r="T10" t="str" cm="1">
        <f t="array" ref="T10">_xlfn.IFS(S10&gt;50, "High", S10&lt;=50, "Low")</f>
        <v>High</v>
      </c>
      <c r="U10">
        <v>12</v>
      </c>
      <c r="V10">
        <v>0</v>
      </c>
      <c r="W10">
        <v>28</v>
      </c>
      <c r="X10">
        <v>9</v>
      </c>
      <c r="Y10">
        <f t="shared" ca="1" si="0"/>
        <v>47.961273629262102</v>
      </c>
      <c r="AA10" s="8" t="s">
        <v>1036</v>
      </c>
      <c r="AB10">
        <v>9</v>
      </c>
      <c r="AC10">
        <v>64</v>
      </c>
      <c r="AD10">
        <v>9</v>
      </c>
      <c r="AE10">
        <v>95.46998040208743</v>
      </c>
    </row>
    <row r="11" spans="1:31" x14ac:dyDescent="0.3">
      <c r="A11" t="s">
        <v>59</v>
      </c>
      <c r="B11" t="s">
        <v>60</v>
      </c>
      <c r="C11">
        <v>2</v>
      </c>
      <c r="D11" s="1">
        <v>45002</v>
      </c>
      <c r="E11">
        <v>2953</v>
      </c>
      <c r="F11">
        <v>44</v>
      </c>
      <c r="G11">
        <v>49</v>
      </c>
      <c r="H11">
        <v>110</v>
      </c>
      <c r="I11">
        <v>66</v>
      </c>
      <c r="J11">
        <v>13</v>
      </c>
      <c r="K11">
        <v>339</v>
      </c>
      <c r="L11">
        <v>553634067</v>
      </c>
      <c r="M11">
        <v>170</v>
      </c>
      <c r="N11" t="s">
        <v>61</v>
      </c>
      <c r="O11" t="s">
        <v>45</v>
      </c>
      <c r="P11">
        <v>81</v>
      </c>
      <c r="Q11">
        <v>56</v>
      </c>
      <c r="R11" t="str" cm="1">
        <f t="array" ref="R11">_xlfn.IFS(Q11&gt;70,"Good",Q11&lt;40,"Bad",(Q11&gt;OS49*(Q11&lt;80)),"Ok")</f>
        <v>Ok</v>
      </c>
      <c r="S11">
        <v>48</v>
      </c>
      <c r="T11" t="str" cm="1">
        <f t="array" ref="T11">_xlfn.IFS(S11&gt;50, "High", S11&lt;=50, "Low")</f>
        <v>Low</v>
      </c>
      <c r="U11">
        <v>21</v>
      </c>
      <c r="V11">
        <v>0</v>
      </c>
      <c r="W11">
        <v>8</v>
      </c>
      <c r="X11">
        <v>33</v>
      </c>
      <c r="Y11">
        <f t="shared" ca="1" si="0"/>
        <v>5.7698132474471864</v>
      </c>
      <c r="AA11" s="8" t="s">
        <v>1425</v>
      </c>
      <c r="AB11">
        <v>9</v>
      </c>
      <c r="AC11">
        <v>38</v>
      </c>
      <c r="AD11">
        <v>9</v>
      </c>
      <c r="AE11">
        <v>94.76275605450904</v>
      </c>
    </row>
    <row r="12" spans="1:31" x14ac:dyDescent="0.3">
      <c r="A12" t="s">
        <v>63</v>
      </c>
      <c r="B12" t="s">
        <v>64</v>
      </c>
      <c r="C12">
        <v>2</v>
      </c>
      <c r="D12" s="1">
        <v>45033</v>
      </c>
      <c r="E12">
        <v>2876</v>
      </c>
      <c r="F12">
        <v>40</v>
      </c>
      <c r="G12">
        <v>41</v>
      </c>
      <c r="H12">
        <v>205</v>
      </c>
      <c r="I12">
        <v>54</v>
      </c>
      <c r="J12">
        <v>12</v>
      </c>
      <c r="K12">
        <v>251</v>
      </c>
      <c r="L12">
        <v>505671438</v>
      </c>
      <c r="M12">
        <v>83</v>
      </c>
      <c r="N12" t="s">
        <v>65</v>
      </c>
      <c r="O12" t="s">
        <v>45</v>
      </c>
      <c r="P12">
        <v>57</v>
      </c>
      <c r="Q12">
        <v>56</v>
      </c>
      <c r="R12" t="str" cm="1">
        <f t="array" ref="R12">_xlfn.IFS(Q12&gt;70,"Good",Q12&lt;40,"Bad",(Q12&gt;OS50*(Q12&lt;80)),"Ok")</f>
        <v>Ok</v>
      </c>
      <c r="S12">
        <v>72</v>
      </c>
      <c r="T12" t="str" cm="1">
        <f t="array" ref="T12">_xlfn.IFS(S12&gt;50, "High", S12&lt;=50, "Low")</f>
        <v>High</v>
      </c>
      <c r="U12">
        <v>23</v>
      </c>
      <c r="V12">
        <v>0</v>
      </c>
      <c r="W12">
        <v>27</v>
      </c>
      <c r="X12">
        <v>5</v>
      </c>
      <c r="Y12">
        <f t="shared" ca="1" si="0"/>
        <v>56.589756653668765</v>
      </c>
      <c r="AA12" s="8" t="s">
        <v>1572</v>
      </c>
      <c r="AB12">
        <v>54</v>
      </c>
      <c r="AC12">
        <v>70</v>
      </c>
      <c r="AD12">
        <v>8</v>
      </c>
      <c r="AE12">
        <v>94.414469276356513</v>
      </c>
    </row>
    <row r="13" spans="1:31" x14ac:dyDescent="0.3">
      <c r="A13" t="s">
        <v>67</v>
      </c>
      <c r="B13" t="s">
        <v>68</v>
      </c>
      <c r="C13">
        <v>1</v>
      </c>
      <c r="D13" s="1">
        <v>45114</v>
      </c>
      <c r="E13">
        <v>422</v>
      </c>
      <c r="F13">
        <v>55</v>
      </c>
      <c r="G13">
        <v>37</v>
      </c>
      <c r="H13">
        <v>202</v>
      </c>
      <c r="I13">
        <v>21</v>
      </c>
      <c r="J13">
        <v>5</v>
      </c>
      <c r="K13">
        <v>168</v>
      </c>
      <c r="L13">
        <v>58255150</v>
      </c>
      <c r="M13">
        <v>150</v>
      </c>
      <c r="N13" t="s">
        <v>34</v>
      </c>
      <c r="O13" t="s">
        <v>45</v>
      </c>
      <c r="P13">
        <v>78</v>
      </c>
      <c r="Q13">
        <v>52</v>
      </c>
      <c r="R13" t="str" cm="1">
        <f t="array" ref="R13">_xlfn.IFS(Q13&gt;70,"Good",Q13&lt;40,"Bad",(Q13&gt;OS51*(Q13&lt;80)),"Ok")</f>
        <v>Ok</v>
      </c>
      <c r="S13">
        <v>82</v>
      </c>
      <c r="T13" t="str" cm="1">
        <f t="array" ref="T13">_xlfn.IFS(S13&gt;50, "High", S13&lt;=50, "Low")</f>
        <v>High</v>
      </c>
      <c r="U13">
        <v>18</v>
      </c>
      <c r="V13">
        <v>0</v>
      </c>
      <c r="W13">
        <v>15</v>
      </c>
      <c r="X13">
        <v>7</v>
      </c>
      <c r="Y13">
        <f t="shared" ca="1" si="0"/>
        <v>71.222189665628491</v>
      </c>
      <c r="AA13" s="8" t="s">
        <v>183</v>
      </c>
      <c r="AB13">
        <v>12</v>
      </c>
      <c r="AC13">
        <v>60</v>
      </c>
      <c r="AD13">
        <v>0</v>
      </c>
      <c r="AE13">
        <v>94.283362264936059</v>
      </c>
    </row>
    <row r="14" spans="1:31" x14ac:dyDescent="0.3">
      <c r="A14" t="s">
        <v>70</v>
      </c>
      <c r="B14" t="s">
        <v>71</v>
      </c>
      <c r="C14">
        <v>1</v>
      </c>
      <c r="D14" s="1">
        <v>44938</v>
      </c>
      <c r="E14">
        <v>12211</v>
      </c>
      <c r="F14">
        <v>115</v>
      </c>
      <c r="G14">
        <v>300</v>
      </c>
      <c r="H14">
        <v>215</v>
      </c>
      <c r="I14">
        <v>745</v>
      </c>
      <c r="J14">
        <v>58</v>
      </c>
      <c r="K14" s="2">
        <v>1021</v>
      </c>
      <c r="L14">
        <v>1316855716</v>
      </c>
      <c r="M14">
        <v>118</v>
      </c>
      <c r="O14" t="s">
        <v>28</v>
      </c>
      <c r="P14">
        <v>71</v>
      </c>
      <c r="Q14">
        <v>65</v>
      </c>
      <c r="R14" t="str" cm="1">
        <f t="array" ref="R14">_xlfn.IFS(Q14&gt;70,"Good",Q14&lt;40,"Bad",(Q14&gt;OS52*(Q14&lt;80)),"Ok")</f>
        <v>Ok</v>
      </c>
      <c r="S14">
        <v>68</v>
      </c>
      <c r="T14" t="str" cm="1">
        <f t="array" ref="T14">_xlfn.IFS(S14&gt;50, "High", S14&lt;=50, "Low")</f>
        <v>High</v>
      </c>
      <c r="U14">
        <v>6</v>
      </c>
      <c r="V14">
        <v>0</v>
      </c>
      <c r="W14">
        <v>3</v>
      </c>
      <c r="X14">
        <v>7</v>
      </c>
      <c r="Y14">
        <f t="shared" ca="1" si="0"/>
        <v>67.533017563898838</v>
      </c>
      <c r="AA14" s="8" t="s">
        <v>754</v>
      </c>
      <c r="AB14">
        <v>16</v>
      </c>
      <c r="AC14">
        <v>70</v>
      </c>
      <c r="AD14">
        <v>43</v>
      </c>
      <c r="AE14">
        <v>94.027354727717039</v>
      </c>
    </row>
    <row r="15" spans="1:31" x14ac:dyDescent="0.3">
      <c r="A15" t="s">
        <v>73</v>
      </c>
      <c r="B15" t="s">
        <v>74</v>
      </c>
      <c r="C15">
        <v>1</v>
      </c>
      <c r="D15" s="1">
        <v>45030</v>
      </c>
      <c r="E15">
        <v>3528</v>
      </c>
      <c r="F15">
        <v>98</v>
      </c>
      <c r="G15">
        <v>80</v>
      </c>
      <c r="H15">
        <v>156</v>
      </c>
      <c r="I15">
        <v>182</v>
      </c>
      <c r="J15">
        <v>24</v>
      </c>
      <c r="K15" s="2">
        <v>1281</v>
      </c>
      <c r="L15">
        <v>387570742</v>
      </c>
      <c r="M15">
        <v>130</v>
      </c>
      <c r="N15" t="s">
        <v>61</v>
      </c>
      <c r="O15" t="s">
        <v>45</v>
      </c>
      <c r="P15">
        <v>51</v>
      </c>
      <c r="Q15">
        <v>32</v>
      </c>
      <c r="R15" t="str" cm="1">
        <f t="array" ref="R15">_xlfn.IFS(Q15&gt;70,"Good",Q15&lt;40,"Bad",(Q15&gt;OS53*(Q15&lt;80)),"Ok")</f>
        <v>Bad</v>
      </c>
      <c r="S15">
        <v>43</v>
      </c>
      <c r="T15" t="str" cm="1">
        <f t="array" ref="T15">_xlfn.IFS(S15&gt;50, "High", S15&lt;=50, "Low")</f>
        <v>Low</v>
      </c>
      <c r="U15">
        <v>83</v>
      </c>
      <c r="V15">
        <v>0</v>
      </c>
      <c r="W15">
        <v>9</v>
      </c>
      <c r="X15">
        <v>3</v>
      </c>
      <c r="Y15">
        <f t="shared" ca="1" si="0"/>
        <v>10.393874278087855</v>
      </c>
      <c r="AA15" s="8" t="s">
        <v>845</v>
      </c>
      <c r="AB15">
        <v>9</v>
      </c>
      <c r="AC15">
        <v>44</v>
      </c>
      <c r="AD15">
        <v>9</v>
      </c>
      <c r="AE15">
        <v>93.813036618634101</v>
      </c>
    </row>
    <row r="16" spans="1:31" x14ac:dyDescent="0.3">
      <c r="A16" t="s">
        <v>76</v>
      </c>
      <c r="B16" t="s">
        <v>77</v>
      </c>
      <c r="C16">
        <v>1</v>
      </c>
      <c r="D16" s="1">
        <v>44651</v>
      </c>
      <c r="E16">
        <v>23575</v>
      </c>
      <c r="F16">
        <v>130</v>
      </c>
      <c r="G16">
        <v>403</v>
      </c>
      <c r="H16">
        <v>198</v>
      </c>
      <c r="I16">
        <v>863</v>
      </c>
      <c r="J16">
        <v>46</v>
      </c>
      <c r="L16">
        <v>2513188493</v>
      </c>
      <c r="M16">
        <v>174</v>
      </c>
      <c r="N16" t="s">
        <v>65</v>
      </c>
      <c r="O16" t="s">
        <v>45</v>
      </c>
      <c r="P16">
        <v>52</v>
      </c>
      <c r="Q16">
        <v>66</v>
      </c>
      <c r="R16" t="str" cm="1">
        <f t="array" ref="R16">_xlfn.IFS(Q16&gt;70,"Good",Q16&lt;40,"Bad",(Q16&gt;OS54*(Q16&lt;80)),"Ok")</f>
        <v>Ok</v>
      </c>
      <c r="S16">
        <v>73</v>
      </c>
      <c r="T16" t="str" cm="1">
        <f t="array" ref="T16">_xlfn.IFS(S16&gt;50, "High", S16&lt;=50, "Low")</f>
        <v>High</v>
      </c>
      <c r="U16">
        <v>34</v>
      </c>
      <c r="V16">
        <v>0</v>
      </c>
      <c r="W16">
        <v>31</v>
      </c>
      <c r="X16">
        <v>6</v>
      </c>
      <c r="Y16">
        <f t="shared" ca="1" si="0"/>
        <v>93.093912720147216</v>
      </c>
      <c r="AA16" s="8" t="s">
        <v>1119</v>
      </c>
      <c r="AB16">
        <v>7</v>
      </c>
      <c r="AC16">
        <v>68</v>
      </c>
      <c r="AD16">
        <v>0</v>
      </c>
      <c r="AE16">
        <v>93.799572464138407</v>
      </c>
    </row>
    <row r="17" spans="1:31" x14ac:dyDescent="0.3">
      <c r="A17" t="s">
        <v>79</v>
      </c>
      <c r="B17" t="s">
        <v>80</v>
      </c>
      <c r="C17">
        <v>1</v>
      </c>
      <c r="D17" s="1">
        <v>44903</v>
      </c>
      <c r="E17">
        <v>8109</v>
      </c>
      <c r="F17">
        <v>77</v>
      </c>
      <c r="G17">
        <v>183</v>
      </c>
      <c r="H17">
        <v>162</v>
      </c>
      <c r="I17">
        <v>161</v>
      </c>
      <c r="J17">
        <v>12</v>
      </c>
      <c r="K17">
        <v>187</v>
      </c>
      <c r="L17">
        <v>1163093654</v>
      </c>
      <c r="M17">
        <v>89</v>
      </c>
      <c r="N17" t="s">
        <v>81</v>
      </c>
      <c r="O17" t="s">
        <v>28</v>
      </c>
      <c r="P17">
        <v>64</v>
      </c>
      <c r="Q17">
        <v>43</v>
      </c>
      <c r="R17" t="str" cm="1">
        <f t="array" ref="R17">_xlfn.IFS(Q17&gt;70,"Good",Q17&lt;40,"Bad",(Q17&gt;OS55*(Q17&lt;80)),"Ok")</f>
        <v>Ok</v>
      </c>
      <c r="S17">
        <v>73</v>
      </c>
      <c r="T17" t="str" cm="1">
        <f t="array" ref="T17">_xlfn.IFS(S17&gt;50, "High", S17&lt;=50, "Low")</f>
        <v>High</v>
      </c>
      <c r="U17">
        <v>5</v>
      </c>
      <c r="V17">
        <v>17</v>
      </c>
      <c r="W17">
        <v>16</v>
      </c>
      <c r="X17">
        <v>4</v>
      </c>
      <c r="Y17">
        <f t="shared" ca="1" si="0"/>
        <v>77.906862114826865</v>
      </c>
      <c r="AA17" s="8" t="s">
        <v>1390</v>
      </c>
      <c r="AB17">
        <v>11</v>
      </c>
      <c r="AC17">
        <v>50</v>
      </c>
      <c r="AD17">
        <v>4</v>
      </c>
      <c r="AE17">
        <v>93.625765053673007</v>
      </c>
    </row>
    <row r="18" spans="1:31" x14ac:dyDescent="0.3">
      <c r="A18" t="s">
        <v>83</v>
      </c>
      <c r="B18" t="s">
        <v>84</v>
      </c>
      <c r="C18">
        <v>1</v>
      </c>
      <c r="D18" s="1">
        <v>44981</v>
      </c>
      <c r="E18">
        <v>2942</v>
      </c>
      <c r="F18">
        <v>77</v>
      </c>
      <c r="G18">
        <v>91</v>
      </c>
      <c r="H18">
        <v>212</v>
      </c>
      <c r="I18">
        <v>78</v>
      </c>
      <c r="J18">
        <v>6</v>
      </c>
      <c r="K18">
        <v>0</v>
      </c>
      <c r="L18">
        <v>496795686</v>
      </c>
      <c r="M18">
        <v>120</v>
      </c>
      <c r="N18" t="s">
        <v>27</v>
      </c>
      <c r="O18" t="s">
        <v>45</v>
      </c>
      <c r="P18">
        <v>78</v>
      </c>
      <c r="Q18">
        <v>76</v>
      </c>
      <c r="R18" t="str" cm="1">
        <f t="array" ref="R18">_xlfn.IFS(Q18&gt;70,"Good",Q18&lt;40,"Bad",(Q18&gt;OS56*(Q18&lt;80)),"Ok")</f>
        <v>Good</v>
      </c>
      <c r="S18">
        <v>59</v>
      </c>
      <c r="T18" t="str" cm="1">
        <f t="array" ref="T18">_xlfn.IFS(S18&gt;50, "High", S18&lt;=50, "Low")</f>
        <v>High</v>
      </c>
      <c r="U18">
        <v>43</v>
      </c>
      <c r="V18">
        <v>0</v>
      </c>
      <c r="W18">
        <v>34</v>
      </c>
      <c r="X18">
        <v>3</v>
      </c>
      <c r="Y18">
        <f t="shared" ca="1" si="0"/>
        <v>98.433398449916766</v>
      </c>
      <c r="AA18" s="8" t="s">
        <v>821</v>
      </c>
      <c r="AB18">
        <v>12</v>
      </c>
      <c r="AC18">
        <v>80</v>
      </c>
      <c r="AD18">
        <v>29</v>
      </c>
      <c r="AE18">
        <v>93.594383075173781</v>
      </c>
    </row>
    <row r="19" spans="1:31" x14ac:dyDescent="0.3">
      <c r="A19" t="s">
        <v>86</v>
      </c>
      <c r="B19" t="s">
        <v>87</v>
      </c>
      <c r="C19">
        <v>1</v>
      </c>
      <c r="D19" s="1">
        <v>45120</v>
      </c>
      <c r="E19">
        <v>873</v>
      </c>
      <c r="F19">
        <v>104</v>
      </c>
      <c r="G19">
        <v>80</v>
      </c>
      <c r="H19">
        <v>227</v>
      </c>
      <c r="I19">
        <v>95</v>
      </c>
      <c r="J19">
        <v>24</v>
      </c>
      <c r="K19" s="2">
        <v>1173</v>
      </c>
      <c r="L19">
        <v>30546883</v>
      </c>
      <c r="M19">
        <v>78</v>
      </c>
      <c r="O19" t="s">
        <v>28</v>
      </c>
      <c r="P19">
        <v>44</v>
      </c>
      <c r="Q19">
        <v>14</v>
      </c>
      <c r="R19" t="str" cm="1">
        <f t="array" ref="R19">_xlfn.IFS(Q19&gt;70,"Good",Q19&lt;40,"Bad",(Q19&gt;OS57*(Q19&lt;80)),"Ok")</f>
        <v>Bad</v>
      </c>
      <c r="S19">
        <v>9</v>
      </c>
      <c r="T19" t="str" cm="1">
        <f t="array" ref="T19">_xlfn.IFS(S19&gt;50, "High", S19&lt;=50, "Low")</f>
        <v>Low</v>
      </c>
      <c r="U19">
        <v>96</v>
      </c>
      <c r="V19">
        <v>0</v>
      </c>
      <c r="W19">
        <v>10</v>
      </c>
      <c r="X19">
        <v>3</v>
      </c>
      <c r="Y19">
        <f t="shared" ca="1" si="0"/>
        <v>35.44969635713727</v>
      </c>
      <c r="AA19" s="8" t="s">
        <v>676</v>
      </c>
      <c r="AB19">
        <v>41</v>
      </c>
      <c r="AC19">
        <v>76</v>
      </c>
      <c r="AD19">
        <v>1</v>
      </c>
      <c r="AE19">
        <v>92.245606964312231</v>
      </c>
    </row>
    <row r="20" spans="1:31" x14ac:dyDescent="0.3">
      <c r="A20" t="s">
        <v>89</v>
      </c>
      <c r="B20" t="s">
        <v>90</v>
      </c>
      <c r="C20">
        <v>2</v>
      </c>
      <c r="D20" s="1">
        <v>45016</v>
      </c>
      <c r="E20">
        <v>2610</v>
      </c>
      <c r="F20">
        <v>40</v>
      </c>
      <c r="G20">
        <v>43</v>
      </c>
      <c r="H20">
        <v>100</v>
      </c>
      <c r="I20">
        <v>54</v>
      </c>
      <c r="J20">
        <v>14</v>
      </c>
      <c r="K20">
        <v>187</v>
      </c>
      <c r="L20">
        <v>335222234</v>
      </c>
      <c r="M20">
        <v>100</v>
      </c>
      <c r="N20" t="s">
        <v>27</v>
      </c>
      <c r="O20" t="s">
        <v>28</v>
      </c>
      <c r="P20">
        <v>86</v>
      </c>
      <c r="Q20">
        <v>67</v>
      </c>
      <c r="R20" t="str" cm="1">
        <f t="array" ref="R20">_xlfn.IFS(Q20&gt;70,"Good",Q20&lt;40,"Bad",(Q20&gt;OS58*(Q20&lt;80)),"Ok")</f>
        <v>Ok</v>
      </c>
      <c r="S20">
        <v>66</v>
      </c>
      <c r="T20" t="str" cm="1">
        <f t="array" ref="T20">_xlfn.IFS(S20&gt;50, "High", S20&lt;=50, "Low")</f>
        <v>High</v>
      </c>
      <c r="U20">
        <v>14</v>
      </c>
      <c r="V20">
        <v>0</v>
      </c>
      <c r="W20">
        <v>12</v>
      </c>
      <c r="X20">
        <v>16</v>
      </c>
      <c r="Y20">
        <f t="shared" ca="1" si="0"/>
        <v>83.205404066080291</v>
      </c>
      <c r="AA20" s="8" t="s">
        <v>422</v>
      </c>
      <c r="AB20">
        <v>53</v>
      </c>
      <c r="AC20">
        <v>65</v>
      </c>
      <c r="AD20">
        <v>8</v>
      </c>
      <c r="AE20">
        <v>92.031506018676751</v>
      </c>
    </row>
    <row r="21" spans="1:31" x14ac:dyDescent="0.3">
      <c r="A21" t="s">
        <v>92</v>
      </c>
      <c r="B21" t="s">
        <v>93</v>
      </c>
      <c r="C21">
        <v>1</v>
      </c>
      <c r="D21" s="1">
        <v>45009</v>
      </c>
      <c r="E21">
        <v>596</v>
      </c>
      <c r="F21">
        <v>68</v>
      </c>
      <c r="G21">
        <v>8</v>
      </c>
      <c r="H21">
        <v>104</v>
      </c>
      <c r="I21">
        <v>23</v>
      </c>
      <c r="J21">
        <v>2</v>
      </c>
      <c r="K21">
        <v>29</v>
      </c>
      <c r="L21">
        <v>363369738</v>
      </c>
      <c r="M21">
        <v>120</v>
      </c>
      <c r="N21" t="s">
        <v>94</v>
      </c>
      <c r="O21" t="s">
        <v>28</v>
      </c>
      <c r="P21">
        <v>63</v>
      </c>
      <c r="Q21">
        <v>36</v>
      </c>
      <c r="R21" t="str" cm="1">
        <f t="array" ref="R21">_xlfn.IFS(Q21&gt;70,"Good",Q21&lt;40,"Bad",(Q21&gt;OS59*(Q21&lt;80)),"Ok")</f>
        <v>Bad</v>
      </c>
      <c r="S21">
        <v>73</v>
      </c>
      <c r="T21" t="str" cm="1">
        <f t="array" ref="T21">_xlfn.IFS(S21&gt;50, "High", S21&lt;=50, "Low")</f>
        <v>High</v>
      </c>
      <c r="U21">
        <v>0</v>
      </c>
      <c r="V21">
        <v>0</v>
      </c>
      <c r="W21">
        <v>36</v>
      </c>
      <c r="X21">
        <v>4</v>
      </c>
      <c r="Y21">
        <f t="shared" ca="1" si="0"/>
        <v>60.98960339800503</v>
      </c>
      <c r="AA21" s="8" t="s">
        <v>871</v>
      </c>
      <c r="AB21">
        <v>12</v>
      </c>
      <c r="AC21">
        <v>41</v>
      </c>
      <c r="AD21">
        <v>2</v>
      </c>
      <c r="AE21">
        <v>91.827521100472225</v>
      </c>
    </row>
    <row r="22" spans="1:31" x14ac:dyDescent="0.3">
      <c r="A22" t="s">
        <v>96</v>
      </c>
      <c r="B22" t="s">
        <v>97</v>
      </c>
      <c r="C22">
        <v>3</v>
      </c>
      <c r="D22" s="1">
        <v>45099</v>
      </c>
      <c r="E22">
        <v>332</v>
      </c>
      <c r="F22">
        <v>26</v>
      </c>
      <c r="G22">
        <v>11</v>
      </c>
      <c r="H22">
        <v>163</v>
      </c>
      <c r="I22">
        <v>10</v>
      </c>
      <c r="J22">
        <v>4</v>
      </c>
      <c r="K22">
        <v>0</v>
      </c>
      <c r="L22">
        <v>86444842</v>
      </c>
      <c r="M22">
        <v>140</v>
      </c>
      <c r="N22" t="s">
        <v>34</v>
      </c>
      <c r="O22" t="s">
        <v>45</v>
      </c>
      <c r="P22">
        <v>65</v>
      </c>
      <c r="Q22">
        <v>87</v>
      </c>
      <c r="R22" t="str" cm="1">
        <f t="array" ref="R22">_xlfn.IFS(Q22&gt;70,"Good",Q22&lt;40,"Bad",(Q22&gt;OS60*(Q22&lt;80)),"Ok")</f>
        <v>Good</v>
      </c>
      <c r="S22">
        <v>74</v>
      </c>
      <c r="T22" t="str" cm="1">
        <f t="array" ref="T22">_xlfn.IFS(S22&gt;50, "High", S22&lt;=50, "Low")</f>
        <v>High</v>
      </c>
      <c r="U22">
        <v>22</v>
      </c>
      <c r="V22">
        <v>0</v>
      </c>
      <c r="W22">
        <v>42</v>
      </c>
      <c r="X22">
        <v>4</v>
      </c>
      <c r="Y22">
        <f t="shared" ca="1" si="0"/>
        <v>70.164440126295176</v>
      </c>
      <c r="AA22" s="8" t="s">
        <v>53</v>
      </c>
      <c r="AB22">
        <v>11</v>
      </c>
      <c r="AC22">
        <v>67</v>
      </c>
      <c r="AD22">
        <v>37</v>
      </c>
      <c r="AE22">
        <v>91.392936063904401</v>
      </c>
    </row>
    <row r="23" spans="1:31" x14ac:dyDescent="0.3">
      <c r="A23" t="s">
        <v>99</v>
      </c>
      <c r="B23" t="s">
        <v>36</v>
      </c>
      <c r="C23">
        <v>1</v>
      </c>
      <c r="D23" s="1">
        <v>45114</v>
      </c>
      <c r="E23">
        <v>516</v>
      </c>
      <c r="F23">
        <v>38</v>
      </c>
      <c r="G23">
        <v>73</v>
      </c>
      <c r="H23">
        <v>119</v>
      </c>
      <c r="I23">
        <v>42</v>
      </c>
      <c r="J23">
        <v>1</v>
      </c>
      <c r="K23">
        <v>150</v>
      </c>
      <c r="L23">
        <v>52135248</v>
      </c>
      <c r="M23">
        <v>123</v>
      </c>
      <c r="N23" t="s">
        <v>65</v>
      </c>
      <c r="O23" t="s">
        <v>28</v>
      </c>
      <c r="P23">
        <v>69</v>
      </c>
      <c r="Q23">
        <v>82</v>
      </c>
      <c r="R23" t="str" cm="1">
        <f t="array" ref="R23">_xlfn.IFS(Q23&gt;70,"Good",Q23&lt;40,"Bad",(Q23&gt;OS61*(Q23&lt;80)),"Ok")</f>
        <v>Good</v>
      </c>
      <c r="S23">
        <v>76</v>
      </c>
      <c r="T23" t="str" cm="1">
        <f t="array" ref="T23">_xlfn.IFS(S23&gt;50, "High", S23&lt;=50, "Low")</f>
        <v>High</v>
      </c>
      <c r="U23">
        <v>6</v>
      </c>
      <c r="V23">
        <v>0</v>
      </c>
      <c r="W23">
        <v>6</v>
      </c>
      <c r="X23">
        <v>3</v>
      </c>
      <c r="Y23">
        <f t="shared" ca="1" si="0"/>
        <v>32.399449081305086</v>
      </c>
      <c r="AA23" s="8" t="s">
        <v>704</v>
      </c>
      <c r="AB23">
        <v>33</v>
      </c>
      <c r="AC23">
        <v>45</v>
      </c>
      <c r="AD23">
        <v>21</v>
      </c>
      <c r="AE23">
        <v>91.297488209155304</v>
      </c>
    </row>
    <row r="24" spans="1:31" x14ac:dyDescent="0.3">
      <c r="A24" t="s">
        <v>101</v>
      </c>
      <c r="B24" t="s">
        <v>102</v>
      </c>
      <c r="C24">
        <v>1</v>
      </c>
      <c r="D24" s="1">
        <v>41275</v>
      </c>
      <c r="E24">
        <v>12859</v>
      </c>
      <c r="F24">
        <v>110</v>
      </c>
      <c r="G24">
        <v>24</v>
      </c>
      <c r="H24">
        <v>98</v>
      </c>
      <c r="I24">
        <v>582</v>
      </c>
      <c r="J24">
        <v>2</v>
      </c>
      <c r="K24">
        <v>73</v>
      </c>
      <c r="L24">
        <v>1297026226</v>
      </c>
      <c r="M24">
        <v>135</v>
      </c>
      <c r="O24" t="s">
        <v>45</v>
      </c>
      <c r="P24">
        <v>48</v>
      </c>
      <c r="Q24">
        <v>44</v>
      </c>
      <c r="R24" t="str" cm="1">
        <f t="array" ref="R24">_xlfn.IFS(Q24&gt;70,"Good",Q24&lt;40,"Bad",(Q24&gt;OS62*(Q24&lt;80)),"Ok")</f>
        <v>Ok</v>
      </c>
      <c r="S24">
        <v>42</v>
      </c>
      <c r="T24" t="str" cm="1">
        <f t="array" ref="T24">_xlfn.IFS(S24&gt;50, "High", S24&lt;=50, "Low")</f>
        <v>Low</v>
      </c>
      <c r="U24">
        <v>12</v>
      </c>
      <c r="V24">
        <v>2</v>
      </c>
      <c r="W24">
        <v>11</v>
      </c>
      <c r="X24">
        <v>3</v>
      </c>
      <c r="Y24">
        <f t="shared" ca="1" si="0"/>
        <v>41.996139246085363</v>
      </c>
      <c r="AA24" s="8" t="s">
        <v>395</v>
      </c>
      <c r="AB24">
        <v>12</v>
      </c>
      <c r="AC24">
        <v>63</v>
      </c>
      <c r="AD24">
        <v>46</v>
      </c>
      <c r="AE24">
        <v>90.736780486040303</v>
      </c>
    </row>
    <row r="25" spans="1:31" x14ac:dyDescent="0.3">
      <c r="A25" t="s">
        <v>104</v>
      </c>
      <c r="B25" t="s">
        <v>105</v>
      </c>
      <c r="C25">
        <v>2</v>
      </c>
      <c r="D25" s="1">
        <v>45077</v>
      </c>
      <c r="E25">
        <v>1313</v>
      </c>
      <c r="F25">
        <v>40</v>
      </c>
      <c r="G25">
        <v>17</v>
      </c>
      <c r="H25">
        <v>152</v>
      </c>
      <c r="I25">
        <v>32</v>
      </c>
      <c r="J25">
        <v>11</v>
      </c>
      <c r="K25">
        <v>139</v>
      </c>
      <c r="L25">
        <v>200647221</v>
      </c>
      <c r="M25">
        <v>133</v>
      </c>
      <c r="N25" t="s">
        <v>34</v>
      </c>
      <c r="O25" t="s">
        <v>45</v>
      </c>
      <c r="P25">
        <v>85</v>
      </c>
      <c r="Q25">
        <v>81</v>
      </c>
      <c r="R25" t="str" cm="1">
        <f t="array" ref="R25">_xlfn.IFS(Q25&gt;70,"Good",Q25&lt;40,"Bad",(Q25&gt;OS63*(Q25&lt;80)),"Ok")</f>
        <v>Good</v>
      </c>
      <c r="S25">
        <v>67</v>
      </c>
      <c r="T25" t="str" cm="1">
        <f t="array" ref="T25">_xlfn.IFS(S25&gt;50, "High", S25&lt;=50, "Low")</f>
        <v>High</v>
      </c>
      <c r="U25">
        <v>26</v>
      </c>
      <c r="V25">
        <v>0</v>
      </c>
      <c r="W25">
        <v>12</v>
      </c>
      <c r="X25">
        <v>5</v>
      </c>
      <c r="Y25">
        <f t="shared" ca="1" si="0"/>
        <v>54.078401282288624</v>
      </c>
      <c r="AA25" s="8" t="s">
        <v>936</v>
      </c>
      <c r="AB25">
        <v>21</v>
      </c>
      <c r="AC25">
        <v>65</v>
      </c>
      <c r="AD25">
        <v>44</v>
      </c>
      <c r="AE25">
        <v>90.519115917800136</v>
      </c>
    </row>
    <row r="26" spans="1:31" x14ac:dyDescent="0.3">
      <c r="A26" t="s">
        <v>69</v>
      </c>
      <c r="B26" t="s">
        <v>107</v>
      </c>
      <c r="C26">
        <v>3</v>
      </c>
      <c r="D26" s="1">
        <v>45079</v>
      </c>
      <c r="E26">
        <v>1945</v>
      </c>
      <c r="F26">
        <v>87</v>
      </c>
      <c r="G26">
        <v>74</v>
      </c>
      <c r="H26">
        <v>182</v>
      </c>
      <c r="I26">
        <v>87</v>
      </c>
      <c r="J26">
        <v>14</v>
      </c>
      <c r="K26" s="2">
        <v>1093</v>
      </c>
      <c r="L26">
        <v>115364561</v>
      </c>
      <c r="M26">
        <v>99</v>
      </c>
      <c r="N26" t="s">
        <v>31</v>
      </c>
      <c r="O26" t="s">
        <v>28</v>
      </c>
      <c r="P26">
        <v>85</v>
      </c>
      <c r="Q26">
        <v>83</v>
      </c>
      <c r="R26" t="str" cm="1">
        <f t="array" ref="R26">_xlfn.IFS(Q26&gt;70,"Good",Q26&lt;40,"Bad",(Q26&gt;OS64*(Q26&lt;80)),"Ok")</f>
        <v>Good</v>
      </c>
      <c r="S26">
        <v>68</v>
      </c>
      <c r="T26" t="str" cm="1">
        <f t="array" ref="T26">_xlfn.IFS(S26&gt;50, "High", S26&lt;=50, "Low")</f>
        <v>High</v>
      </c>
      <c r="U26">
        <v>7</v>
      </c>
      <c r="V26">
        <v>0</v>
      </c>
      <c r="W26">
        <v>36</v>
      </c>
      <c r="X26">
        <v>20</v>
      </c>
      <c r="Y26">
        <f t="shared" ca="1" si="0"/>
        <v>41.21602414209832</v>
      </c>
      <c r="AA26" s="8" t="s">
        <v>263</v>
      </c>
      <c r="AB26">
        <v>20</v>
      </c>
      <c r="AC26">
        <v>34</v>
      </c>
      <c r="AD26">
        <v>78</v>
      </c>
      <c r="AE26">
        <v>90.228088128234461</v>
      </c>
    </row>
    <row r="27" spans="1:31" x14ac:dyDescent="0.3">
      <c r="A27" t="s">
        <v>109</v>
      </c>
      <c r="B27" t="s">
        <v>110</v>
      </c>
      <c r="C27">
        <v>1</v>
      </c>
      <c r="D27" s="1">
        <v>45099</v>
      </c>
      <c r="E27">
        <v>250</v>
      </c>
      <c r="F27">
        <v>26</v>
      </c>
      <c r="G27">
        <v>16</v>
      </c>
      <c r="H27">
        <v>149</v>
      </c>
      <c r="I27">
        <v>10</v>
      </c>
      <c r="J27">
        <v>5</v>
      </c>
      <c r="K27">
        <v>168</v>
      </c>
      <c r="L27">
        <v>78300654</v>
      </c>
      <c r="M27">
        <v>130</v>
      </c>
      <c r="N27" t="s">
        <v>94</v>
      </c>
      <c r="O27" t="s">
        <v>45</v>
      </c>
      <c r="P27">
        <v>79</v>
      </c>
      <c r="Q27">
        <v>96</v>
      </c>
      <c r="R27" t="str" cm="1">
        <f t="array" ref="R27">_xlfn.IFS(Q27&gt;70,"Good",Q27&lt;40,"Bad",(Q27&gt;OS65*(Q27&lt;80)),"Ok")</f>
        <v>Good</v>
      </c>
      <c r="S27">
        <v>86</v>
      </c>
      <c r="T27" t="str" cm="1">
        <f t="array" ref="T27">_xlfn.IFS(S27&gt;50, "High", S27&lt;=50, "Low")</f>
        <v>High</v>
      </c>
      <c r="U27">
        <v>9</v>
      </c>
      <c r="V27">
        <v>0</v>
      </c>
      <c r="W27">
        <v>9</v>
      </c>
      <c r="X27">
        <v>9</v>
      </c>
      <c r="Y27">
        <f t="shared" ca="1" si="0"/>
        <v>79.046856407444707</v>
      </c>
      <c r="AA27" s="8" t="s">
        <v>549</v>
      </c>
      <c r="AB27">
        <v>10</v>
      </c>
      <c r="AC27">
        <v>53</v>
      </c>
      <c r="AD27">
        <v>11</v>
      </c>
      <c r="AE27">
        <v>89.074630967203305</v>
      </c>
    </row>
    <row r="28" spans="1:31" x14ac:dyDescent="0.3">
      <c r="A28" t="s">
        <v>112</v>
      </c>
      <c r="B28" t="s">
        <v>113</v>
      </c>
      <c r="C28">
        <v>2</v>
      </c>
      <c r="D28" s="1">
        <v>44645</v>
      </c>
      <c r="E28">
        <v>7112</v>
      </c>
      <c r="F28">
        <v>77</v>
      </c>
      <c r="G28">
        <v>202</v>
      </c>
      <c r="H28">
        <v>119</v>
      </c>
      <c r="I28">
        <v>318</v>
      </c>
      <c r="J28">
        <v>38</v>
      </c>
      <c r="K28">
        <v>96</v>
      </c>
      <c r="L28">
        <v>899183384</v>
      </c>
      <c r="M28">
        <v>107</v>
      </c>
      <c r="N28" t="s">
        <v>27</v>
      </c>
      <c r="O28" t="s">
        <v>28</v>
      </c>
      <c r="P28">
        <v>80</v>
      </c>
      <c r="Q28">
        <v>82</v>
      </c>
      <c r="R28" t="str" cm="1">
        <f t="array" ref="R28">_xlfn.IFS(Q28&gt;70,"Good",Q28&lt;40,"Bad",(Q28&gt;OS66*(Q28&lt;80)),"Ok")</f>
        <v>Good</v>
      </c>
      <c r="S28">
        <v>80</v>
      </c>
      <c r="T28" t="str" cm="1">
        <f t="array" ref="T28">_xlfn.IFS(S28&gt;50, "High", S28&lt;=50, "Low")</f>
        <v>High</v>
      </c>
      <c r="U28">
        <v>43</v>
      </c>
      <c r="V28">
        <v>0</v>
      </c>
      <c r="W28">
        <v>14</v>
      </c>
      <c r="X28">
        <v>4</v>
      </c>
      <c r="Y28">
        <f t="shared" ca="1" si="0"/>
        <v>47.29837283288839</v>
      </c>
      <c r="AA28" s="8" t="s">
        <v>43</v>
      </c>
      <c r="AB28">
        <v>11</v>
      </c>
      <c r="AC28">
        <v>65</v>
      </c>
      <c r="AD28">
        <v>14</v>
      </c>
      <c r="AE28">
        <v>88.757101271951782</v>
      </c>
    </row>
    <row r="29" spans="1:31" x14ac:dyDescent="0.3">
      <c r="A29" t="s">
        <v>115</v>
      </c>
      <c r="B29" t="s">
        <v>116</v>
      </c>
      <c r="C29">
        <v>2</v>
      </c>
      <c r="D29" s="1">
        <v>45106</v>
      </c>
      <c r="E29">
        <v>859</v>
      </c>
      <c r="F29">
        <v>40</v>
      </c>
      <c r="G29">
        <v>35</v>
      </c>
      <c r="H29">
        <v>109</v>
      </c>
      <c r="I29">
        <v>41</v>
      </c>
      <c r="J29">
        <v>14</v>
      </c>
      <c r="K29">
        <v>211</v>
      </c>
      <c r="L29">
        <v>61245289</v>
      </c>
      <c r="M29">
        <v>122</v>
      </c>
      <c r="N29" t="s">
        <v>65</v>
      </c>
      <c r="O29" t="s">
        <v>45</v>
      </c>
      <c r="P29">
        <v>81</v>
      </c>
      <c r="Q29">
        <v>74</v>
      </c>
      <c r="R29" t="str" cm="1">
        <f t="array" ref="R29">_xlfn.IFS(Q29&gt;70,"Good",Q29&lt;40,"Bad",(Q29&gt;OS67*(Q29&lt;80)),"Ok")</f>
        <v>Good</v>
      </c>
      <c r="S29">
        <v>71</v>
      </c>
      <c r="T29" t="str" cm="1">
        <f t="array" ref="T29">_xlfn.IFS(S29&gt;50, "High", S29&lt;=50, "Low")</f>
        <v>High</v>
      </c>
      <c r="U29">
        <v>14</v>
      </c>
      <c r="V29">
        <v>0</v>
      </c>
      <c r="W29">
        <v>56</v>
      </c>
      <c r="X29">
        <v>4</v>
      </c>
      <c r="Y29">
        <f t="shared" ca="1" si="0"/>
        <v>97.787221898257599</v>
      </c>
      <c r="AA29" s="8" t="s">
        <v>627</v>
      </c>
      <c r="AB29">
        <v>6</v>
      </c>
      <c r="AC29">
        <v>49</v>
      </c>
      <c r="AD29">
        <v>7</v>
      </c>
      <c r="AE29">
        <v>88.080851180520654</v>
      </c>
    </row>
    <row r="30" spans="1:31" x14ac:dyDescent="0.3">
      <c r="A30" t="s">
        <v>118</v>
      </c>
      <c r="B30" t="s">
        <v>119</v>
      </c>
      <c r="C30">
        <v>1</v>
      </c>
      <c r="D30" s="1">
        <v>44957</v>
      </c>
      <c r="E30">
        <v>2420</v>
      </c>
      <c r="F30">
        <v>19</v>
      </c>
      <c r="G30">
        <v>52</v>
      </c>
      <c r="H30">
        <v>107</v>
      </c>
      <c r="I30">
        <v>15</v>
      </c>
      <c r="J30">
        <v>1</v>
      </c>
      <c r="K30">
        <v>325</v>
      </c>
      <c r="L30">
        <v>429829812</v>
      </c>
      <c r="M30">
        <v>204</v>
      </c>
      <c r="N30" t="s">
        <v>65</v>
      </c>
      <c r="O30" t="s">
        <v>28</v>
      </c>
      <c r="P30">
        <v>52</v>
      </c>
      <c r="Q30">
        <v>52</v>
      </c>
      <c r="R30" t="str" cm="1">
        <f t="array" ref="R30">_xlfn.IFS(Q30&gt;70,"Good",Q30&lt;40,"Bad",(Q30&gt;OS68*(Q30&lt;80)),"Ok")</f>
        <v>Ok</v>
      </c>
      <c r="S30">
        <v>68</v>
      </c>
      <c r="T30" t="str" cm="1">
        <f t="array" ref="T30">_xlfn.IFS(S30&gt;50, "High", S30&lt;=50, "Low")</f>
        <v>High</v>
      </c>
      <c r="U30">
        <v>46</v>
      </c>
      <c r="V30">
        <v>0</v>
      </c>
      <c r="W30">
        <v>15</v>
      </c>
      <c r="X30">
        <v>4</v>
      </c>
      <c r="Y30">
        <f t="shared" ca="1" si="0"/>
        <v>53.955211465019062</v>
      </c>
      <c r="AA30" s="8" t="s">
        <v>1452</v>
      </c>
      <c r="AB30">
        <v>10</v>
      </c>
      <c r="AC30">
        <v>47</v>
      </c>
      <c r="AD30">
        <v>18</v>
      </c>
      <c r="AE30">
        <v>87.92786474208512</v>
      </c>
    </row>
    <row r="31" spans="1:31" x14ac:dyDescent="0.3">
      <c r="A31" t="s">
        <v>121</v>
      </c>
      <c r="B31" t="s">
        <v>122</v>
      </c>
      <c r="C31">
        <v>1</v>
      </c>
      <c r="D31" s="1">
        <v>45071</v>
      </c>
      <c r="E31">
        <v>2988</v>
      </c>
      <c r="F31">
        <v>101</v>
      </c>
      <c r="G31">
        <v>0</v>
      </c>
      <c r="H31">
        <v>0</v>
      </c>
      <c r="I31">
        <v>143</v>
      </c>
      <c r="J31">
        <v>38</v>
      </c>
      <c r="K31">
        <v>0</v>
      </c>
      <c r="L31">
        <v>127408954</v>
      </c>
      <c r="M31">
        <v>110</v>
      </c>
      <c r="N31" t="s">
        <v>27</v>
      </c>
      <c r="O31" t="s">
        <v>45</v>
      </c>
      <c r="P31">
        <v>67</v>
      </c>
      <c r="Q31">
        <v>78</v>
      </c>
      <c r="R31" t="str" cm="1">
        <f t="array" ref="R31">_xlfn.IFS(Q31&gt;70,"Good",Q31&lt;40,"Bad",(Q31&gt;OS69*(Q31&lt;80)),"Ok")</f>
        <v>Good</v>
      </c>
      <c r="S31">
        <v>85</v>
      </c>
      <c r="T31" t="str" cm="1">
        <f t="array" ref="T31">_xlfn.IFS(S31&gt;50, "High", S31&lt;=50, "Low")</f>
        <v>High</v>
      </c>
      <c r="U31">
        <v>2</v>
      </c>
      <c r="V31">
        <v>0</v>
      </c>
      <c r="W31">
        <v>33</v>
      </c>
      <c r="X31">
        <v>5</v>
      </c>
      <c r="Y31">
        <f t="shared" ca="1" si="0"/>
        <v>19.078746894223343</v>
      </c>
      <c r="AA31" s="8" t="s">
        <v>192</v>
      </c>
      <c r="AB31">
        <v>9</v>
      </c>
      <c r="AC31">
        <v>45</v>
      </c>
      <c r="AD31">
        <v>70</v>
      </c>
      <c r="AE31">
        <v>87.279799441541499</v>
      </c>
    </row>
    <row r="32" spans="1:31" x14ac:dyDescent="0.3">
      <c r="A32" t="s">
        <v>124</v>
      </c>
      <c r="B32" t="s">
        <v>125</v>
      </c>
      <c r="C32">
        <v>1</v>
      </c>
      <c r="D32" s="1">
        <v>45120</v>
      </c>
      <c r="E32">
        <v>864</v>
      </c>
      <c r="F32">
        <v>78</v>
      </c>
      <c r="G32">
        <v>71</v>
      </c>
      <c r="H32">
        <v>135</v>
      </c>
      <c r="I32">
        <v>50</v>
      </c>
      <c r="J32">
        <v>1</v>
      </c>
      <c r="K32">
        <v>294</v>
      </c>
      <c r="L32">
        <v>22581161</v>
      </c>
      <c r="M32">
        <v>126</v>
      </c>
      <c r="N32" t="s">
        <v>34</v>
      </c>
      <c r="O32" t="s">
        <v>45</v>
      </c>
      <c r="P32">
        <v>74</v>
      </c>
      <c r="Q32">
        <v>35</v>
      </c>
      <c r="R32" t="str" cm="1">
        <f t="array" ref="R32">_xlfn.IFS(Q32&gt;70,"Good",Q32&lt;40,"Bad",(Q32&gt;OS70*(Q32&lt;80)),"Ok")</f>
        <v>Bad</v>
      </c>
      <c r="S32">
        <v>84</v>
      </c>
      <c r="T32" t="str" cm="1">
        <f t="array" ref="T32">_xlfn.IFS(S32&gt;50, "High", S32&lt;=50, "Low")</f>
        <v>High</v>
      </c>
      <c r="U32">
        <v>0</v>
      </c>
      <c r="V32">
        <v>0</v>
      </c>
      <c r="W32">
        <v>11</v>
      </c>
      <c r="X32">
        <v>6</v>
      </c>
      <c r="Y32">
        <f t="shared" ca="1" si="0"/>
        <v>85.300516668607699</v>
      </c>
      <c r="AA32" s="8" t="s">
        <v>1249</v>
      </c>
      <c r="AB32">
        <v>28</v>
      </c>
      <c r="AC32">
        <v>31</v>
      </c>
      <c r="AD32">
        <v>1</v>
      </c>
      <c r="AE32">
        <v>87.176743507238683</v>
      </c>
    </row>
    <row r="33" spans="1:31" x14ac:dyDescent="0.3">
      <c r="A33" t="s">
        <v>127</v>
      </c>
      <c r="B33" t="s">
        <v>128</v>
      </c>
      <c r="C33">
        <v>2</v>
      </c>
      <c r="D33" s="1">
        <v>45105</v>
      </c>
      <c r="E33">
        <v>266</v>
      </c>
      <c r="F33">
        <v>34</v>
      </c>
      <c r="G33">
        <v>20</v>
      </c>
      <c r="H33">
        <v>185</v>
      </c>
      <c r="I33">
        <v>13</v>
      </c>
      <c r="J33">
        <v>8</v>
      </c>
      <c r="K33">
        <v>197</v>
      </c>
      <c r="L33">
        <v>52294266</v>
      </c>
      <c r="M33">
        <v>168</v>
      </c>
      <c r="N33" t="s">
        <v>65</v>
      </c>
      <c r="O33" t="s">
        <v>28</v>
      </c>
      <c r="P33">
        <v>56</v>
      </c>
      <c r="Q33">
        <v>63</v>
      </c>
      <c r="R33" t="str" cm="1">
        <f t="array" ref="R33">_xlfn.IFS(Q33&gt;70,"Good",Q33&lt;40,"Bad",(Q33&gt;OS71*(Q33&lt;80)),"Ok")</f>
        <v>Ok</v>
      </c>
      <c r="S33">
        <v>87</v>
      </c>
      <c r="T33" t="str" cm="1">
        <f t="array" ref="T33">_xlfn.IFS(S33&gt;50, "High", S33&lt;=50, "Low")</f>
        <v>High</v>
      </c>
      <c r="U33">
        <v>39</v>
      </c>
      <c r="V33">
        <v>0</v>
      </c>
      <c r="W33">
        <v>11</v>
      </c>
      <c r="X33">
        <v>5</v>
      </c>
      <c r="Y33">
        <f t="shared" ca="1" si="0"/>
        <v>26.217658664453268</v>
      </c>
      <c r="AA33" s="8" t="s">
        <v>1315</v>
      </c>
      <c r="AB33">
        <v>9</v>
      </c>
      <c r="AC33">
        <v>80</v>
      </c>
      <c r="AD33">
        <v>2</v>
      </c>
      <c r="AE33">
        <v>86.761722693308769</v>
      </c>
    </row>
    <row r="34" spans="1:31" x14ac:dyDescent="0.3">
      <c r="A34" t="s">
        <v>130</v>
      </c>
      <c r="B34" t="s">
        <v>131</v>
      </c>
      <c r="C34">
        <v>3</v>
      </c>
      <c r="D34" s="1">
        <v>44897</v>
      </c>
      <c r="E34">
        <v>6036</v>
      </c>
      <c r="F34">
        <v>88</v>
      </c>
      <c r="G34">
        <v>113</v>
      </c>
      <c r="H34">
        <v>149</v>
      </c>
      <c r="I34">
        <v>245</v>
      </c>
      <c r="J34">
        <v>23</v>
      </c>
      <c r="K34">
        <v>27</v>
      </c>
      <c r="L34">
        <v>843957510</v>
      </c>
      <c r="M34">
        <v>98</v>
      </c>
      <c r="N34" t="s">
        <v>31</v>
      </c>
      <c r="O34" t="s">
        <v>45</v>
      </c>
      <c r="P34">
        <v>71</v>
      </c>
      <c r="Q34">
        <v>17</v>
      </c>
      <c r="R34" t="str" cm="1">
        <f t="array" ref="R34">_xlfn.IFS(Q34&gt;70,"Good",Q34&lt;40,"Bad",(Q34&gt;OS72*(Q34&lt;80)),"Ok")</f>
        <v>Bad</v>
      </c>
      <c r="S34">
        <v>61</v>
      </c>
      <c r="T34" t="str" cm="1">
        <f t="array" ref="T34">_xlfn.IFS(S34&gt;50, "High", S34&lt;=50, "Low")</f>
        <v>High</v>
      </c>
      <c r="U34">
        <v>36</v>
      </c>
      <c r="V34">
        <v>0</v>
      </c>
      <c r="W34">
        <v>8</v>
      </c>
      <c r="X34">
        <v>5</v>
      </c>
      <c r="Y34">
        <f t="shared" ca="1" si="0"/>
        <v>52.670597907586284</v>
      </c>
      <c r="AA34" s="8" t="s">
        <v>320</v>
      </c>
      <c r="AB34">
        <v>13</v>
      </c>
      <c r="AC34">
        <v>62</v>
      </c>
      <c r="AD34">
        <v>21</v>
      </c>
      <c r="AE34">
        <v>86.522257744315084</v>
      </c>
    </row>
    <row r="35" spans="1:31" x14ac:dyDescent="0.3">
      <c r="A35" t="s">
        <v>133</v>
      </c>
      <c r="B35" t="s">
        <v>36</v>
      </c>
      <c r="C35">
        <v>1</v>
      </c>
      <c r="D35" s="1">
        <v>44855</v>
      </c>
      <c r="E35">
        <v>9082</v>
      </c>
      <c r="F35">
        <v>56</v>
      </c>
      <c r="G35">
        <v>242</v>
      </c>
      <c r="H35">
        <v>142</v>
      </c>
      <c r="I35">
        <v>165</v>
      </c>
      <c r="J35">
        <v>9</v>
      </c>
      <c r="K35">
        <v>310</v>
      </c>
      <c r="L35">
        <v>999748277</v>
      </c>
      <c r="M35">
        <v>97</v>
      </c>
      <c r="N35" t="s">
        <v>134</v>
      </c>
      <c r="O35" t="s">
        <v>28</v>
      </c>
      <c r="P35">
        <v>64</v>
      </c>
      <c r="Q35">
        <v>51</v>
      </c>
      <c r="R35" t="str" cm="1">
        <f t="array" ref="R35">_xlfn.IFS(Q35&gt;70,"Good",Q35&lt;40,"Bad",(Q35&gt;OS73*(Q35&lt;80)),"Ok")</f>
        <v>Ok</v>
      </c>
      <c r="S35">
        <v>63</v>
      </c>
      <c r="T35" t="str" cm="1">
        <f t="array" ref="T35">_xlfn.IFS(S35&gt;50, "High", S35&lt;=50, "Low")</f>
        <v>High</v>
      </c>
      <c r="U35">
        <v>12</v>
      </c>
      <c r="V35">
        <v>0</v>
      </c>
      <c r="W35">
        <v>19</v>
      </c>
      <c r="X35">
        <v>5</v>
      </c>
      <c r="Y35">
        <f t="shared" ca="1" si="0"/>
        <v>92.415307700345124</v>
      </c>
      <c r="AA35" s="8" t="s">
        <v>883</v>
      </c>
      <c r="AB35">
        <v>6</v>
      </c>
      <c r="AC35">
        <v>81</v>
      </c>
      <c r="AD35">
        <v>5</v>
      </c>
      <c r="AE35">
        <v>86.384573612349868</v>
      </c>
    </row>
    <row r="36" spans="1:31" x14ac:dyDescent="0.3">
      <c r="A36" t="s">
        <v>136</v>
      </c>
      <c r="B36" t="s">
        <v>137</v>
      </c>
      <c r="C36">
        <v>2</v>
      </c>
      <c r="D36" s="1">
        <v>44980</v>
      </c>
      <c r="E36">
        <v>4284</v>
      </c>
      <c r="F36">
        <v>49</v>
      </c>
      <c r="G36">
        <v>115</v>
      </c>
      <c r="H36">
        <v>123</v>
      </c>
      <c r="I36">
        <v>184</v>
      </c>
      <c r="J36">
        <v>18</v>
      </c>
      <c r="K36">
        <v>354</v>
      </c>
      <c r="L36">
        <v>618990393</v>
      </c>
      <c r="M36">
        <v>180</v>
      </c>
      <c r="N36" t="s">
        <v>134</v>
      </c>
      <c r="O36" t="s">
        <v>45</v>
      </c>
      <c r="P36">
        <v>72</v>
      </c>
      <c r="Q36">
        <v>61</v>
      </c>
      <c r="R36" t="str" cm="1">
        <f t="array" ref="R36">_xlfn.IFS(Q36&gt;70,"Good",Q36&lt;40,"Bad",(Q36&gt;OS74*(Q36&lt;80)),"Ok")</f>
        <v>Ok</v>
      </c>
      <c r="S36">
        <v>63</v>
      </c>
      <c r="T36" t="str" cm="1">
        <f t="array" ref="T36">_xlfn.IFS(S36&gt;50, "High", S36&lt;=50, "Low")</f>
        <v>High</v>
      </c>
      <c r="U36">
        <v>67</v>
      </c>
      <c r="V36">
        <v>0</v>
      </c>
      <c r="W36">
        <v>9</v>
      </c>
      <c r="X36">
        <v>28</v>
      </c>
      <c r="Y36">
        <f t="shared" ca="1" si="0"/>
        <v>99.930601520228066</v>
      </c>
      <c r="AA36" s="8" t="s">
        <v>1385</v>
      </c>
      <c r="AB36">
        <v>12</v>
      </c>
      <c r="AC36">
        <v>79</v>
      </c>
      <c r="AD36">
        <v>31</v>
      </c>
      <c r="AE36">
        <v>85.995016628718432</v>
      </c>
    </row>
    <row r="37" spans="1:31" x14ac:dyDescent="0.3">
      <c r="A37" t="s">
        <v>139</v>
      </c>
      <c r="B37" t="s">
        <v>140</v>
      </c>
      <c r="C37">
        <v>8</v>
      </c>
      <c r="D37" s="1">
        <v>45078</v>
      </c>
      <c r="E37">
        <v>1150</v>
      </c>
      <c r="F37">
        <v>31</v>
      </c>
      <c r="G37">
        <v>22</v>
      </c>
      <c r="H37">
        <v>33</v>
      </c>
      <c r="I37">
        <v>34</v>
      </c>
      <c r="J37">
        <v>7</v>
      </c>
      <c r="K37">
        <v>184</v>
      </c>
      <c r="L37">
        <v>123122413</v>
      </c>
      <c r="M37">
        <v>120</v>
      </c>
      <c r="O37" t="s">
        <v>28</v>
      </c>
      <c r="P37">
        <v>81</v>
      </c>
      <c r="Q37">
        <v>63</v>
      </c>
      <c r="R37" t="str" cm="1">
        <f t="array" ref="R37">_xlfn.IFS(Q37&gt;70,"Good",Q37&lt;40,"Bad",(Q37&gt;OS75*(Q37&lt;80)),"Ok")</f>
        <v>Ok</v>
      </c>
      <c r="S37">
        <v>68</v>
      </c>
      <c r="T37" t="str" cm="1">
        <f t="array" ref="T37">_xlfn.IFS(S37&gt;50, "High", S37&lt;=50, "Low")</f>
        <v>High</v>
      </c>
      <c r="U37">
        <v>11</v>
      </c>
      <c r="V37">
        <v>0</v>
      </c>
      <c r="W37">
        <v>11</v>
      </c>
      <c r="X37">
        <v>4</v>
      </c>
      <c r="Y37">
        <f t="shared" ca="1" si="0"/>
        <v>49.880884146656456</v>
      </c>
      <c r="AA37" s="8" t="s">
        <v>1481</v>
      </c>
      <c r="AB37">
        <v>6</v>
      </c>
      <c r="AC37">
        <v>56</v>
      </c>
      <c r="AD37">
        <v>67</v>
      </c>
      <c r="AE37">
        <v>85.59756072222649</v>
      </c>
    </row>
    <row r="38" spans="1:31" x14ac:dyDescent="0.3">
      <c r="A38" t="s">
        <v>142</v>
      </c>
      <c r="B38" t="s">
        <v>143</v>
      </c>
      <c r="C38">
        <v>2</v>
      </c>
      <c r="D38" s="1">
        <v>45023</v>
      </c>
      <c r="E38">
        <v>672</v>
      </c>
      <c r="F38">
        <v>34</v>
      </c>
      <c r="G38">
        <v>19</v>
      </c>
      <c r="H38">
        <v>108</v>
      </c>
      <c r="I38">
        <v>24</v>
      </c>
      <c r="J38">
        <v>9</v>
      </c>
      <c r="K38">
        <v>212</v>
      </c>
      <c r="L38">
        <v>188933502</v>
      </c>
      <c r="M38">
        <v>150</v>
      </c>
      <c r="N38" t="s">
        <v>65</v>
      </c>
      <c r="O38" t="s">
        <v>28</v>
      </c>
      <c r="P38">
        <v>61</v>
      </c>
      <c r="Q38">
        <v>39</v>
      </c>
      <c r="R38" t="str" cm="1">
        <f t="array" ref="R38">_xlfn.IFS(Q38&gt;70,"Good",Q38&lt;40,"Bad",(Q38&gt;OS76*(Q38&lt;80)),"Ok")</f>
        <v>Bad</v>
      </c>
      <c r="S38">
        <v>73</v>
      </c>
      <c r="T38" t="str" cm="1">
        <f t="array" ref="T38">_xlfn.IFS(S38&gt;50, "High", S38&lt;=50, "Low")</f>
        <v>High</v>
      </c>
      <c r="U38">
        <v>37</v>
      </c>
      <c r="V38">
        <v>0</v>
      </c>
      <c r="W38">
        <v>11</v>
      </c>
      <c r="X38">
        <v>3</v>
      </c>
      <c r="Y38">
        <f t="shared" ca="1" si="0"/>
        <v>24.978284814884944</v>
      </c>
      <c r="AA38" s="8" t="s">
        <v>1468</v>
      </c>
      <c r="AB38">
        <v>25</v>
      </c>
      <c r="AC38">
        <v>63</v>
      </c>
      <c r="AD38">
        <v>43</v>
      </c>
      <c r="AE38">
        <v>84.074890856275374</v>
      </c>
    </row>
    <row r="39" spans="1:31" x14ac:dyDescent="0.3">
      <c r="A39" t="s">
        <v>145</v>
      </c>
      <c r="B39" t="s">
        <v>36</v>
      </c>
      <c r="C39">
        <v>1</v>
      </c>
      <c r="D39" s="1">
        <v>41640</v>
      </c>
      <c r="E39">
        <v>11434</v>
      </c>
      <c r="F39">
        <v>53</v>
      </c>
      <c r="G39">
        <v>154</v>
      </c>
      <c r="H39">
        <v>123</v>
      </c>
      <c r="I39">
        <v>410</v>
      </c>
      <c r="J39">
        <v>2</v>
      </c>
      <c r="K39">
        <v>81</v>
      </c>
      <c r="L39">
        <v>1355959075</v>
      </c>
      <c r="M39">
        <v>96</v>
      </c>
      <c r="N39" t="s">
        <v>34</v>
      </c>
      <c r="O39" t="s">
        <v>28</v>
      </c>
      <c r="P39">
        <v>75</v>
      </c>
      <c r="Q39">
        <v>57</v>
      </c>
      <c r="R39" t="str" cm="1">
        <f t="array" ref="R39">_xlfn.IFS(Q39&gt;70,"Good",Q39&lt;40,"Bad",(Q39&gt;OS77*(Q39&lt;80)),"Ok")</f>
        <v>Ok</v>
      </c>
      <c r="S39">
        <v>68</v>
      </c>
      <c r="T39" t="str" cm="1">
        <f t="array" ref="T39">_xlfn.IFS(S39&gt;50, "High", S39&lt;=50, "Low")</f>
        <v>High</v>
      </c>
      <c r="U39">
        <v>9</v>
      </c>
      <c r="V39">
        <v>0</v>
      </c>
      <c r="W39">
        <v>13</v>
      </c>
      <c r="X39">
        <v>6</v>
      </c>
      <c r="Y39">
        <f t="shared" ca="1" si="0"/>
        <v>14.459086883235129</v>
      </c>
      <c r="AA39" s="8" t="s">
        <v>1169</v>
      </c>
      <c r="AB39">
        <v>11</v>
      </c>
      <c r="AC39">
        <v>77</v>
      </c>
      <c r="AD39">
        <v>58</v>
      </c>
      <c r="AE39">
        <v>83.973079877739394</v>
      </c>
    </row>
    <row r="40" spans="1:31" x14ac:dyDescent="0.3">
      <c r="A40" t="s">
        <v>147</v>
      </c>
      <c r="B40" t="s">
        <v>36</v>
      </c>
      <c r="C40">
        <v>1</v>
      </c>
      <c r="D40" s="1">
        <v>41640</v>
      </c>
      <c r="E40">
        <v>7830</v>
      </c>
      <c r="F40">
        <v>42</v>
      </c>
      <c r="G40">
        <v>94</v>
      </c>
      <c r="H40">
        <v>111</v>
      </c>
      <c r="I40">
        <v>151</v>
      </c>
      <c r="J40">
        <v>4</v>
      </c>
      <c r="K40">
        <v>82</v>
      </c>
      <c r="L40">
        <v>786181836</v>
      </c>
      <c r="M40">
        <v>95</v>
      </c>
      <c r="N40" t="s">
        <v>61</v>
      </c>
      <c r="O40" t="s">
        <v>28</v>
      </c>
      <c r="P40">
        <v>60</v>
      </c>
      <c r="Q40">
        <v>48</v>
      </c>
      <c r="R40" t="str" cm="1">
        <f t="array" ref="R40">_xlfn.IFS(Q40&gt;70,"Good",Q40&lt;40,"Bad",(Q40&gt;OS78*(Q40&lt;80)),"Ok")</f>
        <v>Ok</v>
      </c>
      <c r="S40">
        <v>79</v>
      </c>
      <c r="T40" t="str" cm="1">
        <f t="array" ref="T40">_xlfn.IFS(S40&gt;50, "High", S40&lt;=50, "Low")</f>
        <v>High</v>
      </c>
      <c r="U40">
        <v>0</v>
      </c>
      <c r="V40">
        <v>0</v>
      </c>
      <c r="W40">
        <v>12</v>
      </c>
      <c r="X40">
        <v>4</v>
      </c>
      <c r="Y40">
        <f t="shared" ca="1" si="0"/>
        <v>40.19833037605197</v>
      </c>
      <c r="AA40" s="8" t="s">
        <v>1018</v>
      </c>
      <c r="AB40">
        <v>60</v>
      </c>
      <c r="AC40">
        <v>41</v>
      </c>
      <c r="AD40">
        <v>36</v>
      </c>
      <c r="AE40">
        <v>82.842113778506913</v>
      </c>
    </row>
    <row r="41" spans="1:31" x14ac:dyDescent="0.3">
      <c r="A41" t="s">
        <v>149</v>
      </c>
      <c r="B41" t="s">
        <v>110</v>
      </c>
      <c r="C41">
        <v>1</v>
      </c>
      <c r="D41" s="1">
        <v>45065</v>
      </c>
      <c r="E41">
        <v>584</v>
      </c>
      <c r="F41">
        <v>28</v>
      </c>
      <c r="G41">
        <v>16</v>
      </c>
      <c r="H41">
        <v>159</v>
      </c>
      <c r="I41">
        <v>15</v>
      </c>
      <c r="J41">
        <v>6</v>
      </c>
      <c r="K41">
        <v>100</v>
      </c>
      <c r="L41">
        <v>176553476</v>
      </c>
      <c r="M41">
        <v>125</v>
      </c>
      <c r="N41" t="s">
        <v>34</v>
      </c>
      <c r="O41" t="s">
        <v>45</v>
      </c>
      <c r="P41">
        <v>79</v>
      </c>
      <c r="Q41">
        <v>96</v>
      </c>
      <c r="R41" t="str" cm="1">
        <f t="array" ref="R41">_xlfn.IFS(Q41&gt;70,"Good",Q41&lt;40,"Bad",(Q41&gt;OS79*(Q41&lt;80)),"Ok")</f>
        <v>Good</v>
      </c>
      <c r="S41">
        <v>85</v>
      </c>
      <c r="T41" t="str" cm="1">
        <f t="array" ref="T41">_xlfn.IFS(S41&gt;50, "High", S41&lt;=50, "Low")</f>
        <v>High</v>
      </c>
      <c r="U41">
        <v>27</v>
      </c>
      <c r="V41">
        <v>0</v>
      </c>
      <c r="W41">
        <v>11</v>
      </c>
      <c r="X41">
        <v>6</v>
      </c>
      <c r="Y41">
        <f t="shared" ca="1" si="0"/>
        <v>24.230063717156991</v>
      </c>
      <c r="AA41" s="8" t="s">
        <v>930</v>
      </c>
      <c r="AB41">
        <v>9</v>
      </c>
      <c r="AC41">
        <v>72</v>
      </c>
      <c r="AD41">
        <v>48</v>
      </c>
      <c r="AE41">
        <v>81.697030061329585</v>
      </c>
    </row>
    <row r="42" spans="1:31" x14ac:dyDescent="0.3">
      <c r="A42" t="s">
        <v>151</v>
      </c>
      <c r="B42" t="s">
        <v>152</v>
      </c>
      <c r="C42">
        <v>2</v>
      </c>
      <c r="D42" s="1">
        <v>44967</v>
      </c>
      <c r="E42">
        <v>692</v>
      </c>
      <c r="F42">
        <v>25</v>
      </c>
      <c r="G42">
        <v>10</v>
      </c>
      <c r="H42">
        <v>107</v>
      </c>
      <c r="I42">
        <v>6</v>
      </c>
      <c r="J42">
        <v>3</v>
      </c>
      <c r="K42">
        <v>62</v>
      </c>
      <c r="L42">
        <v>354495408</v>
      </c>
      <c r="M42">
        <v>144</v>
      </c>
      <c r="N42" t="s">
        <v>37</v>
      </c>
      <c r="O42" t="s">
        <v>45</v>
      </c>
      <c r="P42">
        <v>56</v>
      </c>
      <c r="Q42">
        <v>84</v>
      </c>
      <c r="R42" t="str" cm="1">
        <f t="array" ref="R42">_xlfn.IFS(Q42&gt;70,"Good",Q42&lt;40,"Bad",(Q42&gt;OS80*(Q42&lt;80)),"Ok")</f>
        <v>Good</v>
      </c>
      <c r="S42">
        <v>65</v>
      </c>
      <c r="T42" t="str" cm="1">
        <f t="array" ref="T42">_xlfn.IFS(S42&gt;50, "High", S42&lt;=50, "Low")</f>
        <v>High</v>
      </c>
      <c r="U42">
        <v>23</v>
      </c>
      <c r="V42">
        <v>0</v>
      </c>
      <c r="W42">
        <v>10</v>
      </c>
      <c r="X42">
        <v>6</v>
      </c>
      <c r="Y42">
        <f t="shared" ca="1" si="0"/>
        <v>10.892832177790869</v>
      </c>
      <c r="AA42" s="8" t="s">
        <v>1590</v>
      </c>
      <c r="AB42">
        <v>9</v>
      </c>
      <c r="AC42">
        <v>49</v>
      </c>
      <c r="AD42">
        <v>0</v>
      </c>
      <c r="AE42">
        <v>81.477486579066223</v>
      </c>
    </row>
    <row r="43" spans="1:31" x14ac:dyDescent="0.3">
      <c r="A43" t="s">
        <v>154</v>
      </c>
      <c r="B43" t="s">
        <v>155</v>
      </c>
      <c r="C43">
        <v>2</v>
      </c>
      <c r="D43" s="1">
        <v>43382</v>
      </c>
      <c r="E43">
        <v>24094</v>
      </c>
      <c r="F43">
        <v>78</v>
      </c>
      <c r="G43">
        <v>372</v>
      </c>
      <c r="H43">
        <v>117</v>
      </c>
      <c r="I43">
        <v>843</v>
      </c>
      <c r="J43">
        <v>4</v>
      </c>
      <c r="K43">
        <v>69</v>
      </c>
      <c r="L43">
        <v>2808096550</v>
      </c>
      <c r="M43">
        <v>90</v>
      </c>
      <c r="N43" t="s">
        <v>61</v>
      </c>
      <c r="O43" t="s">
        <v>28</v>
      </c>
      <c r="P43">
        <v>76</v>
      </c>
      <c r="Q43">
        <v>91</v>
      </c>
      <c r="R43" t="str" cm="1">
        <f t="array" ref="R43">_xlfn.IFS(Q43&gt;70,"Good",Q43&lt;40,"Bad",(Q43&gt;OS81*(Q43&lt;80)),"Ok")</f>
        <v>Good</v>
      </c>
      <c r="S43">
        <v>50</v>
      </c>
      <c r="T43" t="str" cm="1">
        <f t="array" ref="T43">_xlfn.IFS(S43&gt;50, "High", S43&lt;=50, "Low")</f>
        <v>Low</v>
      </c>
      <c r="U43">
        <v>54</v>
      </c>
      <c r="V43">
        <v>0</v>
      </c>
      <c r="W43">
        <v>7</v>
      </c>
      <c r="X43">
        <v>5</v>
      </c>
      <c r="Y43">
        <f t="shared" ca="1" si="0"/>
        <v>26.2577442608107</v>
      </c>
      <c r="AA43" s="8" t="s">
        <v>1614</v>
      </c>
      <c r="AB43">
        <v>25</v>
      </c>
      <c r="AC43">
        <v>64</v>
      </c>
      <c r="AD43">
        <v>1</v>
      </c>
      <c r="AE43">
        <v>81.186913070716841</v>
      </c>
    </row>
    <row r="44" spans="1:31" x14ac:dyDescent="0.3">
      <c r="A44" t="s">
        <v>157</v>
      </c>
      <c r="B44" t="s">
        <v>158</v>
      </c>
      <c r="C44">
        <v>2</v>
      </c>
      <c r="D44" s="1">
        <v>44799</v>
      </c>
      <c r="E44">
        <v>12482</v>
      </c>
      <c r="F44">
        <v>80</v>
      </c>
      <c r="G44">
        <v>291</v>
      </c>
      <c r="H44">
        <v>184</v>
      </c>
      <c r="I44">
        <v>537</v>
      </c>
      <c r="J44">
        <v>45</v>
      </c>
      <c r="K44">
        <v>727</v>
      </c>
      <c r="L44">
        <v>1109433169</v>
      </c>
      <c r="M44">
        <v>128</v>
      </c>
      <c r="N44" t="s">
        <v>94</v>
      </c>
      <c r="O44" t="s">
        <v>45</v>
      </c>
      <c r="P44">
        <v>56</v>
      </c>
      <c r="Q44">
        <v>38</v>
      </c>
      <c r="R44" t="str" cm="1">
        <f t="array" ref="R44">_xlfn.IFS(Q44&gt;70,"Good",Q44&lt;40,"Bad",(Q44&gt;OS82*(Q44&lt;80)),"Ok")</f>
        <v>Bad</v>
      </c>
      <c r="S44">
        <v>97</v>
      </c>
      <c r="T44" t="str" cm="1">
        <f t="array" ref="T44">_xlfn.IFS(S44&gt;50, "High", S44&lt;=50, "Low")</f>
        <v>High</v>
      </c>
      <c r="U44">
        <v>4</v>
      </c>
      <c r="V44">
        <v>0</v>
      </c>
      <c r="W44">
        <v>35</v>
      </c>
      <c r="X44">
        <v>4</v>
      </c>
      <c r="Y44">
        <f t="shared" ca="1" si="0"/>
        <v>17.380220060922337</v>
      </c>
      <c r="AA44" s="8" t="s">
        <v>238</v>
      </c>
      <c r="AB44">
        <v>25</v>
      </c>
      <c r="AC44">
        <v>51</v>
      </c>
      <c r="AD44">
        <v>65</v>
      </c>
      <c r="AE44">
        <v>80.800586328391105</v>
      </c>
    </row>
    <row r="45" spans="1:31" x14ac:dyDescent="0.3">
      <c r="A45" t="s">
        <v>159</v>
      </c>
      <c r="B45" t="s">
        <v>160</v>
      </c>
      <c r="C45">
        <v>3</v>
      </c>
      <c r="D45" s="1">
        <v>42937</v>
      </c>
      <c r="E45">
        <v>13387</v>
      </c>
      <c r="F45">
        <v>64</v>
      </c>
      <c r="G45">
        <v>77</v>
      </c>
      <c r="H45">
        <v>58</v>
      </c>
      <c r="I45">
        <v>247</v>
      </c>
      <c r="J45">
        <v>1</v>
      </c>
      <c r="K45">
        <v>311</v>
      </c>
      <c r="L45">
        <v>1047101291</v>
      </c>
      <c r="M45">
        <v>79</v>
      </c>
      <c r="N45" t="s">
        <v>65</v>
      </c>
      <c r="O45" t="s">
        <v>28</v>
      </c>
      <c r="P45">
        <v>56</v>
      </c>
      <c r="Q45">
        <v>58</v>
      </c>
      <c r="R45" t="str" cm="1">
        <f t="array" ref="R45">_xlfn.IFS(Q45&gt;70,"Good",Q45&lt;40,"Bad",(Q45&gt;OS83*(Q45&lt;80)),"Ok")</f>
        <v>Ok</v>
      </c>
      <c r="S45">
        <v>56</v>
      </c>
      <c r="T45" t="str" cm="1">
        <f t="array" ref="T45">_xlfn.IFS(S45&gt;50, "High", S45&lt;=50, "Low")</f>
        <v>High</v>
      </c>
      <c r="U45">
        <v>37</v>
      </c>
      <c r="V45">
        <v>0</v>
      </c>
      <c r="W45">
        <v>11</v>
      </c>
      <c r="X45">
        <v>10</v>
      </c>
      <c r="Y45">
        <f t="shared" ca="1" si="0"/>
        <v>64.533242549951368</v>
      </c>
      <c r="AA45" s="8" t="s">
        <v>232</v>
      </c>
      <c r="AB45">
        <v>15</v>
      </c>
      <c r="AC45">
        <v>51</v>
      </c>
      <c r="AD45">
        <v>1</v>
      </c>
      <c r="AE45">
        <v>80.698554545338752</v>
      </c>
    </row>
    <row r="46" spans="1:31" x14ac:dyDescent="0.3">
      <c r="A46" t="s">
        <v>162</v>
      </c>
      <c r="B46" t="s">
        <v>163</v>
      </c>
      <c r="C46">
        <v>3</v>
      </c>
      <c r="D46" s="1">
        <v>45100</v>
      </c>
      <c r="E46">
        <v>1117</v>
      </c>
      <c r="F46">
        <v>80</v>
      </c>
      <c r="G46">
        <v>82</v>
      </c>
      <c r="H46">
        <v>145</v>
      </c>
      <c r="I46">
        <v>65</v>
      </c>
      <c r="J46">
        <v>16</v>
      </c>
      <c r="K46" s="2">
        <v>1133</v>
      </c>
      <c r="L46">
        <v>65156199</v>
      </c>
      <c r="M46">
        <v>144</v>
      </c>
      <c r="O46" t="s">
        <v>28</v>
      </c>
      <c r="P46">
        <v>77</v>
      </c>
      <c r="Q46">
        <v>75</v>
      </c>
      <c r="R46" t="str" cm="1">
        <f t="array" ref="R46">_xlfn.IFS(Q46&gt;70,"Good",Q46&lt;40,"Bad",(Q46&gt;OS84*(Q46&lt;80)),"Ok")</f>
        <v>Good</v>
      </c>
      <c r="S46">
        <v>58</v>
      </c>
      <c r="T46" t="str" cm="1">
        <f t="array" ref="T46">_xlfn.IFS(S46&gt;50, "High", S46&lt;=50, "Low")</f>
        <v>High</v>
      </c>
      <c r="U46">
        <v>52</v>
      </c>
      <c r="V46">
        <v>0</v>
      </c>
      <c r="W46">
        <v>23</v>
      </c>
      <c r="X46">
        <v>25</v>
      </c>
      <c r="Y46">
        <f t="shared" ca="1" si="0"/>
        <v>46.004319833974918</v>
      </c>
      <c r="AA46" s="8" t="s">
        <v>1475</v>
      </c>
      <c r="AB46">
        <v>51</v>
      </c>
      <c r="AC46">
        <v>71</v>
      </c>
      <c r="AD46">
        <v>2</v>
      </c>
      <c r="AE46">
        <v>80.351284839375083</v>
      </c>
    </row>
    <row r="47" spans="1:31" x14ac:dyDescent="0.3">
      <c r="A47" t="s">
        <v>165</v>
      </c>
      <c r="B47" t="s">
        <v>71</v>
      </c>
      <c r="C47">
        <v>1</v>
      </c>
      <c r="D47" s="1">
        <v>44162</v>
      </c>
      <c r="E47">
        <v>3372</v>
      </c>
      <c r="F47">
        <v>19</v>
      </c>
      <c r="G47">
        <v>65</v>
      </c>
      <c r="H47">
        <v>48</v>
      </c>
      <c r="I47">
        <v>138</v>
      </c>
      <c r="J47">
        <v>1</v>
      </c>
      <c r="K47">
        <v>102</v>
      </c>
      <c r="L47">
        <v>570515054</v>
      </c>
      <c r="M47">
        <v>122</v>
      </c>
      <c r="N47" t="s">
        <v>34</v>
      </c>
      <c r="O47" t="s">
        <v>28</v>
      </c>
      <c r="P47">
        <v>67</v>
      </c>
      <c r="Q47">
        <v>49</v>
      </c>
      <c r="R47" t="str" cm="1">
        <f t="array" ref="R47">_xlfn.IFS(Q47&gt;70,"Good",Q47&lt;40,"Bad",(Q47&gt;OS85*(Q47&lt;80)),"Ok")</f>
        <v>Ok</v>
      </c>
      <c r="S47">
        <v>64</v>
      </c>
      <c r="T47" t="str" cm="1">
        <f t="array" ref="T47">_xlfn.IFS(S47&gt;50, "High", S47&lt;=50, "Low")</f>
        <v>High</v>
      </c>
      <c r="U47">
        <v>10</v>
      </c>
      <c r="V47">
        <v>0</v>
      </c>
      <c r="W47">
        <v>10</v>
      </c>
      <c r="X47">
        <v>3</v>
      </c>
      <c r="Y47">
        <f t="shared" ca="1" si="0"/>
        <v>81.746666405454249</v>
      </c>
      <c r="AA47" s="8" t="s">
        <v>1236</v>
      </c>
      <c r="AB47">
        <v>34</v>
      </c>
      <c r="AC47">
        <v>37</v>
      </c>
      <c r="AD47">
        <v>2</v>
      </c>
      <c r="AE47">
        <v>80.176068041446229</v>
      </c>
    </row>
    <row r="48" spans="1:31" x14ac:dyDescent="0.3">
      <c r="A48" t="s">
        <v>167</v>
      </c>
      <c r="B48" t="s">
        <v>168</v>
      </c>
      <c r="C48">
        <v>1</v>
      </c>
      <c r="D48" s="1">
        <v>44694</v>
      </c>
      <c r="E48">
        <v>8431</v>
      </c>
      <c r="F48">
        <v>76</v>
      </c>
      <c r="G48">
        <v>241</v>
      </c>
      <c r="H48">
        <v>127</v>
      </c>
      <c r="I48">
        <v>458</v>
      </c>
      <c r="J48">
        <v>37</v>
      </c>
      <c r="K48">
        <v>332</v>
      </c>
      <c r="L48">
        <v>1085685420</v>
      </c>
      <c r="M48">
        <v>140</v>
      </c>
      <c r="O48" t="s">
        <v>28</v>
      </c>
      <c r="P48">
        <v>71</v>
      </c>
      <c r="Q48">
        <v>82</v>
      </c>
      <c r="R48" t="str" cm="1">
        <f t="array" ref="R48">_xlfn.IFS(Q48&gt;70,"Good",Q48&lt;40,"Bad",(Q48&gt;OS86*(Q48&lt;80)),"Ok")</f>
        <v>Good</v>
      </c>
      <c r="S48">
        <v>81</v>
      </c>
      <c r="T48" t="str" cm="1">
        <f t="array" ref="T48">_xlfn.IFS(S48&gt;50, "High", S48&lt;=50, "Low")</f>
        <v>High</v>
      </c>
      <c r="U48">
        <v>11</v>
      </c>
      <c r="V48">
        <v>0</v>
      </c>
      <c r="W48">
        <v>6</v>
      </c>
      <c r="X48">
        <v>5</v>
      </c>
      <c r="Y48">
        <f t="shared" ca="1" si="0"/>
        <v>6.6355757512534534</v>
      </c>
      <c r="AA48" s="8" t="s">
        <v>757</v>
      </c>
      <c r="AB48">
        <v>38</v>
      </c>
      <c r="AC48">
        <v>64</v>
      </c>
      <c r="AD48">
        <v>46</v>
      </c>
      <c r="AE48">
        <v>80.172546296802892</v>
      </c>
    </row>
    <row r="49" spans="1:31" x14ac:dyDescent="0.3">
      <c r="A49" t="s">
        <v>170</v>
      </c>
      <c r="B49" t="s">
        <v>171</v>
      </c>
      <c r="C49">
        <v>1</v>
      </c>
      <c r="D49" s="1">
        <v>42698</v>
      </c>
      <c r="E49">
        <v>2483</v>
      </c>
      <c r="F49">
        <v>59</v>
      </c>
      <c r="G49">
        <v>68</v>
      </c>
      <c r="H49">
        <v>21</v>
      </c>
      <c r="I49">
        <v>24</v>
      </c>
      <c r="J49">
        <v>0</v>
      </c>
      <c r="K49">
        <v>259</v>
      </c>
      <c r="L49">
        <v>1647990401</v>
      </c>
      <c r="M49">
        <v>134</v>
      </c>
      <c r="N49" t="s">
        <v>31</v>
      </c>
      <c r="O49" t="s">
        <v>45</v>
      </c>
      <c r="P49">
        <v>59</v>
      </c>
      <c r="Q49">
        <v>51</v>
      </c>
      <c r="R49" t="str" cm="1">
        <f t="array" ref="R49">_xlfn.IFS(Q49&gt;70,"Good",Q49&lt;40,"Bad",(Q49&gt;OS87*(Q49&lt;80)),"Ok")</f>
        <v>Ok</v>
      </c>
      <c r="S49">
        <v>52</v>
      </c>
      <c r="T49" t="str" cm="1">
        <f t="array" ref="T49">_xlfn.IFS(S49&gt;50, "High", S49&lt;=50, "Low")</f>
        <v>High</v>
      </c>
      <c r="U49">
        <v>9</v>
      </c>
      <c r="V49">
        <v>0</v>
      </c>
      <c r="W49">
        <v>15</v>
      </c>
      <c r="X49">
        <v>7</v>
      </c>
      <c r="Y49">
        <f t="shared" ca="1" si="0"/>
        <v>45.501113598946361</v>
      </c>
      <c r="AA49" s="8" t="s">
        <v>1381</v>
      </c>
      <c r="AB49">
        <v>12</v>
      </c>
      <c r="AC49">
        <v>81</v>
      </c>
      <c r="AD49">
        <v>38</v>
      </c>
      <c r="AE49">
        <v>80.028057859495974</v>
      </c>
    </row>
    <row r="50" spans="1:31" x14ac:dyDescent="0.3">
      <c r="A50" t="s">
        <v>173</v>
      </c>
      <c r="B50" t="s">
        <v>174</v>
      </c>
      <c r="C50">
        <v>2</v>
      </c>
      <c r="D50" s="1">
        <v>42634</v>
      </c>
      <c r="E50">
        <v>29536</v>
      </c>
      <c r="F50">
        <v>79</v>
      </c>
      <c r="G50">
        <v>281</v>
      </c>
      <c r="H50">
        <v>137</v>
      </c>
      <c r="I50" s="2">
        <v>2445</v>
      </c>
      <c r="J50">
        <v>1</v>
      </c>
      <c r="K50">
        <v>140</v>
      </c>
      <c r="L50">
        <v>2565529693</v>
      </c>
      <c r="M50">
        <v>186</v>
      </c>
      <c r="N50" t="s">
        <v>94</v>
      </c>
      <c r="O50" t="s">
        <v>28</v>
      </c>
      <c r="P50">
        <v>68</v>
      </c>
      <c r="Q50">
        <v>49</v>
      </c>
      <c r="R50" t="str" cm="1">
        <f t="array" ref="R50">_xlfn.IFS(Q50&gt;70,"Good",Q50&lt;40,"Bad",(Q50&gt;OS88*(Q50&lt;80)),"Ok")</f>
        <v>Ok</v>
      </c>
      <c r="S50">
        <v>59</v>
      </c>
      <c r="T50" t="str" cm="1">
        <f t="array" ref="T50">_xlfn.IFS(S50&gt;50, "High", S50&lt;=50, "Low")</f>
        <v>High</v>
      </c>
      <c r="U50">
        <v>16</v>
      </c>
      <c r="V50">
        <v>0</v>
      </c>
      <c r="W50">
        <v>13</v>
      </c>
      <c r="X50">
        <v>28</v>
      </c>
      <c r="Y50">
        <f t="shared" ca="1" si="0"/>
        <v>7.6829516389918755</v>
      </c>
      <c r="AA50" s="8" t="s">
        <v>1273</v>
      </c>
      <c r="AB50">
        <v>21</v>
      </c>
      <c r="AC50">
        <v>31</v>
      </c>
      <c r="AD50">
        <v>47</v>
      </c>
      <c r="AE50">
        <v>79.932250977402859</v>
      </c>
    </row>
    <row r="51" spans="1:31" x14ac:dyDescent="0.3">
      <c r="A51" t="s">
        <v>176</v>
      </c>
      <c r="B51" t="s">
        <v>177</v>
      </c>
      <c r="C51">
        <v>2</v>
      </c>
      <c r="D51" s="1">
        <v>44981</v>
      </c>
      <c r="E51">
        <v>3408</v>
      </c>
      <c r="F51">
        <v>47</v>
      </c>
      <c r="G51">
        <v>87</v>
      </c>
      <c r="H51">
        <v>86</v>
      </c>
      <c r="I51">
        <v>74</v>
      </c>
      <c r="J51">
        <v>1</v>
      </c>
      <c r="K51">
        <v>16</v>
      </c>
      <c r="L51">
        <v>518745108</v>
      </c>
      <c r="M51">
        <v>67</v>
      </c>
      <c r="N51" t="s">
        <v>31</v>
      </c>
      <c r="O51" t="s">
        <v>45</v>
      </c>
      <c r="P51">
        <v>53</v>
      </c>
      <c r="Q51">
        <v>50</v>
      </c>
      <c r="R51" t="str" cm="1">
        <f t="array" ref="R51">_xlfn.IFS(Q51&gt;70,"Good",Q51&lt;40,"Bad",(Q51&gt;OS89*(Q51&lt;80)),"Ok")</f>
        <v>Ok</v>
      </c>
      <c r="S51">
        <v>53</v>
      </c>
      <c r="T51" t="str" cm="1">
        <f t="array" ref="T51">_xlfn.IFS(S51&gt;50, "High", S51&lt;=50, "Low")</f>
        <v>High</v>
      </c>
      <c r="U51">
        <v>23</v>
      </c>
      <c r="V51">
        <v>0</v>
      </c>
      <c r="W51">
        <v>44</v>
      </c>
      <c r="X51">
        <v>7</v>
      </c>
      <c r="Y51">
        <f t="shared" ca="1" si="0"/>
        <v>2.5190607197047354</v>
      </c>
      <c r="AA51" s="8" t="s">
        <v>760</v>
      </c>
      <c r="AB51">
        <v>19</v>
      </c>
      <c r="AC51">
        <v>66</v>
      </c>
      <c r="AD51">
        <v>17</v>
      </c>
      <c r="AE51">
        <v>79.244265057595612</v>
      </c>
    </row>
    <row r="52" spans="1:31" x14ac:dyDescent="0.3">
      <c r="A52" t="s">
        <v>179</v>
      </c>
      <c r="B52" t="s">
        <v>180</v>
      </c>
      <c r="C52">
        <v>3</v>
      </c>
      <c r="D52" s="1">
        <v>45079</v>
      </c>
      <c r="E52">
        <v>1298</v>
      </c>
      <c r="F52">
        <v>38</v>
      </c>
      <c r="G52">
        <v>44</v>
      </c>
      <c r="H52">
        <v>64</v>
      </c>
      <c r="I52">
        <v>57</v>
      </c>
      <c r="J52">
        <v>10</v>
      </c>
      <c r="K52">
        <v>110</v>
      </c>
      <c r="L52">
        <v>107753850</v>
      </c>
      <c r="M52">
        <v>106</v>
      </c>
      <c r="N52" t="s">
        <v>181</v>
      </c>
      <c r="O52" t="s">
        <v>45</v>
      </c>
      <c r="P52">
        <v>72</v>
      </c>
      <c r="Q52">
        <v>17</v>
      </c>
      <c r="R52" t="str" cm="1">
        <f t="array" ref="R52">_xlfn.IFS(Q52&gt;70,"Good",Q52&lt;40,"Bad",(Q52&gt;OS90*(Q52&lt;80)),"Ok")</f>
        <v>Bad</v>
      </c>
      <c r="S52">
        <v>64</v>
      </c>
      <c r="T52" t="str" cm="1">
        <f t="array" ref="T52">_xlfn.IFS(S52&gt;50, "High", S52&lt;=50, "Low")</f>
        <v>High</v>
      </c>
      <c r="U52">
        <v>7</v>
      </c>
      <c r="V52">
        <v>0</v>
      </c>
      <c r="W52">
        <v>10</v>
      </c>
      <c r="X52">
        <v>5</v>
      </c>
      <c r="Y52">
        <f t="shared" ca="1" si="0"/>
        <v>87.858140803320069</v>
      </c>
      <c r="AA52" s="8" t="s">
        <v>1515</v>
      </c>
      <c r="AB52">
        <v>3</v>
      </c>
      <c r="AC52">
        <v>80</v>
      </c>
      <c r="AD52">
        <v>4</v>
      </c>
      <c r="AE52">
        <v>77.677315496338423</v>
      </c>
    </row>
    <row r="53" spans="1:31" x14ac:dyDescent="0.3">
      <c r="A53" t="s">
        <v>183</v>
      </c>
      <c r="B53" t="s">
        <v>184</v>
      </c>
      <c r="C53">
        <v>3</v>
      </c>
      <c r="D53" s="1">
        <v>45022</v>
      </c>
      <c r="E53">
        <v>4277</v>
      </c>
      <c r="F53">
        <v>66</v>
      </c>
      <c r="G53">
        <v>145</v>
      </c>
      <c r="H53">
        <v>111</v>
      </c>
      <c r="I53">
        <v>213</v>
      </c>
      <c r="J53">
        <v>11</v>
      </c>
      <c r="K53">
        <v>810</v>
      </c>
      <c r="L53">
        <v>177740666</v>
      </c>
      <c r="M53">
        <v>128</v>
      </c>
      <c r="N53" t="s">
        <v>94</v>
      </c>
      <c r="O53" t="s">
        <v>28</v>
      </c>
      <c r="P53">
        <v>60</v>
      </c>
      <c r="Q53">
        <v>23</v>
      </c>
      <c r="R53" t="str" cm="1">
        <f t="array" ref="R53">_xlfn.IFS(Q53&gt;70,"Good",Q53&lt;40,"Bad",(Q53&gt;OS91*(Q53&lt;80)),"Ok")</f>
        <v>Bad</v>
      </c>
      <c r="S53">
        <v>91</v>
      </c>
      <c r="T53" t="str" cm="1">
        <f t="array" ref="T53">_xlfn.IFS(S53&gt;50, "High", S53&lt;=50, "Low")</f>
        <v>High</v>
      </c>
      <c r="U53">
        <v>0</v>
      </c>
      <c r="V53">
        <v>0</v>
      </c>
      <c r="W53">
        <v>12</v>
      </c>
      <c r="X53">
        <v>3</v>
      </c>
      <c r="Y53">
        <f t="shared" ca="1" si="0"/>
        <v>18.266597965637455</v>
      </c>
      <c r="AA53" s="8" t="s">
        <v>1095</v>
      </c>
      <c r="AB53">
        <v>42</v>
      </c>
      <c r="AC53">
        <v>44</v>
      </c>
      <c r="AD53">
        <v>61</v>
      </c>
      <c r="AE53">
        <v>77.530844336369583</v>
      </c>
    </row>
    <row r="54" spans="1:31" x14ac:dyDescent="0.3">
      <c r="A54" t="s">
        <v>186</v>
      </c>
      <c r="B54" t="s">
        <v>187</v>
      </c>
      <c r="C54">
        <v>1</v>
      </c>
      <c r="D54" s="1">
        <v>44981</v>
      </c>
      <c r="E54">
        <v>1133</v>
      </c>
      <c r="F54">
        <v>39</v>
      </c>
      <c r="G54">
        <v>14</v>
      </c>
      <c r="H54">
        <v>71</v>
      </c>
      <c r="I54">
        <v>23</v>
      </c>
      <c r="J54">
        <v>10</v>
      </c>
      <c r="K54">
        <v>176</v>
      </c>
      <c r="L54">
        <v>153372011</v>
      </c>
      <c r="M54">
        <v>107</v>
      </c>
      <c r="N54" t="s">
        <v>65</v>
      </c>
      <c r="O54" t="s">
        <v>45</v>
      </c>
      <c r="P54">
        <v>92</v>
      </c>
      <c r="Q54">
        <v>55</v>
      </c>
      <c r="R54" t="str" cm="1">
        <f t="array" ref="R54">_xlfn.IFS(Q54&gt;70,"Good",Q54&lt;40,"Bad",(Q54&gt;OS92*(Q54&lt;80)),"Ok")</f>
        <v>Ok</v>
      </c>
      <c r="S54">
        <v>70</v>
      </c>
      <c r="T54" t="str" cm="1">
        <f t="array" ref="T54">_xlfn.IFS(S54&gt;50, "High", S54&lt;=50, "Low")</f>
        <v>High</v>
      </c>
      <c r="U54">
        <v>18</v>
      </c>
      <c r="V54">
        <v>0</v>
      </c>
      <c r="W54">
        <v>15</v>
      </c>
      <c r="X54">
        <v>7</v>
      </c>
      <c r="Y54">
        <f t="shared" ca="1" si="0"/>
        <v>72.304624027262548</v>
      </c>
      <c r="AA54" s="8" t="s">
        <v>1221</v>
      </c>
      <c r="AB54">
        <v>19</v>
      </c>
      <c r="AC54">
        <v>35</v>
      </c>
      <c r="AD54">
        <v>23</v>
      </c>
      <c r="AE54">
        <v>77.50693990800751</v>
      </c>
    </row>
    <row r="55" spans="1:31" x14ac:dyDescent="0.3">
      <c r="A55" t="s">
        <v>189</v>
      </c>
      <c r="B55" t="s">
        <v>190</v>
      </c>
      <c r="C55">
        <v>1</v>
      </c>
      <c r="D55" s="1">
        <v>45092</v>
      </c>
      <c r="E55">
        <v>2259</v>
      </c>
      <c r="F55">
        <v>59</v>
      </c>
      <c r="G55">
        <v>0</v>
      </c>
      <c r="H55">
        <v>0</v>
      </c>
      <c r="I55">
        <v>109</v>
      </c>
      <c r="J55">
        <v>17</v>
      </c>
      <c r="K55">
        <v>0</v>
      </c>
      <c r="L55">
        <v>57876440</v>
      </c>
      <c r="M55">
        <v>130</v>
      </c>
      <c r="N55" t="s">
        <v>94</v>
      </c>
      <c r="O55" t="s">
        <v>45</v>
      </c>
      <c r="P55">
        <v>67</v>
      </c>
      <c r="Q55">
        <v>96</v>
      </c>
      <c r="R55" t="str" cm="1">
        <f t="array" ref="R55">_xlfn.IFS(Q55&gt;70,"Good",Q55&lt;40,"Bad",(Q55&gt;OS93*(Q55&lt;80)),"Ok")</f>
        <v>Good</v>
      </c>
      <c r="S55">
        <v>88</v>
      </c>
      <c r="T55" t="str" cm="1">
        <f t="array" ref="T55">_xlfn.IFS(S55&gt;50, "High", S55&lt;=50, "Low")</f>
        <v>High</v>
      </c>
      <c r="U55">
        <v>12</v>
      </c>
      <c r="V55">
        <v>19</v>
      </c>
      <c r="W55">
        <v>8</v>
      </c>
      <c r="X55">
        <v>4</v>
      </c>
      <c r="Y55">
        <f t="shared" ca="1" si="0"/>
        <v>63.840606186890405</v>
      </c>
      <c r="AA55" s="8" t="s">
        <v>309</v>
      </c>
      <c r="AB55">
        <v>12</v>
      </c>
      <c r="AC55">
        <v>56</v>
      </c>
      <c r="AD55">
        <v>7</v>
      </c>
      <c r="AE55">
        <v>77.294502968723677</v>
      </c>
    </row>
    <row r="56" spans="1:31" x14ac:dyDescent="0.3">
      <c r="A56" t="s">
        <v>192</v>
      </c>
      <c r="B56" t="s">
        <v>193</v>
      </c>
      <c r="C56">
        <v>1</v>
      </c>
      <c r="D56" s="1">
        <v>41197</v>
      </c>
      <c r="E56">
        <v>18371</v>
      </c>
      <c r="F56">
        <v>83</v>
      </c>
      <c r="G56">
        <v>250</v>
      </c>
      <c r="H56">
        <v>122</v>
      </c>
      <c r="I56" s="2">
        <v>3394</v>
      </c>
      <c r="J56">
        <v>19</v>
      </c>
      <c r="L56">
        <v>1813673666</v>
      </c>
      <c r="M56">
        <v>123</v>
      </c>
      <c r="N56" t="s">
        <v>134</v>
      </c>
      <c r="O56" t="s">
        <v>45</v>
      </c>
      <c r="P56">
        <v>45</v>
      </c>
      <c r="Q56">
        <v>13</v>
      </c>
      <c r="R56" t="str" cm="1">
        <f t="array" ref="R56">_xlfn.IFS(Q56&gt;70,"Good",Q56&lt;40,"Bad",(Q56&gt;OS94*(Q56&lt;80)),"Ok")</f>
        <v>Bad</v>
      </c>
      <c r="S56">
        <v>54</v>
      </c>
      <c r="T56" t="str" cm="1">
        <f t="array" ref="T56">_xlfn.IFS(S56&gt;50, "High", S56&lt;=50, "Low")</f>
        <v>High</v>
      </c>
      <c r="U56">
        <v>70</v>
      </c>
      <c r="V56">
        <v>0</v>
      </c>
      <c r="W56">
        <v>9</v>
      </c>
      <c r="X56">
        <v>4</v>
      </c>
      <c r="Y56">
        <f t="shared" ca="1" si="0"/>
        <v>39.088914601325399</v>
      </c>
      <c r="AA56" s="8" t="s">
        <v>1622</v>
      </c>
      <c r="AB56">
        <v>11</v>
      </c>
      <c r="AC56">
        <v>61</v>
      </c>
      <c r="AD56">
        <v>15</v>
      </c>
      <c r="AE56">
        <v>77.076358336693232</v>
      </c>
    </row>
    <row r="57" spans="1:31" x14ac:dyDescent="0.3">
      <c r="A57" t="s">
        <v>195</v>
      </c>
      <c r="B57" t="s">
        <v>171</v>
      </c>
      <c r="C57">
        <v>1</v>
      </c>
      <c r="D57" s="1">
        <v>43798</v>
      </c>
      <c r="E57">
        <v>43899</v>
      </c>
      <c r="F57">
        <v>69</v>
      </c>
      <c r="G57">
        <v>672</v>
      </c>
      <c r="H57">
        <v>199</v>
      </c>
      <c r="I57" s="2">
        <v>3421</v>
      </c>
      <c r="J57">
        <v>20</v>
      </c>
      <c r="L57">
        <v>3703895074</v>
      </c>
      <c r="M57">
        <v>171</v>
      </c>
      <c r="N57" t="s">
        <v>31</v>
      </c>
      <c r="O57" t="s">
        <v>28</v>
      </c>
      <c r="P57">
        <v>50</v>
      </c>
      <c r="Q57">
        <v>38</v>
      </c>
      <c r="R57" t="str" cm="1">
        <f t="array" ref="R57">_xlfn.IFS(Q57&gt;70,"Good",Q57&lt;40,"Bad",(Q57&gt;OS95*(Q57&lt;80)),"Ok")</f>
        <v>Bad</v>
      </c>
      <c r="S57">
        <v>80</v>
      </c>
      <c r="T57" t="str" cm="1">
        <f t="array" ref="T57">_xlfn.IFS(S57&gt;50, "High", S57&lt;=50, "Low")</f>
        <v>High</v>
      </c>
      <c r="U57">
        <v>0</v>
      </c>
      <c r="V57">
        <v>0</v>
      </c>
      <c r="W57">
        <v>9</v>
      </c>
      <c r="X57">
        <v>7</v>
      </c>
      <c r="Y57">
        <f t="shared" ca="1" si="0"/>
        <v>28.021008039415698</v>
      </c>
      <c r="AA57" s="8" t="s">
        <v>916</v>
      </c>
      <c r="AB57">
        <v>7</v>
      </c>
      <c r="AC57">
        <v>34</v>
      </c>
      <c r="AD57">
        <v>16</v>
      </c>
      <c r="AE57">
        <v>76.823408777880772</v>
      </c>
    </row>
    <row r="58" spans="1:31" x14ac:dyDescent="0.3">
      <c r="A58" t="s">
        <v>197</v>
      </c>
      <c r="B58" t="s">
        <v>198</v>
      </c>
      <c r="C58">
        <v>1</v>
      </c>
      <c r="D58" s="1">
        <v>44981</v>
      </c>
      <c r="E58">
        <v>2649</v>
      </c>
      <c r="F58">
        <v>42</v>
      </c>
      <c r="G58">
        <v>67</v>
      </c>
      <c r="H58">
        <v>79</v>
      </c>
      <c r="I58">
        <v>57</v>
      </c>
      <c r="J58">
        <v>1</v>
      </c>
      <c r="K58">
        <v>615</v>
      </c>
      <c r="L58">
        <v>256483385</v>
      </c>
      <c r="M58">
        <v>137</v>
      </c>
      <c r="N58" t="s">
        <v>94</v>
      </c>
      <c r="O58" t="s">
        <v>45</v>
      </c>
      <c r="P58">
        <v>64</v>
      </c>
      <c r="Q58">
        <v>88</v>
      </c>
      <c r="R58" t="str" cm="1">
        <f t="array" ref="R58">_xlfn.IFS(Q58&gt;70,"Good",Q58&lt;40,"Bad",(Q58&gt;OS96*(Q58&lt;80)),"Ok")</f>
        <v>Good</v>
      </c>
      <c r="S58">
        <v>72</v>
      </c>
      <c r="T58" t="str" cm="1">
        <f t="array" ref="T58">_xlfn.IFS(S58&gt;50, "High", S58&lt;=50, "Low")</f>
        <v>High</v>
      </c>
      <c r="U58">
        <v>51</v>
      </c>
      <c r="V58">
        <v>0</v>
      </c>
      <c r="W58">
        <v>17</v>
      </c>
      <c r="X58">
        <v>5</v>
      </c>
      <c r="Y58">
        <f t="shared" ca="1" si="0"/>
        <v>25.688116325527368</v>
      </c>
      <c r="AA58" s="8" t="s">
        <v>56</v>
      </c>
      <c r="AB58">
        <v>28</v>
      </c>
      <c r="AC58">
        <v>85</v>
      </c>
      <c r="AD58">
        <v>12</v>
      </c>
      <c r="AE58">
        <v>75.049808295826509</v>
      </c>
    </row>
    <row r="59" spans="1:31" x14ac:dyDescent="0.3">
      <c r="A59" t="s">
        <v>200</v>
      </c>
      <c r="B59" t="s">
        <v>201</v>
      </c>
      <c r="C59">
        <v>1</v>
      </c>
      <c r="D59" s="1">
        <v>44707</v>
      </c>
      <c r="E59">
        <v>6804</v>
      </c>
      <c r="F59">
        <v>45</v>
      </c>
      <c r="G59">
        <v>139</v>
      </c>
      <c r="H59">
        <v>111</v>
      </c>
      <c r="I59">
        <v>161</v>
      </c>
      <c r="J59">
        <v>15</v>
      </c>
      <c r="K59">
        <v>210</v>
      </c>
      <c r="L59">
        <v>1214083358</v>
      </c>
      <c r="M59">
        <v>125</v>
      </c>
      <c r="N59" t="s">
        <v>94</v>
      </c>
      <c r="O59" t="s">
        <v>45</v>
      </c>
      <c r="P59">
        <v>84</v>
      </c>
      <c r="Q59">
        <v>85</v>
      </c>
      <c r="R59" t="str" cm="1">
        <f t="array" ref="R59">_xlfn.IFS(Q59&gt;70,"Good",Q59&lt;40,"Bad",(Q59&gt;OS97*(Q59&lt;80)),"Ok")</f>
        <v>Good</v>
      </c>
      <c r="S59">
        <v>68</v>
      </c>
      <c r="T59" t="str" cm="1">
        <f t="array" ref="T59">_xlfn.IFS(S59&gt;50, "High", S59&lt;=50, "Low")</f>
        <v>High</v>
      </c>
      <c r="U59">
        <v>58</v>
      </c>
      <c r="V59">
        <v>0</v>
      </c>
      <c r="W59">
        <v>22</v>
      </c>
      <c r="X59">
        <v>4</v>
      </c>
      <c r="Y59">
        <f t="shared" ca="1" si="0"/>
        <v>76.374603780454095</v>
      </c>
      <c r="AA59" s="8" t="s">
        <v>1023</v>
      </c>
      <c r="AB59">
        <v>9</v>
      </c>
      <c r="AC59">
        <v>66</v>
      </c>
      <c r="AD59">
        <v>30</v>
      </c>
      <c r="AE59">
        <v>74.749157289157935</v>
      </c>
    </row>
    <row r="60" spans="1:31" x14ac:dyDescent="0.3">
      <c r="A60" t="s">
        <v>203</v>
      </c>
      <c r="B60" t="s">
        <v>187</v>
      </c>
      <c r="C60">
        <v>1</v>
      </c>
      <c r="D60" s="1">
        <v>45121</v>
      </c>
      <c r="E60">
        <v>525</v>
      </c>
      <c r="F60">
        <v>41</v>
      </c>
      <c r="G60">
        <v>34</v>
      </c>
      <c r="H60">
        <v>115</v>
      </c>
      <c r="I60">
        <v>39</v>
      </c>
      <c r="J60">
        <v>6</v>
      </c>
      <c r="K60">
        <v>216</v>
      </c>
      <c r="L60">
        <v>16011326</v>
      </c>
      <c r="M60">
        <v>128</v>
      </c>
      <c r="O60" t="s">
        <v>45</v>
      </c>
      <c r="P60">
        <v>86</v>
      </c>
      <c r="Q60">
        <v>42</v>
      </c>
      <c r="R60" t="str" cm="1">
        <f t="array" ref="R60">_xlfn.IFS(Q60&gt;70,"Good",Q60&lt;40,"Bad",(Q60&gt;OS98*(Q60&lt;80)),"Ok")</f>
        <v>Ok</v>
      </c>
      <c r="S60">
        <v>72</v>
      </c>
      <c r="T60" t="str" cm="1">
        <f t="array" ref="T60">_xlfn.IFS(S60&gt;50, "High", S60&lt;=50, "Low")</f>
        <v>High</v>
      </c>
      <c r="U60">
        <v>59</v>
      </c>
      <c r="V60">
        <v>0</v>
      </c>
      <c r="W60">
        <v>9</v>
      </c>
      <c r="X60">
        <v>19</v>
      </c>
      <c r="Y60">
        <f t="shared" ca="1" si="0"/>
        <v>48.61260791143409</v>
      </c>
      <c r="AA60" s="8" t="s">
        <v>755</v>
      </c>
      <c r="AB60">
        <v>64</v>
      </c>
      <c r="AC60">
        <v>50</v>
      </c>
      <c r="AD60">
        <v>0</v>
      </c>
      <c r="AE60">
        <v>74.524803861097837</v>
      </c>
    </row>
    <row r="61" spans="1:31" x14ac:dyDescent="0.3">
      <c r="A61" t="s">
        <v>205</v>
      </c>
      <c r="B61" t="s">
        <v>36</v>
      </c>
      <c r="C61">
        <v>1</v>
      </c>
      <c r="D61" s="1">
        <v>44036</v>
      </c>
      <c r="E61">
        <v>7923</v>
      </c>
      <c r="F61">
        <v>29</v>
      </c>
      <c r="G61">
        <v>106</v>
      </c>
      <c r="H61">
        <v>112</v>
      </c>
      <c r="I61">
        <v>142</v>
      </c>
      <c r="J61">
        <v>4</v>
      </c>
      <c r="K61">
        <v>215</v>
      </c>
      <c r="L61">
        <v>812019557</v>
      </c>
      <c r="M61">
        <v>130</v>
      </c>
      <c r="O61" t="s">
        <v>45</v>
      </c>
      <c r="P61">
        <v>61</v>
      </c>
      <c r="Q61">
        <v>53</v>
      </c>
      <c r="R61" t="str" cm="1">
        <f t="array" ref="R61">_xlfn.IFS(Q61&gt;70,"Good",Q61&lt;40,"Bad",(Q61&gt;OS99*(Q61&lt;80)),"Ok")</f>
        <v>Ok</v>
      </c>
      <c r="S61">
        <v>58</v>
      </c>
      <c r="T61" t="str" cm="1">
        <f t="array" ref="T61">_xlfn.IFS(S61&gt;50, "High", S61&lt;=50, "Low")</f>
        <v>High</v>
      </c>
      <c r="U61">
        <v>55</v>
      </c>
      <c r="V61">
        <v>0</v>
      </c>
      <c r="W61">
        <v>27</v>
      </c>
      <c r="X61">
        <v>4</v>
      </c>
      <c r="Y61">
        <f t="shared" ca="1" si="0"/>
        <v>66.479703326512634</v>
      </c>
      <c r="AA61" s="8" t="s">
        <v>580</v>
      </c>
      <c r="AB61">
        <v>22</v>
      </c>
      <c r="AC61">
        <v>77</v>
      </c>
      <c r="AD61">
        <v>18</v>
      </c>
      <c r="AE61">
        <v>73.688981004683583</v>
      </c>
    </row>
    <row r="62" spans="1:31" x14ac:dyDescent="0.3">
      <c r="A62" t="s">
        <v>206</v>
      </c>
      <c r="B62" t="s">
        <v>207</v>
      </c>
      <c r="C62">
        <v>2</v>
      </c>
      <c r="D62" s="1">
        <v>45050</v>
      </c>
      <c r="E62">
        <v>731</v>
      </c>
      <c r="F62">
        <v>15</v>
      </c>
      <c r="G62">
        <v>27</v>
      </c>
      <c r="H62">
        <v>17</v>
      </c>
      <c r="I62">
        <v>73</v>
      </c>
      <c r="J62">
        <v>4</v>
      </c>
      <c r="K62">
        <v>167</v>
      </c>
      <c r="L62">
        <v>111947664</v>
      </c>
      <c r="M62">
        <v>130</v>
      </c>
      <c r="N62" t="s">
        <v>27</v>
      </c>
      <c r="O62" t="s">
        <v>28</v>
      </c>
      <c r="P62">
        <v>86</v>
      </c>
      <c r="Q62">
        <v>59</v>
      </c>
      <c r="R62" t="str" cm="1">
        <f t="array" ref="R62">_xlfn.IFS(Q62&gt;70,"Good",Q62&lt;40,"Bad",(Q62&gt;OS100*(Q62&lt;80)),"Ok")</f>
        <v>Ok</v>
      </c>
      <c r="S62">
        <v>96</v>
      </c>
      <c r="T62" t="str" cm="1">
        <f t="array" ref="T62">_xlfn.IFS(S62&gt;50, "High", S62&lt;=50, "Low")</f>
        <v>High</v>
      </c>
      <c r="U62">
        <v>50</v>
      </c>
      <c r="V62">
        <v>1</v>
      </c>
      <c r="W62">
        <v>9</v>
      </c>
      <c r="X62">
        <v>5</v>
      </c>
      <c r="Y62">
        <f t="shared" ca="1" si="0"/>
        <v>49.089920322348867</v>
      </c>
      <c r="AA62" s="8" t="s">
        <v>1359</v>
      </c>
      <c r="AB62">
        <v>10</v>
      </c>
      <c r="AC62">
        <v>70</v>
      </c>
      <c r="AD62">
        <v>2</v>
      </c>
      <c r="AE62">
        <v>73.646204600419296</v>
      </c>
    </row>
    <row r="63" spans="1:31" x14ac:dyDescent="0.3">
      <c r="A63" t="s">
        <v>209</v>
      </c>
      <c r="B63" t="s">
        <v>210</v>
      </c>
      <c r="C63">
        <v>2</v>
      </c>
      <c r="D63" s="1">
        <v>44960</v>
      </c>
      <c r="E63">
        <v>5184</v>
      </c>
      <c r="F63">
        <v>41</v>
      </c>
      <c r="G63">
        <v>154</v>
      </c>
      <c r="H63">
        <v>84</v>
      </c>
      <c r="I63">
        <v>102</v>
      </c>
      <c r="J63">
        <v>14</v>
      </c>
      <c r="K63">
        <v>37</v>
      </c>
      <c r="L63">
        <v>156338624</v>
      </c>
      <c r="M63">
        <v>133</v>
      </c>
      <c r="N63" t="s">
        <v>34</v>
      </c>
      <c r="O63" t="s">
        <v>28</v>
      </c>
      <c r="P63">
        <v>70</v>
      </c>
      <c r="Q63">
        <v>86</v>
      </c>
      <c r="R63" t="str" cm="1">
        <f t="array" ref="R63">_xlfn.IFS(Q63&gt;70,"Good",Q63&lt;40,"Bad",(Q63&gt;OS101*(Q63&lt;80)),"Ok")</f>
        <v>Good</v>
      </c>
      <c r="S63">
        <v>81</v>
      </c>
      <c r="T63" t="str" cm="1">
        <f t="array" ref="T63">_xlfn.IFS(S63&gt;50, "High", S63&lt;=50, "Low")</f>
        <v>High</v>
      </c>
      <c r="U63">
        <v>25</v>
      </c>
      <c r="V63">
        <v>0</v>
      </c>
      <c r="W63">
        <v>25</v>
      </c>
      <c r="X63">
        <v>5</v>
      </c>
      <c r="Y63">
        <f t="shared" ca="1" si="0"/>
        <v>43.310192854052588</v>
      </c>
      <c r="AA63" s="8" t="s">
        <v>269</v>
      </c>
      <c r="AB63">
        <v>12</v>
      </c>
      <c r="AC63">
        <v>50</v>
      </c>
      <c r="AD63">
        <v>1</v>
      </c>
      <c r="AE63">
        <v>72.486208705651478</v>
      </c>
    </row>
    <row r="64" spans="1:31" x14ac:dyDescent="0.3">
      <c r="A64" t="s">
        <v>212</v>
      </c>
      <c r="B64" t="s">
        <v>213</v>
      </c>
      <c r="C64">
        <v>3</v>
      </c>
      <c r="D64" s="1">
        <v>44736</v>
      </c>
      <c r="E64">
        <v>3107</v>
      </c>
      <c r="F64">
        <v>39</v>
      </c>
      <c r="G64">
        <v>38</v>
      </c>
      <c r="H64">
        <v>0</v>
      </c>
      <c r="I64">
        <v>4</v>
      </c>
      <c r="J64">
        <v>0</v>
      </c>
      <c r="K64">
        <v>0</v>
      </c>
      <c r="L64">
        <v>720434240</v>
      </c>
      <c r="M64">
        <v>101</v>
      </c>
      <c r="N64" t="s">
        <v>61</v>
      </c>
      <c r="O64" t="s">
        <v>28</v>
      </c>
      <c r="P64">
        <v>88</v>
      </c>
      <c r="Q64">
        <v>72</v>
      </c>
      <c r="R64" t="str" cm="1">
        <f t="array" ref="R64">_xlfn.IFS(Q64&gt;70,"Good",Q64&lt;40,"Bad",(Q64&gt;OS102*(Q64&lt;80)),"Ok")</f>
        <v>Good</v>
      </c>
      <c r="S64">
        <v>59</v>
      </c>
      <c r="T64" t="str" cm="1">
        <f t="array" ref="T64">_xlfn.IFS(S64&gt;50, "High", S64&lt;=50, "Low")</f>
        <v>High</v>
      </c>
      <c r="U64">
        <v>62</v>
      </c>
      <c r="V64">
        <v>0</v>
      </c>
      <c r="W64">
        <v>9</v>
      </c>
      <c r="X64">
        <v>3</v>
      </c>
      <c r="Y64">
        <f t="shared" ca="1" si="0"/>
        <v>67.729030568744435</v>
      </c>
      <c r="AA64" s="8" t="s">
        <v>1262</v>
      </c>
      <c r="AB64">
        <v>14</v>
      </c>
      <c r="AC64">
        <v>73</v>
      </c>
      <c r="AD64">
        <v>28</v>
      </c>
      <c r="AE64">
        <v>72.285555426338107</v>
      </c>
    </row>
    <row r="65" spans="1:31" x14ac:dyDescent="0.3">
      <c r="A65" t="s">
        <v>215</v>
      </c>
      <c r="B65" t="s">
        <v>216</v>
      </c>
      <c r="C65">
        <v>2</v>
      </c>
      <c r="D65" s="1">
        <v>45009</v>
      </c>
      <c r="E65">
        <v>4053</v>
      </c>
      <c r="F65">
        <v>50</v>
      </c>
      <c r="G65">
        <v>82</v>
      </c>
      <c r="H65">
        <v>121</v>
      </c>
      <c r="I65">
        <v>182</v>
      </c>
      <c r="J65">
        <v>12</v>
      </c>
      <c r="K65">
        <v>171</v>
      </c>
      <c r="L65">
        <v>357925728</v>
      </c>
      <c r="M65">
        <v>95</v>
      </c>
      <c r="N65" t="s">
        <v>34</v>
      </c>
      <c r="O65" t="s">
        <v>45</v>
      </c>
      <c r="P65">
        <v>77</v>
      </c>
      <c r="Q65">
        <v>53</v>
      </c>
      <c r="R65" t="str" cm="1">
        <f t="array" ref="R65">_xlfn.IFS(Q65&gt;70,"Good",Q65&lt;40,"Bad",(Q65&gt;OS103*(Q65&lt;80)),"Ok")</f>
        <v>Ok</v>
      </c>
      <c r="S65">
        <v>64</v>
      </c>
      <c r="T65" t="str" cm="1">
        <f t="array" ref="T65">_xlfn.IFS(S65&gt;50, "High", S65&lt;=50, "Low")</f>
        <v>High</v>
      </c>
      <c r="U65">
        <v>74</v>
      </c>
      <c r="V65">
        <v>0</v>
      </c>
      <c r="W65">
        <v>17</v>
      </c>
      <c r="X65">
        <v>14</v>
      </c>
      <c r="Y65">
        <f t="shared" ca="1" si="0"/>
        <v>50.723402564843752</v>
      </c>
      <c r="AA65" s="8" t="s">
        <v>1088</v>
      </c>
      <c r="AB65">
        <v>11</v>
      </c>
      <c r="AC65">
        <v>86</v>
      </c>
      <c r="AD65">
        <v>43</v>
      </c>
      <c r="AE65">
        <v>72.254071253149633</v>
      </c>
    </row>
    <row r="66" spans="1:31" x14ac:dyDescent="0.3">
      <c r="A66" t="s">
        <v>218</v>
      </c>
      <c r="B66" t="s">
        <v>219</v>
      </c>
      <c r="C66">
        <v>2</v>
      </c>
      <c r="D66" s="1">
        <v>44840</v>
      </c>
      <c r="E66">
        <v>4637</v>
      </c>
      <c r="F66">
        <v>38</v>
      </c>
      <c r="G66">
        <v>63</v>
      </c>
      <c r="H66">
        <v>79</v>
      </c>
      <c r="I66">
        <v>89</v>
      </c>
      <c r="J66">
        <v>11</v>
      </c>
      <c r="K66">
        <v>16</v>
      </c>
      <c r="L66">
        <v>674072710</v>
      </c>
      <c r="M66">
        <v>98</v>
      </c>
      <c r="N66" t="s">
        <v>31</v>
      </c>
      <c r="O66" t="s">
        <v>45</v>
      </c>
      <c r="P66">
        <v>90</v>
      </c>
      <c r="Q66">
        <v>40</v>
      </c>
      <c r="R66" t="str" cm="1">
        <f t="array" ref="R66">_xlfn.IFS(Q66&gt;70,"Good",Q66&lt;40,"Bad",(Q66&gt;OS104*(Q66&lt;80)),"Ok")</f>
        <v>Ok</v>
      </c>
      <c r="S66">
        <v>59</v>
      </c>
      <c r="T66" t="str" cm="1">
        <f t="array" ref="T66">_xlfn.IFS(S66&gt;50, "High", S66&lt;=50, "Low")</f>
        <v>High</v>
      </c>
      <c r="U66">
        <v>0</v>
      </c>
      <c r="V66">
        <v>0</v>
      </c>
      <c r="W66">
        <v>10</v>
      </c>
      <c r="X66">
        <v>29</v>
      </c>
      <c r="Y66">
        <f t="shared" ref="Y66:Y129" ca="1" si="1">RAND()*100</f>
        <v>48.182028800314683</v>
      </c>
      <c r="AA66" s="8" t="s">
        <v>195</v>
      </c>
      <c r="AB66">
        <v>9</v>
      </c>
      <c r="AC66">
        <v>50</v>
      </c>
      <c r="AD66">
        <v>0</v>
      </c>
      <c r="AE66">
        <v>72.04689126477291</v>
      </c>
    </row>
    <row r="67" spans="1:31" x14ac:dyDescent="0.3">
      <c r="A67" t="s">
        <v>221</v>
      </c>
      <c r="B67" t="s">
        <v>222</v>
      </c>
      <c r="C67">
        <v>1</v>
      </c>
      <c r="D67" s="1">
        <v>36161</v>
      </c>
      <c r="E67">
        <v>31358</v>
      </c>
      <c r="F67">
        <v>43</v>
      </c>
      <c r="G67">
        <v>196</v>
      </c>
      <c r="H67">
        <v>2</v>
      </c>
      <c r="I67" s="2">
        <v>4053</v>
      </c>
      <c r="J67">
        <v>5</v>
      </c>
      <c r="K67">
        <v>0</v>
      </c>
      <c r="L67">
        <v>1755214421</v>
      </c>
      <c r="M67">
        <v>173</v>
      </c>
      <c r="N67" t="s">
        <v>27</v>
      </c>
      <c r="O67" t="s">
        <v>28</v>
      </c>
      <c r="P67">
        <v>43</v>
      </c>
      <c r="Q67">
        <v>28</v>
      </c>
      <c r="R67" t="str" cm="1">
        <f t="array" ref="R67">_xlfn.IFS(Q67&gt;70,"Good",Q67&lt;40,"Bad",(Q67&gt;OS105*(Q67&lt;80)),"Ok")</f>
        <v>Bad</v>
      </c>
      <c r="S67">
        <v>66</v>
      </c>
      <c r="T67" t="str" cm="1">
        <f t="array" ref="T67">_xlfn.IFS(S67&gt;50, "High", S67&lt;=50, "Low")</f>
        <v>High</v>
      </c>
      <c r="U67">
        <v>0</v>
      </c>
      <c r="V67">
        <v>0</v>
      </c>
      <c r="W67">
        <v>23</v>
      </c>
      <c r="X67">
        <v>3</v>
      </c>
      <c r="Y67">
        <f t="shared" ca="1" si="1"/>
        <v>47.821485952173028</v>
      </c>
      <c r="AA67" s="8" t="s">
        <v>696</v>
      </c>
      <c r="AB67">
        <v>17</v>
      </c>
      <c r="AC67">
        <v>32</v>
      </c>
      <c r="AD67">
        <v>14</v>
      </c>
      <c r="AE67">
        <v>71.401551472178639</v>
      </c>
    </row>
    <row r="68" spans="1:31" x14ac:dyDescent="0.3">
      <c r="A68" t="s">
        <v>224</v>
      </c>
      <c r="B68" t="s">
        <v>36</v>
      </c>
      <c r="C68">
        <v>1</v>
      </c>
      <c r="D68" s="1">
        <v>44855</v>
      </c>
      <c r="E68">
        <v>3818</v>
      </c>
      <c r="F68">
        <v>23</v>
      </c>
      <c r="G68">
        <v>37</v>
      </c>
      <c r="H68">
        <v>55</v>
      </c>
      <c r="I68">
        <v>32</v>
      </c>
      <c r="J68">
        <v>0</v>
      </c>
      <c r="K68">
        <v>272</v>
      </c>
      <c r="L68">
        <v>404562836</v>
      </c>
      <c r="M68">
        <v>90</v>
      </c>
      <c r="N68" t="s">
        <v>81</v>
      </c>
      <c r="O68" t="s">
        <v>28</v>
      </c>
      <c r="P68">
        <v>64</v>
      </c>
      <c r="Q68">
        <v>10</v>
      </c>
      <c r="R68" t="str" cm="1">
        <f t="array" ref="R68">_xlfn.IFS(Q68&gt;70,"Good",Q68&lt;40,"Bad",(Q68&gt;OS106*(Q68&lt;80)),"Ok")</f>
        <v>Bad</v>
      </c>
      <c r="S68">
        <v>62</v>
      </c>
      <c r="T68" t="str" cm="1">
        <f t="array" ref="T68">_xlfn.IFS(S68&gt;50, "High", S68&lt;=50, "Low")</f>
        <v>High</v>
      </c>
      <c r="U68">
        <v>7</v>
      </c>
      <c r="V68">
        <v>0</v>
      </c>
      <c r="W68">
        <v>48</v>
      </c>
      <c r="X68">
        <v>7</v>
      </c>
      <c r="Y68">
        <f t="shared" ca="1" si="1"/>
        <v>33.14073949762674</v>
      </c>
      <c r="AA68" s="8" t="s">
        <v>489</v>
      </c>
      <c r="AB68">
        <v>28</v>
      </c>
      <c r="AC68">
        <v>33</v>
      </c>
      <c r="AD68">
        <v>20</v>
      </c>
      <c r="AE68">
        <v>71.130894479009584</v>
      </c>
    </row>
    <row r="69" spans="1:31" x14ac:dyDescent="0.3">
      <c r="A69" t="s">
        <v>226</v>
      </c>
      <c r="B69" t="s">
        <v>227</v>
      </c>
      <c r="C69">
        <v>1</v>
      </c>
      <c r="D69" s="1">
        <v>44897</v>
      </c>
      <c r="E69">
        <v>3506</v>
      </c>
      <c r="F69">
        <v>56</v>
      </c>
      <c r="G69">
        <v>105</v>
      </c>
      <c r="H69">
        <v>64</v>
      </c>
      <c r="I69">
        <v>169</v>
      </c>
      <c r="J69">
        <v>8</v>
      </c>
      <c r="K69">
        <v>529</v>
      </c>
      <c r="L69">
        <v>373199958</v>
      </c>
      <c r="M69">
        <v>198</v>
      </c>
      <c r="N69" t="s">
        <v>181</v>
      </c>
      <c r="O69" t="s">
        <v>45</v>
      </c>
      <c r="P69">
        <v>59</v>
      </c>
      <c r="Q69">
        <v>71</v>
      </c>
      <c r="R69" t="str" cm="1">
        <f t="array" ref="R69">_xlfn.IFS(Q69&gt;70,"Good",Q69&lt;40,"Bad",(Q69&gt;OS107*(Q69&lt;80)),"Ok")</f>
        <v>Good</v>
      </c>
      <c r="S69">
        <v>42</v>
      </c>
      <c r="T69" t="str" cm="1">
        <f t="array" ref="T69">_xlfn.IFS(S69&gt;50, "High", S69&lt;=50, "Low")</f>
        <v>Low</v>
      </c>
      <c r="U69">
        <v>55</v>
      </c>
      <c r="V69">
        <v>0</v>
      </c>
      <c r="W69">
        <v>10</v>
      </c>
      <c r="X69">
        <v>7</v>
      </c>
      <c r="Y69">
        <f t="shared" ca="1" si="1"/>
        <v>63.312560456707132</v>
      </c>
      <c r="AA69" s="8" t="s">
        <v>543</v>
      </c>
      <c r="AB69">
        <v>10</v>
      </c>
      <c r="AC69">
        <v>81</v>
      </c>
      <c r="AD69">
        <v>3</v>
      </c>
      <c r="AE69">
        <v>70.65954973106227</v>
      </c>
    </row>
    <row r="70" spans="1:31" x14ac:dyDescent="0.3">
      <c r="A70" t="s">
        <v>229</v>
      </c>
      <c r="B70" t="s">
        <v>230</v>
      </c>
      <c r="C70">
        <v>1</v>
      </c>
      <c r="D70" s="1">
        <v>45121</v>
      </c>
      <c r="E70">
        <v>410</v>
      </c>
      <c r="F70">
        <v>36</v>
      </c>
      <c r="G70">
        <v>36</v>
      </c>
      <c r="H70">
        <v>32</v>
      </c>
      <c r="I70">
        <v>31</v>
      </c>
      <c r="J70">
        <v>1</v>
      </c>
      <c r="K70">
        <v>26</v>
      </c>
      <c r="L70">
        <v>14780425</v>
      </c>
      <c r="M70">
        <v>140</v>
      </c>
      <c r="N70" t="s">
        <v>31</v>
      </c>
      <c r="O70" t="s">
        <v>28</v>
      </c>
      <c r="P70">
        <v>56</v>
      </c>
      <c r="Q70">
        <v>48</v>
      </c>
      <c r="R70" t="str" cm="1">
        <f t="array" ref="R70">_xlfn.IFS(Q70&gt;70,"Good",Q70&lt;40,"Bad",(Q70&gt;OS108*(Q70&lt;80)),"Ok")</f>
        <v>Ok</v>
      </c>
      <c r="S70">
        <v>73</v>
      </c>
      <c r="T70" t="str" cm="1">
        <f t="array" ref="T70">_xlfn.IFS(S70&gt;50, "High", S70&lt;=50, "Low")</f>
        <v>High</v>
      </c>
      <c r="U70">
        <v>0</v>
      </c>
      <c r="V70">
        <v>0</v>
      </c>
      <c r="W70">
        <v>35</v>
      </c>
      <c r="X70">
        <v>4</v>
      </c>
      <c r="Y70">
        <f t="shared" ca="1" si="1"/>
        <v>53.167284587775363</v>
      </c>
      <c r="AA70" s="8" t="s">
        <v>1580</v>
      </c>
      <c r="AB70">
        <v>51</v>
      </c>
      <c r="AC70">
        <v>65</v>
      </c>
      <c r="AD70">
        <v>6</v>
      </c>
      <c r="AE70">
        <v>70.5421963109942</v>
      </c>
    </row>
    <row r="71" spans="1:31" x14ac:dyDescent="0.3">
      <c r="A71" t="s">
        <v>232</v>
      </c>
      <c r="B71" t="s">
        <v>36</v>
      </c>
      <c r="C71">
        <v>1</v>
      </c>
      <c r="D71" s="1">
        <v>45114</v>
      </c>
      <c r="E71">
        <v>148</v>
      </c>
      <c r="F71">
        <v>24</v>
      </c>
      <c r="G71">
        <v>32</v>
      </c>
      <c r="H71">
        <v>93</v>
      </c>
      <c r="I71">
        <v>8</v>
      </c>
      <c r="J71">
        <v>2</v>
      </c>
      <c r="K71">
        <v>5</v>
      </c>
      <c r="L71">
        <v>39578178</v>
      </c>
      <c r="M71">
        <v>82</v>
      </c>
      <c r="N71" t="s">
        <v>81</v>
      </c>
      <c r="O71" t="s">
        <v>28</v>
      </c>
      <c r="P71">
        <v>51</v>
      </c>
      <c r="Q71">
        <v>22</v>
      </c>
      <c r="R71" t="str" cm="1">
        <f t="array" ref="R71">_xlfn.IFS(Q71&gt;70,"Good",Q71&lt;40,"Bad",(Q71&gt;OS109*(Q71&lt;80)),"Ok")</f>
        <v>Bad</v>
      </c>
      <c r="S71">
        <v>53</v>
      </c>
      <c r="T71" t="str" cm="1">
        <f t="array" ref="T71">_xlfn.IFS(S71&gt;50, "High", S71&lt;=50, "Low")</f>
        <v>High</v>
      </c>
      <c r="U71">
        <v>1</v>
      </c>
      <c r="V71">
        <v>0</v>
      </c>
      <c r="W71">
        <v>15</v>
      </c>
      <c r="X71">
        <v>3</v>
      </c>
      <c r="Y71">
        <f t="shared" ca="1" si="1"/>
        <v>90.944853053583358</v>
      </c>
      <c r="AA71" s="8" t="s">
        <v>717</v>
      </c>
      <c r="AB71">
        <v>12</v>
      </c>
      <c r="AC71">
        <v>73</v>
      </c>
      <c r="AD71">
        <v>31</v>
      </c>
      <c r="AE71">
        <v>70.331005630198291</v>
      </c>
    </row>
    <row r="72" spans="1:31" x14ac:dyDescent="0.3">
      <c r="A72" t="s">
        <v>106</v>
      </c>
      <c r="B72" t="s">
        <v>233</v>
      </c>
      <c r="C72">
        <v>2</v>
      </c>
      <c r="D72" s="1">
        <v>45100</v>
      </c>
      <c r="E72">
        <v>1004</v>
      </c>
      <c r="F72">
        <v>35</v>
      </c>
      <c r="G72">
        <v>42</v>
      </c>
      <c r="H72">
        <v>80</v>
      </c>
      <c r="I72">
        <v>58</v>
      </c>
      <c r="J72">
        <v>3</v>
      </c>
      <c r="K72">
        <v>169</v>
      </c>
      <c r="L72">
        <v>54266102</v>
      </c>
      <c r="M72">
        <v>130</v>
      </c>
      <c r="N72" t="s">
        <v>31</v>
      </c>
      <c r="O72" t="s">
        <v>45</v>
      </c>
      <c r="P72">
        <v>77</v>
      </c>
      <c r="Q72">
        <v>84</v>
      </c>
      <c r="R72" t="str" cm="1">
        <f t="array" ref="R72">_xlfn.IFS(Q72&gt;70,"Good",Q72&lt;40,"Bad",(Q72&gt;OS110*(Q72&lt;80)),"Ok")</f>
        <v>Good</v>
      </c>
      <c r="S72">
        <v>89</v>
      </c>
      <c r="T72" t="str" cm="1">
        <f t="array" ref="T72">_xlfn.IFS(S72&gt;50, "High", S72&lt;=50, "Low")</f>
        <v>High</v>
      </c>
      <c r="U72">
        <v>17</v>
      </c>
      <c r="V72">
        <v>0</v>
      </c>
      <c r="W72">
        <v>43</v>
      </c>
      <c r="X72">
        <v>5</v>
      </c>
      <c r="Y72">
        <f t="shared" ca="1" si="1"/>
        <v>7.5559043614329635</v>
      </c>
      <c r="AA72" s="8" t="s">
        <v>508</v>
      </c>
      <c r="AB72">
        <v>11</v>
      </c>
      <c r="AC72">
        <v>34</v>
      </c>
      <c r="AD72">
        <v>4</v>
      </c>
      <c r="AE72">
        <v>70.289036504706885</v>
      </c>
    </row>
    <row r="73" spans="1:31" x14ac:dyDescent="0.3">
      <c r="A73" t="s">
        <v>235</v>
      </c>
      <c r="B73" t="s">
        <v>236</v>
      </c>
      <c r="C73">
        <v>1</v>
      </c>
      <c r="D73" s="1">
        <v>44010</v>
      </c>
      <c r="E73">
        <v>22543</v>
      </c>
      <c r="F73">
        <v>63</v>
      </c>
      <c r="G73">
        <v>386</v>
      </c>
      <c r="H73">
        <v>144</v>
      </c>
      <c r="I73">
        <v>707</v>
      </c>
      <c r="J73">
        <v>28</v>
      </c>
      <c r="L73">
        <v>2557975762</v>
      </c>
      <c r="M73">
        <v>81</v>
      </c>
      <c r="N73" t="s">
        <v>27</v>
      </c>
      <c r="O73" t="s">
        <v>28</v>
      </c>
      <c r="P73">
        <v>76</v>
      </c>
      <c r="Q73">
        <v>53</v>
      </c>
      <c r="R73" t="str" cm="1">
        <f t="array" ref="R73">_xlfn.IFS(Q73&gt;70,"Good",Q73&lt;40,"Bad",(Q73&gt;OS111*(Q73&lt;80)),"Ok")</f>
        <v>Ok</v>
      </c>
      <c r="S73">
        <v>53</v>
      </c>
      <c r="T73" t="str" cm="1">
        <f t="array" ref="T73">_xlfn.IFS(S73&gt;50, "High", S73&lt;=50, "Low")</f>
        <v>High</v>
      </c>
      <c r="U73">
        <v>44</v>
      </c>
      <c r="V73">
        <v>0</v>
      </c>
      <c r="W73">
        <v>9</v>
      </c>
      <c r="X73">
        <v>9</v>
      </c>
      <c r="Y73">
        <f t="shared" ca="1" si="1"/>
        <v>87.289368532160637</v>
      </c>
      <c r="AA73" s="8" t="s">
        <v>1338</v>
      </c>
      <c r="AB73">
        <v>13</v>
      </c>
      <c r="AC73">
        <v>45</v>
      </c>
      <c r="AD73">
        <v>32</v>
      </c>
      <c r="AE73">
        <v>69.516010574279235</v>
      </c>
    </row>
    <row r="74" spans="1:31" x14ac:dyDescent="0.3">
      <c r="A74" t="s">
        <v>238</v>
      </c>
      <c r="B74" t="s">
        <v>239</v>
      </c>
      <c r="C74">
        <v>1</v>
      </c>
      <c r="D74" s="1">
        <v>44757</v>
      </c>
      <c r="E74">
        <v>4511</v>
      </c>
      <c r="F74">
        <v>36</v>
      </c>
      <c r="G74">
        <v>70</v>
      </c>
      <c r="H74">
        <v>58</v>
      </c>
      <c r="I74">
        <v>109</v>
      </c>
      <c r="J74">
        <v>18</v>
      </c>
      <c r="K74">
        <v>230</v>
      </c>
      <c r="L74">
        <v>751134527</v>
      </c>
      <c r="M74">
        <v>94</v>
      </c>
      <c r="N74" t="s">
        <v>31</v>
      </c>
      <c r="O74" t="s">
        <v>45</v>
      </c>
      <c r="P74">
        <v>51</v>
      </c>
      <c r="Q74">
        <v>14</v>
      </c>
      <c r="R74" t="str" cm="1">
        <f t="array" ref="R74">_xlfn.IFS(Q74&gt;70,"Good",Q74&lt;40,"Bad",(Q74&gt;OS112*(Q74&lt;80)),"Ok")</f>
        <v>Bad</v>
      </c>
      <c r="S74">
        <v>59</v>
      </c>
      <c r="T74" t="str" cm="1">
        <f t="array" ref="T74">_xlfn.IFS(S74&gt;50, "High", S74&lt;=50, "Low")</f>
        <v>High</v>
      </c>
      <c r="U74">
        <v>65</v>
      </c>
      <c r="V74">
        <v>18</v>
      </c>
      <c r="W74">
        <v>25</v>
      </c>
      <c r="X74">
        <v>3</v>
      </c>
      <c r="Y74">
        <f t="shared" ca="1" si="1"/>
        <v>89.02249013490605</v>
      </c>
      <c r="AA74" s="8" t="s">
        <v>1544</v>
      </c>
      <c r="AB74">
        <v>23</v>
      </c>
      <c r="AC74">
        <v>61</v>
      </c>
      <c r="AD74">
        <v>14</v>
      </c>
      <c r="AE74">
        <v>69.508492832466871</v>
      </c>
    </row>
    <row r="75" spans="1:31" x14ac:dyDescent="0.3">
      <c r="A75" t="s">
        <v>241</v>
      </c>
      <c r="B75" t="s">
        <v>242</v>
      </c>
      <c r="C75">
        <v>1</v>
      </c>
      <c r="D75" s="1">
        <v>41043</v>
      </c>
      <c r="E75">
        <v>16413</v>
      </c>
      <c r="F75">
        <v>61</v>
      </c>
      <c r="G75">
        <v>166</v>
      </c>
      <c r="H75">
        <v>87</v>
      </c>
      <c r="I75" s="2">
        <v>1056</v>
      </c>
      <c r="J75">
        <v>1</v>
      </c>
      <c r="L75">
        <v>2282771485</v>
      </c>
      <c r="M75">
        <v>124</v>
      </c>
      <c r="N75" t="s">
        <v>181</v>
      </c>
      <c r="O75" t="s">
        <v>28</v>
      </c>
      <c r="P75">
        <v>61</v>
      </c>
      <c r="Q75">
        <v>41</v>
      </c>
      <c r="R75" t="str" cm="1">
        <f t="array" ref="R75">_xlfn.IFS(Q75&gt;70,"Good",Q75&lt;40,"Bad",(Q75&gt;OS113*(Q75&lt;80)),"Ok")</f>
        <v>Ok</v>
      </c>
      <c r="S75">
        <v>81</v>
      </c>
      <c r="T75" t="str" cm="1">
        <f t="array" ref="T75">_xlfn.IFS(S75&gt;50, "High", S75&lt;=50, "Low")</f>
        <v>High</v>
      </c>
      <c r="U75">
        <v>5</v>
      </c>
      <c r="V75">
        <v>2</v>
      </c>
      <c r="W75">
        <v>10</v>
      </c>
      <c r="X75">
        <v>3</v>
      </c>
      <c r="Y75">
        <f t="shared" ca="1" si="1"/>
        <v>73.963571248198178</v>
      </c>
      <c r="AA75" s="8" t="s">
        <v>1386</v>
      </c>
      <c r="AB75">
        <v>17</v>
      </c>
      <c r="AC75">
        <v>52</v>
      </c>
      <c r="AD75">
        <v>24</v>
      </c>
      <c r="AE75">
        <v>68.986171850693012</v>
      </c>
    </row>
    <row r="76" spans="1:31" x14ac:dyDescent="0.3">
      <c r="A76" t="s">
        <v>243</v>
      </c>
      <c r="B76" t="s">
        <v>244</v>
      </c>
      <c r="C76">
        <v>2</v>
      </c>
      <c r="D76" s="1">
        <v>44748</v>
      </c>
      <c r="E76">
        <v>8506</v>
      </c>
      <c r="F76">
        <v>45</v>
      </c>
      <c r="G76">
        <v>94</v>
      </c>
      <c r="H76">
        <v>65</v>
      </c>
      <c r="I76">
        <v>164</v>
      </c>
      <c r="J76">
        <v>14</v>
      </c>
      <c r="K76">
        <v>176</v>
      </c>
      <c r="L76">
        <v>1356565093</v>
      </c>
      <c r="M76">
        <v>128</v>
      </c>
      <c r="N76" t="s">
        <v>61</v>
      </c>
      <c r="O76" t="s">
        <v>28</v>
      </c>
      <c r="P76">
        <v>62</v>
      </c>
      <c r="Q76">
        <v>55</v>
      </c>
      <c r="R76" t="str" cm="1">
        <f t="array" ref="R76">_xlfn.IFS(Q76&gt;70,"Good",Q76&lt;40,"Bad",(Q76&gt;OS114*(Q76&lt;80)),"Ok")</f>
        <v>Ok</v>
      </c>
      <c r="S76">
        <v>78</v>
      </c>
      <c r="T76" t="str" cm="1">
        <f t="array" ref="T76">_xlfn.IFS(S76&gt;50, "High", S76&lt;=50, "Low")</f>
        <v>High</v>
      </c>
      <c r="U76">
        <v>1</v>
      </c>
      <c r="V76">
        <v>3</v>
      </c>
      <c r="W76">
        <v>23</v>
      </c>
      <c r="X76">
        <v>4</v>
      </c>
      <c r="Y76">
        <f t="shared" ca="1" si="1"/>
        <v>7.6844270865375597</v>
      </c>
      <c r="AA76" s="8" t="s">
        <v>315</v>
      </c>
      <c r="AB76">
        <v>11</v>
      </c>
      <c r="AC76">
        <v>68</v>
      </c>
      <c r="AD76">
        <v>15</v>
      </c>
      <c r="AE76">
        <v>68.439297482711993</v>
      </c>
    </row>
    <row r="77" spans="1:31" x14ac:dyDescent="0.3">
      <c r="A77" t="s">
        <v>246</v>
      </c>
      <c r="B77" t="s">
        <v>247</v>
      </c>
      <c r="C77">
        <v>1</v>
      </c>
      <c r="D77" s="1">
        <v>39448</v>
      </c>
      <c r="E77">
        <v>33898</v>
      </c>
      <c r="F77">
        <v>62</v>
      </c>
      <c r="G77">
        <v>233</v>
      </c>
      <c r="H77">
        <v>0</v>
      </c>
      <c r="I77" s="2">
        <v>4095</v>
      </c>
      <c r="J77">
        <v>9</v>
      </c>
      <c r="K77">
        <v>0</v>
      </c>
      <c r="L77">
        <v>1592909789</v>
      </c>
      <c r="M77">
        <v>138</v>
      </c>
      <c r="N77" t="s">
        <v>34</v>
      </c>
      <c r="O77" t="s">
        <v>45</v>
      </c>
      <c r="P77">
        <v>49</v>
      </c>
      <c r="Q77">
        <v>42</v>
      </c>
      <c r="R77" t="str" cm="1">
        <f t="array" ref="R77">_xlfn.IFS(Q77&gt;70,"Good",Q77&lt;40,"Bad",(Q77&gt;OS115*(Q77&lt;80)),"Ok")</f>
        <v>Ok</v>
      </c>
      <c r="S77">
        <v>62</v>
      </c>
      <c r="T77" t="str" cm="1">
        <f t="array" ref="T77">_xlfn.IFS(S77&gt;50, "High", S77&lt;=50, "Low")</f>
        <v>High</v>
      </c>
      <c r="U77">
        <v>9</v>
      </c>
      <c r="V77">
        <v>0</v>
      </c>
      <c r="W77">
        <v>11</v>
      </c>
      <c r="X77">
        <v>3</v>
      </c>
      <c r="Y77">
        <f t="shared" ca="1" si="1"/>
        <v>15.309099302749685</v>
      </c>
      <c r="AA77" s="8" t="s">
        <v>631</v>
      </c>
      <c r="AB77">
        <v>18</v>
      </c>
      <c r="AC77">
        <v>34</v>
      </c>
      <c r="AD77">
        <v>69</v>
      </c>
      <c r="AE77">
        <v>68.153032732162075</v>
      </c>
    </row>
    <row r="78" spans="1:31" x14ac:dyDescent="0.3">
      <c r="A78" t="s">
        <v>249</v>
      </c>
      <c r="B78" t="s">
        <v>250</v>
      </c>
      <c r="C78">
        <v>1</v>
      </c>
      <c r="D78" s="1">
        <v>44759</v>
      </c>
      <c r="E78">
        <v>3246</v>
      </c>
      <c r="F78">
        <v>23</v>
      </c>
      <c r="G78">
        <v>94</v>
      </c>
      <c r="H78">
        <v>85</v>
      </c>
      <c r="I78">
        <v>68</v>
      </c>
      <c r="J78">
        <v>1</v>
      </c>
      <c r="K78">
        <v>84</v>
      </c>
      <c r="L78">
        <v>635412045</v>
      </c>
      <c r="M78">
        <v>132</v>
      </c>
      <c r="N78" t="s">
        <v>134</v>
      </c>
      <c r="O78" t="s">
        <v>28</v>
      </c>
      <c r="P78">
        <v>58</v>
      </c>
      <c r="Q78">
        <v>27</v>
      </c>
      <c r="R78" t="str" cm="1">
        <f t="array" ref="R78">_xlfn.IFS(Q78&gt;70,"Good",Q78&lt;40,"Bad",(Q78&gt;OS116*(Q78&lt;80)),"Ok")</f>
        <v>Bad</v>
      </c>
      <c r="S78">
        <v>48</v>
      </c>
      <c r="T78" t="str" cm="1">
        <f t="array" ref="T78">_xlfn.IFS(S78&gt;50, "High", S78&lt;=50, "Low")</f>
        <v>Low</v>
      </c>
      <c r="U78">
        <v>50</v>
      </c>
      <c r="V78">
        <v>0</v>
      </c>
      <c r="W78">
        <v>12</v>
      </c>
      <c r="X78">
        <v>3</v>
      </c>
      <c r="Y78">
        <f t="shared" ca="1" si="1"/>
        <v>85.843288167170655</v>
      </c>
      <c r="AA78" s="8" t="s">
        <v>530</v>
      </c>
      <c r="AB78">
        <v>13</v>
      </c>
      <c r="AC78">
        <v>65</v>
      </c>
      <c r="AD78">
        <v>10</v>
      </c>
      <c r="AE78">
        <v>67.9244565150737</v>
      </c>
    </row>
    <row r="79" spans="1:31" x14ac:dyDescent="0.3">
      <c r="A79" t="s">
        <v>252</v>
      </c>
      <c r="B79" t="s">
        <v>253</v>
      </c>
      <c r="C79">
        <v>2</v>
      </c>
      <c r="D79" s="1">
        <v>44826</v>
      </c>
      <c r="E79">
        <v>8576</v>
      </c>
      <c r="F79">
        <v>42</v>
      </c>
      <c r="G79">
        <v>216</v>
      </c>
      <c r="H79">
        <v>108</v>
      </c>
      <c r="I79">
        <v>331</v>
      </c>
      <c r="J79">
        <v>26</v>
      </c>
      <c r="K79">
        <v>154</v>
      </c>
      <c r="L79">
        <v>1230675890</v>
      </c>
      <c r="M79">
        <v>131</v>
      </c>
      <c r="N79" t="s">
        <v>61</v>
      </c>
      <c r="O79" t="s">
        <v>28</v>
      </c>
      <c r="P79">
        <v>71</v>
      </c>
      <c r="Q79">
        <v>24</v>
      </c>
      <c r="R79" t="str" cm="1">
        <f t="array" ref="R79">_xlfn.IFS(Q79&gt;70,"Good",Q79&lt;40,"Bad",(Q79&gt;OS117*(Q79&lt;80)),"Ok")</f>
        <v>Bad</v>
      </c>
      <c r="S79">
        <v>47</v>
      </c>
      <c r="T79" t="str" cm="1">
        <f t="array" ref="T79">_xlfn.IFS(S79&gt;50, "High", S79&lt;=50, "Low")</f>
        <v>Low</v>
      </c>
      <c r="U79">
        <v>1</v>
      </c>
      <c r="V79">
        <v>0</v>
      </c>
      <c r="W79">
        <v>27</v>
      </c>
      <c r="X79">
        <v>9</v>
      </c>
      <c r="Y79">
        <f t="shared" ca="1" si="1"/>
        <v>13.251564599153642</v>
      </c>
      <c r="AA79" s="8" t="s">
        <v>629</v>
      </c>
      <c r="AB79">
        <v>10</v>
      </c>
      <c r="AC79">
        <v>47</v>
      </c>
      <c r="AD79">
        <v>11</v>
      </c>
      <c r="AE79">
        <v>67.743957927351119</v>
      </c>
    </row>
    <row r="80" spans="1:31" x14ac:dyDescent="0.3">
      <c r="A80" t="s">
        <v>255</v>
      </c>
      <c r="B80" t="s">
        <v>256</v>
      </c>
      <c r="C80">
        <v>2</v>
      </c>
      <c r="D80" s="1">
        <v>44915</v>
      </c>
      <c r="E80">
        <v>3618</v>
      </c>
      <c r="F80">
        <v>38</v>
      </c>
      <c r="G80">
        <v>47</v>
      </c>
      <c r="H80">
        <v>74</v>
      </c>
      <c r="I80">
        <v>80</v>
      </c>
      <c r="J80">
        <v>14</v>
      </c>
      <c r="K80">
        <v>194</v>
      </c>
      <c r="L80">
        <v>585695368</v>
      </c>
      <c r="M80">
        <v>168</v>
      </c>
      <c r="N80" t="s">
        <v>65</v>
      </c>
      <c r="O80" t="s">
        <v>45</v>
      </c>
      <c r="P80">
        <v>78</v>
      </c>
      <c r="Q80">
        <v>58</v>
      </c>
      <c r="R80" t="str" cm="1">
        <f t="array" ref="R80">_xlfn.IFS(Q80&gt;70,"Good",Q80&lt;40,"Bad",(Q80&gt;OS118*(Q80&lt;80)),"Ok")</f>
        <v>Ok</v>
      </c>
      <c r="S80">
        <v>73</v>
      </c>
      <c r="T80" t="str" cm="1">
        <f t="array" ref="T80">_xlfn.IFS(S80&gt;50, "High", S80&lt;=50, "Low")</f>
        <v>High</v>
      </c>
      <c r="U80">
        <v>5</v>
      </c>
      <c r="V80">
        <v>0</v>
      </c>
      <c r="W80">
        <v>10</v>
      </c>
      <c r="X80">
        <v>7</v>
      </c>
      <c r="Y80">
        <f t="shared" ca="1" si="1"/>
        <v>73.001158981156394</v>
      </c>
      <c r="AA80" s="8" t="s">
        <v>1413</v>
      </c>
      <c r="AB80">
        <v>24</v>
      </c>
      <c r="AC80">
        <v>61</v>
      </c>
      <c r="AD80">
        <v>60</v>
      </c>
      <c r="AE80">
        <v>67.388638580340285</v>
      </c>
    </row>
    <row r="81" spans="1:31" x14ac:dyDescent="0.3">
      <c r="A81" t="s">
        <v>258</v>
      </c>
      <c r="B81" t="s">
        <v>259</v>
      </c>
      <c r="C81">
        <v>1</v>
      </c>
      <c r="D81" s="1">
        <v>45099</v>
      </c>
      <c r="E81">
        <v>370</v>
      </c>
      <c r="F81">
        <v>20</v>
      </c>
      <c r="G81">
        <v>12</v>
      </c>
      <c r="H81">
        <v>16</v>
      </c>
      <c r="I81">
        <v>18</v>
      </c>
      <c r="J81">
        <v>4</v>
      </c>
      <c r="K81">
        <v>93</v>
      </c>
      <c r="L81">
        <v>43857627</v>
      </c>
      <c r="M81">
        <v>98</v>
      </c>
      <c r="N81" t="s">
        <v>31</v>
      </c>
      <c r="O81" t="s">
        <v>28</v>
      </c>
      <c r="P81">
        <v>68</v>
      </c>
      <c r="Q81">
        <v>40</v>
      </c>
      <c r="R81" t="str" cm="1">
        <f t="array" ref="R81">_xlfn.IFS(Q81&gt;70,"Good",Q81&lt;40,"Bad",(Q81&gt;OS119*(Q81&lt;80)),"Ok")</f>
        <v>Ok</v>
      </c>
      <c r="S81">
        <v>79</v>
      </c>
      <c r="T81" t="str" cm="1">
        <f t="array" ref="T81">_xlfn.IFS(S81&gt;50, "High", S81&lt;=50, "Low")</f>
        <v>High</v>
      </c>
      <c r="U81">
        <v>33</v>
      </c>
      <c r="V81">
        <v>0</v>
      </c>
      <c r="W81">
        <v>30</v>
      </c>
      <c r="X81">
        <v>6</v>
      </c>
      <c r="Y81">
        <f t="shared" ca="1" si="1"/>
        <v>47.699225135676429</v>
      </c>
      <c r="AA81" s="8" t="s">
        <v>863</v>
      </c>
      <c r="AB81">
        <v>7</v>
      </c>
      <c r="AC81">
        <v>46</v>
      </c>
      <c r="AD81">
        <v>31</v>
      </c>
      <c r="AE81">
        <v>66.961798342711759</v>
      </c>
    </row>
    <row r="82" spans="1:31" x14ac:dyDescent="0.3">
      <c r="A82" t="s">
        <v>260</v>
      </c>
      <c r="B82" t="s">
        <v>261</v>
      </c>
      <c r="C82">
        <v>1</v>
      </c>
      <c r="D82" s="1">
        <v>27395</v>
      </c>
      <c r="E82">
        <v>31123</v>
      </c>
      <c r="F82">
        <v>55</v>
      </c>
      <c r="G82">
        <v>300</v>
      </c>
      <c r="H82">
        <v>65</v>
      </c>
      <c r="I82" s="2">
        <v>1003</v>
      </c>
      <c r="J82">
        <v>1</v>
      </c>
      <c r="K82">
        <v>0</v>
      </c>
      <c r="L82">
        <v>2009094673</v>
      </c>
      <c r="M82">
        <v>102</v>
      </c>
      <c r="N82" t="s">
        <v>31</v>
      </c>
      <c r="O82" t="s">
        <v>28</v>
      </c>
      <c r="P82">
        <v>48</v>
      </c>
      <c r="Q82">
        <v>50</v>
      </c>
      <c r="R82" t="str" cm="1">
        <f t="array" ref="R82">_xlfn.IFS(Q82&gt;70,"Good",Q82&lt;40,"Bad",(Q82&gt;OS120*(Q82&lt;80)),"Ok")</f>
        <v>Ok</v>
      </c>
      <c r="S82">
        <v>73</v>
      </c>
      <c r="T82" t="str" cm="1">
        <f t="array" ref="T82">_xlfn.IFS(S82&gt;50, "High", S82&lt;=50, "Low")</f>
        <v>High</v>
      </c>
      <c r="U82">
        <v>43</v>
      </c>
      <c r="V82">
        <v>0</v>
      </c>
      <c r="W82">
        <v>15</v>
      </c>
      <c r="X82">
        <v>4</v>
      </c>
      <c r="Y82">
        <f t="shared" ca="1" si="1"/>
        <v>33.478438631416061</v>
      </c>
      <c r="AA82" s="8" t="s">
        <v>1330</v>
      </c>
      <c r="AB82">
        <v>6</v>
      </c>
      <c r="AC82">
        <v>39</v>
      </c>
      <c r="AD82">
        <v>4</v>
      </c>
      <c r="AE82">
        <v>66.618522480748439</v>
      </c>
    </row>
    <row r="83" spans="1:31" x14ac:dyDescent="0.3">
      <c r="A83" t="s">
        <v>263</v>
      </c>
      <c r="B83" t="s">
        <v>264</v>
      </c>
      <c r="C83">
        <v>2</v>
      </c>
      <c r="D83" s="1">
        <v>44673</v>
      </c>
      <c r="E83">
        <v>2790</v>
      </c>
      <c r="F83">
        <v>30</v>
      </c>
      <c r="G83">
        <v>60</v>
      </c>
      <c r="H83">
        <v>96</v>
      </c>
      <c r="I83">
        <v>71</v>
      </c>
      <c r="J83">
        <v>0</v>
      </c>
      <c r="K83">
        <v>115</v>
      </c>
      <c r="L83">
        <v>600976848</v>
      </c>
      <c r="M83">
        <v>101</v>
      </c>
      <c r="N83" t="s">
        <v>181</v>
      </c>
      <c r="O83" t="s">
        <v>28</v>
      </c>
      <c r="P83">
        <v>34</v>
      </c>
      <c r="Q83">
        <v>32</v>
      </c>
      <c r="R83" t="str" cm="1">
        <f t="array" ref="R83">_xlfn.IFS(Q83&gt;70,"Good",Q83&lt;40,"Bad",(Q83&gt;OS121*(Q83&lt;80)),"Ok")</f>
        <v>Bad</v>
      </c>
      <c r="S83">
        <v>57</v>
      </c>
      <c r="T83" t="str" cm="1">
        <f t="array" ref="T83">_xlfn.IFS(S83&gt;50, "High", S83&lt;=50, "Low")</f>
        <v>High</v>
      </c>
      <c r="U83">
        <v>78</v>
      </c>
      <c r="V83">
        <v>0</v>
      </c>
      <c r="W83">
        <v>20</v>
      </c>
      <c r="X83">
        <v>3</v>
      </c>
      <c r="Y83">
        <f t="shared" ca="1" si="1"/>
        <v>91.750118766138698</v>
      </c>
      <c r="AA83" s="8" t="s">
        <v>1603</v>
      </c>
      <c r="AB83">
        <v>32</v>
      </c>
      <c r="AC83">
        <v>73</v>
      </c>
      <c r="AD83">
        <v>1</v>
      </c>
      <c r="AE83">
        <v>66.550525475197148</v>
      </c>
    </row>
    <row r="84" spans="1:31" x14ac:dyDescent="0.3">
      <c r="A84" t="s">
        <v>266</v>
      </c>
      <c r="B84" t="s">
        <v>267</v>
      </c>
      <c r="C84">
        <v>2</v>
      </c>
      <c r="D84" s="1">
        <v>45100</v>
      </c>
      <c r="E84">
        <v>267</v>
      </c>
      <c r="F84">
        <v>9</v>
      </c>
      <c r="G84">
        <v>9</v>
      </c>
      <c r="H84">
        <v>6</v>
      </c>
      <c r="I84">
        <v>25</v>
      </c>
      <c r="J84">
        <v>2</v>
      </c>
      <c r="K84">
        <v>72</v>
      </c>
      <c r="L84">
        <v>39709092</v>
      </c>
      <c r="M84">
        <v>130</v>
      </c>
      <c r="N84" t="s">
        <v>34</v>
      </c>
      <c r="O84" t="s">
        <v>28</v>
      </c>
      <c r="P84">
        <v>63</v>
      </c>
      <c r="Q84">
        <v>36</v>
      </c>
      <c r="R84" t="str" cm="1">
        <f t="array" ref="R84">_xlfn.IFS(Q84&gt;70,"Good",Q84&lt;40,"Bad",(Q84&gt;OS122*(Q84&lt;80)),"Ok")</f>
        <v>Bad</v>
      </c>
      <c r="S84">
        <v>34</v>
      </c>
      <c r="T84" t="str" cm="1">
        <f t="array" ref="T84">_xlfn.IFS(S84&gt;50, "High", S84&lt;=50, "Low")</f>
        <v>Low</v>
      </c>
      <c r="U84">
        <v>76</v>
      </c>
      <c r="V84">
        <v>0</v>
      </c>
      <c r="W84">
        <v>35</v>
      </c>
      <c r="X84">
        <v>9</v>
      </c>
      <c r="Y84">
        <f t="shared" ca="1" si="1"/>
        <v>78.932139668251125</v>
      </c>
      <c r="AA84" s="8" t="s">
        <v>669</v>
      </c>
      <c r="AB84">
        <v>50</v>
      </c>
      <c r="AC84">
        <v>60</v>
      </c>
      <c r="AD84">
        <v>1</v>
      </c>
      <c r="AE84">
        <v>66.314028295872831</v>
      </c>
    </row>
    <row r="85" spans="1:31" x14ac:dyDescent="0.3">
      <c r="A85" t="s">
        <v>269</v>
      </c>
      <c r="B85" t="s">
        <v>36</v>
      </c>
      <c r="C85">
        <v>1</v>
      </c>
      <c r="D85" s="1">
        <v>45114</v>
      </c>
      <c r="E85">
        <v>139</v>
      </c>
      <c r="F85">
        <v>17</v>
      </c>
      <c r="G85">
        <v>16</v>
      </c>
      <c r="H85">
        <v>72</v>
      </c>
      <c r="I85">
        <v>5</v>
      </c>
      <c r="J85">
        <v>0</v>
      </c>
      <c r="K85">
        <v>8</v>
      </c>
      <c r="L85">
        <v>39228929</v>
      </c>
      <c r="M85">
        <v>142</v>
      </c>
      <c r="N85" t="s">
        <v>61</v>
      </c>
      <c r="O85" t="s">
        <v>28</v>
      </c>
      <c r="P85">
        <v>50</v>
      </c>
      <c r="Q85">
        <v>20</v>
      </c>
      <c r="R85" t="str" cm="1">
        <f t="array" ref="R85">_xlfn.IFS(Q85&gt;70,"Good",Q85&lt;40,"Bad",(Q85&gt;OS123*(Q85&lt;80)),"Ok")</f>
        <v>Bad</v>
      </c>
      <c r="S85">
        <v>64</v>
      </c>
      <c r="T85" t="str" cm="1">
        <f t="array" ref="T85">_xlfn.IFS(S85&gt;50, "High", S85&lt;=50, "Low")</f>
        <v>High</v>
      </c>
      <c r="U85">
        <v>1</v>
      </c>
      <c r="V85">
        <v>0</v>
      </c>
      <c r="W85">
        <v>12</v>
      </c>
      <c r="X85">
        <v>3</v>
      </c>
      <c r="Y85">
        <f t="shared" ca="1" si="1"/>
        <v>78.864604959352874</v>
      </c>
      <c r="AA85" s="8" t="s">
        <v>1305</v>
      </c>
      <c r="AB85">
        <v>12</v>
      </c>
      <c r="AC85">
        <v>65</v>
      </c>
      <c r="AD85">
        <v>0</v>
      </c>
      <c r="AE85">
        <v>65.984820833427406</v>
      </c>
    </row>
    <row r="86" spans="1:31" x14ac:dyDescent="0.3">
      <c r="A86" t="s">
        <v>270</v>
      </c>
      <c r="B86" t="s">
        <v>271</v>
      </c>
      <c r="C86">
        <v>2</v>
      </c>
      <c r="D86" s="1">
        <v>44386</v>
      </c>
      <c r="E86">
        <v>17050</v>
      </c>
      <c r="F86">
        <v>36</v>
      </c>
      <c r="G86">
        <v>492</v>
      </c>
      <c r="H86">
        <v>99</v>
      </c>
      <c r="I86">
        <v>798</v>
      </c>
      <c r="J86">
        <v>31</v>
      </c>
      <c r="K86">
        <v>0</v>
      </c>
      <c r="L86">
        <v>2665343922</v>
      </c>
      <c r="M86">
        <v>170</v>
      </c>
      <c r="N86" t="s">
        <v>31</v>
      </c>
      <c r="O86" t="s">
        <v>28</v>
      </c>
      <c r="P86">
        <v>59</v>
      </c>
      <c r="Q86">
        <v>48</v>
      </c>
      <c r="R86" t="str" cm="1">
        <f t="array" ref="R86">_xlfn.IFS(Q86&gt;70,"Good",Q86&lt;40,"Bad",(Q86&gt;OS124*(Q86&lt;80)),"Ok")</f>
        <v>Ok</v>
      </c>
      <c r="S86">
        <v>76</v>
      </c>
      <c r="T86" t="str" cm="1">
        <f t="array" ref="T86">_xlfn.IFS(S86&gt;50, "High", S86&lt;=50, "Low")</f>
        <v>High</v>
      </c>
      <c r="U86">
        <v>4</v>
      </c>
      <c r="V86">
        <v>0</v>
      </c>
      <c r="W86">
        <v>10</v>
      </c>
      <c r="X86">
        <v>5</v>
      </c>
      <c r="Y86">
        <f t="shared" ca="1" si="1"/>
        <v>37.818518128167774</v>
      </c>
      <c r="AA86" s="8" t="s">
        <v>582</v>
      </c>
      <c r="AB86">
        <v>11</v>
      </c>
      <c r="AC86">
        <v>78</v>
      </c>
      <c r="AD86">
        <v>30</v>
      </c>
      <c r="AE86">
        <v>64.6008252111465</v>
      </c>
    </row>
    <row r="87" spans="1:31" x14ac:dyDescent="0.3">
      <c r="A87" t="s">
        <v>273</v>
      </c>
      <c r="B87" t="s">
        <v>274</v>
      </c>
      <c r="C87">
        <v>2</v>
      </c>
      <c r="D87" s="1">
        <v>44988</v>
      </c>
      <c r="E87">
        <v>2114</v>
      </c>
      <c r="F87">
        <v>44</v>
      </c>
      <c r="G87">
        <v>80</v>
      </c>
      <c r="H87">
        <v>75</v>
      </c>
      <c r="I87">
        <v>110</v>
      </c>
      <c r="J87">
        <v>11</v>
      </c>
      <c r="K87">
        <v>323</v>
      </c>
      <c r="L87">
        <v>223633238</v>
      </c>
      <c r="M87">
        <v>124</v>
      </c>
      <c r="N87" t="s">
        <v>81</v>
      </c>
      <c r="O87" t="s">
        <v>45</v>
      </c>
      <c r="P87">
        <v>78</v>
      </c>
      <c r="Q87">
        <v>70</v>
      </c>
      <c r="R87" t="str" cm="1">
        <f t="array" ref="R87">_xlfn.IFS(Q87&gt;70,"Good",Q87&lt;40,"Bad",(Q87&gt;OS125*(Q87&lt;80)),"Ok")</f>
        <v>Ok</v>
      </c>
      <c r="S87">
        <v>68</v>
      </c>
      <c r="T87" t="str" cm="1">
        <f t="array" ref="T87">_xlfn.IFS(S87&gt;50, "High", S87&lt;=50, "Low")</f>
        <v>High</v>
      </c>
      <c r="U87">
        <v>3</v>
      </c>
      <c r="V87">
        <v>1</v>
      </c>
      <c r="W87">
        <v>11</v>
      </c>
      <c r="X87">
        <v>4</v>
      </c>
      <c r="Y87">
        <f t="shared" ca="1" si="1"/>
        <v>81.080263105949513</v>
      </c>
      <c r="AA87" s="8" t="s">
        <v>959</v>
      </c>
      <c r="AB87">
        <v>8</v>
      </c>
      <c r="AC87">
        <v>34</v>
      </c>
      <c r="AD87">
        <v>39</v>
      </c>
      <c r="AE87">
        <v>64.27294712654718</v>
      </c>
    </row>
    <row r="88" spans="1:31" x14ac:dyDescent="0.3">
      <c r="A88" t="s">
        <v>275</v>
      </c>
      <c r="B88" t="s">
        <v>276</v>
      </c>
      <c r="C88">
        <v>1</v>
      </c>
      <c r="D88" s="1">
        <v>43412</v>
      </c>
      <c r="E88">
        <v>17836</v>
      </c>
      <c r="F88">
        <v>53</v>
      </c>
      <c r="G88">
        <v>440</v>
      </c>
      <c r="H88">
        <v>125</v>
      </c>
      <c r="I88" s="2">
        <v>1800</v>
      </c>
      <c r="J88">
        <v>0</v>
      </c>
      <c r="L88">
        <v>2887241814</v>
      </c>
      <c r="M88">
        <v>110</v>
      </c>
      <c r="N88" t="s">
        <v>31</v>
      </c>
      <c r="O88" t="s">
        <v>28</v>
      </c>
      <c r="P88">
        <v>50</v>
      </c>
      <c r="Q88">
        <v>45</v>
      </c>
      <c r="R88" t="str" cm="1">
        <f t="array" ref="R88">_xlfn.IFS(Q88&gt;70,"Good",Q88&lt;40,"Bad",(Q88&gt;OS126*(Q88&lt;80)),"Ok")</f>
        <v>Ok</v>
      </c>
      <c r="S88">
        <v>41</v>
      </c>
      <c r="T88" t="str" cm="1">
        <f t="array" ref="T88">_xlfn.IFS(S88&gt;50, "High", S88&lt;=50, "Low")</f>
        <v>Low</v>
      </c>
      <c r="U88">
        <v>75</v>
      </c>
      <c r="V88">
        <v>0</v>
      </c>
      <c r="W88">
        <v>11</v>
      </c>
      <c r="X88">
        <v>3</v>
      </c>
      <c r="Y88">
        <f t="shared" ca="1" si="1"/>
        <v>64.770875420123645</v>
      </c>
      <c r="AA88" s="8" t="s">
        <v>1592</v>
      </c>
      <c r="AB88">
        <v>11</v>
      </c>
      <c r="AC88">
        <v>74</v>
      </c>
      <c r="AD88">
        <v>0</v>
      </c>
      <c r="AE88">
        <v>63.73318395302563</v>
      </c>
    </row>
    <row r="89" spans="1:31" x14ac:dyDescent="0.3">
      <c r="A89" t="s">
        <v>278</v>
      </c>
      <c r="B89" t="s">
        <v>279</v>
      </c>
      <c r="C89">
        <v>2</v>
      </c>
      <c r="D89" s="1">
        <v>44687</v>
      </c>
      <c r="E89">
        <v>8870</v>
      </c>
      <c r="F89">
        <v>43</v>
      </c>
      <c r="G89">
        <v>104</v>
      </c>
      <c r="H89">
        <v>120</v>
      </c>
      <c r="I89">
        <v>141</v>
      </c>
      <c r="J89">
        <v>26</v>
      </c>
      <c r="K89">
        <v>49</v>
      </c>
      <c r="L89">
        <v>1440757818</v>
      </c>
      <c r="M89">
        <v>92</v>
      </c>
      <c r="N89" t="s">
        <v>31</v>
      </c>
      <c r="O89" t="s">
        <v>45</v>
      </c>
      <c r="P89">
        <v>91</v>
      </c>
      <c r="Q89">
        <v>43</v>
      </c>
      <c r="R89" t="str" cm="1">
        <f t="array" ref="R89">_xlfn.IFS(Q89&gt;70,"Good",Q89&lt;40,"Bad",(Q89&gt;OS127*(Q89&lt;80)),"Ok")</f>
        <v>Ok</v>
      </c>
      <c r="S89">
        <v>71</v>
      </c>
      <c r="T89" t="str" cm="1">
        <f t="array" ref="T89">_xlfn.IFS(S89&gt;50, "High", S89&lt;=50, "Low")</f>
        <v>High</v>
      </c>
      <c r="U89">
        <v>9</v>
      </c>
      <c r="V89">
        <v>0</v>
      </c>
      <c r="W89">
        <v>9</v>
      </c>
      <c r="X89">
        <v>8</v>
      </c>
      <c r="Y89">
        <f t="shared" ca="1" si="1"/>
        <v>78.977685132486414</v>
      </c>
      <c r="AA89" s="8" t="s">
        <v>661</v>
      </c>
      <c r="AB89">
        <v>8</v>
      </c>
      <c r="AC89">
        <v>68</v>
      </c>
      <c r="AD89">
        <v>1</v>
      </c>
      <c r="AE89">
        <v>63.505775509331656</v>
      </c>
    </row>
    <row r="90" spans="1:31" x14ac:dyDescent="0.3">
      <c r="A90" t="s">
        <v>281</v>
      </c>
      <c r="B90" t="s">
        <v>282</v>
      </c>
      <c r="C90">
        <v>1</v>
      </c>
      <c r="D90" s="1">
        <v>42177</v>
      </c>
      <c r="E90">
        <v>6060</v>
      </c>
      <c r="F90">
        <v>53</v>
      </c>
      <c r="G90">
        <v>150</v>
      </c>
      <c r="H90">
        <v>148</v>
      </c>
      <c r="I90" s="2">
        <v>2703</v>
      </c>
      <c r="J90">
        <v>22</v>
      </c>
      <c r="K90" s="2">
        <v>1451</v>
      </c>
      <c r="L90">
        <v>165484133</v>
      </c>
      <c r="M90">
        <v>116</v>
      </c>
      <c r="N90" t="s">
        <v>61</v>
      </c>
      <c r="O90" t="s">
        <v>28</v>
      </c>
      <c r="P90">
        <v>82</v>
      </c>
      <c r="Q90">
        <v>40</v>
      </c>
      <c r="R90" t="str" cm="1">
        <f t="array" ref="R90">_xlfn.IFS(Q90&gt;70,"Good",Q90&lt;40,"Bad",(Q90&gt;OS128*(Q90&lt;80)),"Ok")</f>
        <v>Ok</v>
      </c>
      <c r="S90">
        <v>66</v>
      </c>
      <c r="T90" t="str" cm="1">
        <f t="array" ref="T90">_xlfn.IFS(S90&gt;50, "High", S90&lt;=50, "Low")</f>
        <v>High</v>
      </c>
      <c r="U90">
        <v>39</v>
      </c>
      <c r="V90">
        <v>51</v>
      </c>
      <c r="W90">
        <v>25</v>
      </c>
      <c r="X90">
        <v>7</v>
      </c>
      <c r="Y90">
        <f t="shared" ca="1" si="1"/>
        <v>20.072611677205764</v>
      </c>
      <c r="AA90" s="8" t="s">
        <v>1156</v>
      </c>
      <c r="AB90">
        <v>23</v>
      </c>
      <c r="AC90">
        <v>45</v>
      </c>
      <c r="AD90">
        <v>7</v>
      </c>
      <c r="AE90">
        <v>61.723837897616839</v>
      </c>
    </row>
    <row r="91" spans="1:31" x14ac:dyDescent="0.3">
      <c r="A91" t="s">
        <v>284</v>
      </c>
      <c r="B91" t="s">
        <v>285</v>
      </c>
      <c r="C91">
        <v>2</v>
      </c>
      <c r="D91" s="1">
        <v>41080</v>
      </c>
      <c r="E91">
        <v>641</v>
      </c>
      <c r="F91">
        <v>50</v>
      </c>
      <c r="G91">
        <v>1</v>
      </c>
      <c r="H91">
        <v>52</v>
      </c>
      <c r="I91">
        <v>8</v>
      </c>
      <c r="J91">
        <v>0</v>
      </c>
      <c r="K91" s="2">
        <v>1170</v>
      </c>
      <c r="L91">
        <v>58054811</v>
      </c>
      <c r="M91">
        <v>129</v>
      </c>
      <c r="N91" t="s">
        <v>37</v>
      </c>
      <c r="O91" t="s">
        <v>28</v>
      </c>
      <c r="P91">
        <v>63</v>
      </c>
      <c r="Q91">
        <v>84</v>
      </c>
      <c r="R91" t="str" cm="1">
        <f t="array" ref="R91">_xlfn.IFS(Q91&gt;70,"Good",Q91&lt;40,"Bad",(Q91&gt;OS129*(Q91&lt;80)),"Ok")</f>
        <v>Good</v>
      </c>
      <c r="S91">
        <v>82</v>
      </c>
      <c r="T91" t="str" cm="1">
        <f t="array" ref="T91">_xlfn.IFS(S91&gt;50, "High", S91&lt;=50, "Low")</f>
        <v>High</v>
      </c>
      <c r="U91">
        <v>70</v>
      </c>
      <c r="V91">
        <v>8</v>
      </c>
      <c r="W91">
        <v>9</v>
      </c>
      <c r="X91">
        <v>7</v>
      </c>
      <c r="Y91">
        <f t="shared" ca="1" si="1"/>
        <v>31.497299728721984</v>
      </c>
      <c r="AA91" s="8" t="s">
        <v>866</v>
      </c>
      <c r="AB91">
        <v>8</v>
      </c>
      <c r="AC91">
        <v>58</v>
      </c>
      <c r="AD91">
        <v>7</v>
      </c>
      <c r="AE91">
        <v>61.377774350548044</v>
      </c>
    </row>
    <row r="92" spans="1:31" x14ac:dyDescent="0.3">
      <c r="A92" t="s">
        <v>286</v>
      </c>
      <c r="B92" t="s">
        <v>287</v>
      </c>
      <c r="C92">
        <v>1</v>
      </c>
      <c r="D92" s="1">
        <v>45009</v>
      </c>
      <c r="E92">
        <v>1446</v>
      </c>
      <c r="F92">
        <v>12</v>
      </c>
      <c r="G92">
        <v>57</v>
      </c>
      <c r="H92">
        <v>97</v>
      </c>
      <c r="I92">
        <v>35</v>
      </c>
      <c r="J92">
        <v>0</v>
      </c>
      <c r="K92">
        <v>429</v>
      </c>
      <c r="L92">
        <v>157058870</v>
      </c>
      <c r="M92">
        <v>98</v>
      </c>
      <c r="N92" t="s">
        <v>81</v>
      </c>
      <c r="O92" t="s">
        <v>28</v>
      </c>
      <c r="P92">
        <v>71</v>
      </c>
      <c r="Q92">
        <v>67</v>
      </c>
      <c r="R92" t="str" cm="1">
        <f t="array" ref="R92">_xlfn.IFS(Q92&gt;70,"Good",Q92&lt;40,"Bad",(Q92&gt;OS130*(Q92&lt;80)),"Ok")</f>
        <v>Ok</v>
      </c>
      <c r="S92">
        <v>60</v>
      </c>
      <c r="T92" t="str" cm="1">
        <f t="array" ref="T92">_xlfn.IFS(S92&gt;50, "High", S92&lt;=50, "Low")</f>
        <v>High</v>
      </c>
      <c r="U92">
        <v>19</v>
      </c>
      <c r="V92">
        <v>0</v>
      </c>
      <c r="W92">
        <v>12</v>
      </c>
      <c r="X92">
        <v>3</v>
      </c>
      <c r="Y92">
        <f t="shared" ca="1" si="1"/>
        <v>96.071934445608306</v>
      </c>
      <c r="AA92" s="8" t="s">
        <v>179</v>
      </c>
      <c r="AB92">
        <v>10</v>
      </c>
      <c r="AC92">
        <v>72</v>
      </c>
      <c r="AD92">
        <v>7</v>
      </c>
      <c r="AE92">
        <v>60.978403356831947</v>
      </c>
    </row>
    <row r="93" spans="1:31" x14ac:dyDescent="0.3">
      <c r="A93" t="s">
        <v>289</v>
      </c>
      <c r="B93" t="s">
        <v>290</v>
      </c>
      <c r="C93">
        <v>1</v>
      </c>
      <c r="D93" s="1">
        <v>45002</v>
      </c>
      <c r="E93">
        <v>804</v>
      </c>
      <c r="F93">
        <v>25</v>
      </c>
      <c r="G93">
        <v>29</v>
      </c>
      <c r="H93">
        <v>76</v>
      </c>
      <c r="I93">
        <v>24</v>
      </c>
      <c r="J93">
        <v>0</v>
      </c>
      <c r="K93">
        <v>162</v>
      </c>
      <c r="L93">
        <v>95131998</v>
      </c>
      <c r="M93">
        <v>172</v>
      </c>
      <c r="N93" t="s">
        <v>31</v>
      </c>
      <c r="O93" t="s">
        <v>45</v>
      </c>
      <c r="P93">
        <v>74</v>
      </c>
      <c r="Q93">
        <v>76</v>
      </c>
      <c r="R93" t="str" cm="1">
        <f t="array" ref="R93">_xlfn.IFS(Q93&gt;70,"Good",Q93&lt;40,"Bad",(Q93&gt;OS131*(Q93&lt;80)),"Ok")</f>
        <v>Good</v>
      </c>
      <c r="S93">
        <v>76</v>
      </c>
      <c r="T93" t="str" cm="1">
        <f t="array" ref="T93">_xlfn.IFS(S93&gt;50, "High", S93&lt;=50, "Low")</f>
        <v>High</v>
      </c>
      <c r="U93">
        <v>6</v>
      </c>
      <c r="V93">
        <v>0</v>
      </c>
      <c r="W93">
        <v>10</v>
      </c>
      <c r="X93">
        <v>9</v>
      </c>
      <c r="Y93">
        <f t="shared" ca="1" si="1"/>
        <v>91.820994506716062</v>
      </c>
      <c r="AA93" s="8" t="s">
        <v>364</v>
      </c>
      <c r="AB93">
        <v>8</v>
      </c>
      <c r="AC93">
        <v>64</v>
      </c>
      <c r="AD93">
        <v>4</v>
      </c>
      <c r="AE93">
        <v>60.578054606594691</v>
      </c>
    </row>
    <row r="94" spans="1:31" x14ac:dyDescent="0.3">
      <c r="A94" t="s">
        <v>292</v>
      </c>
      <c r="B94" t="s">
        <v>293</v>
      </c>
      <c r="C94">
        <v>2</v>
      </c>
      <c r="D94" s="1">
        <v>45002</v>
      </c>
      <c r="E94">
        <v>1962</v>
      </c>
      <c r="F94">
        <v>38</v>
      </c>
      <c r="G94">
        <v>28</v>
      </c>
      <c r="H94">
        <v>89</v>
      </c>
      <c r="I94">
        <v>29</v>
      </c>
      <c r="J94">
        <v>5</v>
      </c>
      <c r="K94">
        <v>82</v>
      </c>
      <c r="L94">
        <v>250305248</v>
      </c>
      <c r="M94">
        <v>150</v>
      </c>
      <c r="N94" t="s">
        <v>61</v>
      </c>
      <c r="O94" t="s">
        <v>28</v>
      </c>
      <c r="P94">
        <v>68</v>
      </c>
      <c r="Q94">
        <v>14</v>
      </c>
      <c r="R94" t="str" cm="1">
        <f t="array" ref="R94">_xlfn.IFS(Q94&gt;70,"Good",Q94&lt;40,"Bad",(Q94&gt;OS132*(Q94&lt;80)),"Ok")</f>
        <v>Bad</v>
      </c>
      <c r="S94">
        <v>76</v>
      </c>
      <c r="T94" t="str" cm="1">
        <f t="array" ref="T94">_xlfn.IFS(S94&gt;50, "High", S94&lt;=50, "Low")</f>
        <v>High</v>
      </c>
      <c r="U94">
        <v>4</v>
      </c>
      <c r="V94">
        <v>0</v>
      </c>
      <c r="W94">
        <v>10</v>
      </c>
      <c r="X94">
        <v>4</v>
      </c>
      <c r="Y94">
        <f t="shared" ca="1" si="1"/>
        <v>59.49821939716562</v>
      </c>
      <c r="AA94" s="8" t="s">
        <v>1190</v>
      </c>
      <c r="AB94">
        <v>10</v>
      </c>
      <c r="AC94">
        <v>35</v>
      </c>
      <c r="AD94">
        <v>0</v>
      </c>
      <c r="AE94">
        <v>59.620569335646209</v>
      </c>
    </row>
    <row r="95" spans="1:31" x14ac:dyDescent="0.3">
      <c r="A95" t="s">
        <v>295</v>
      </c>
      <c r="B95" t="s">
        <v>36</v>
      </c>
      <c r="C95">
        <v>1</v>
      </c>
      <c r="D95" s="1">
        <v>43047</v>
      </c>
      <c r="E95">
        <v>4875</v>
      </c>
      <c r="F95">
        <v>23</v>
      </c>
      <c r="G95">
        <v>19</v>
      </c>
      <c r="H95">
        <v>45</v>
      </c>
      <c r="I95">
        <v>0</v>
      </c>
      <c r="J95">
        <v>0</v>
      </c>
      <c r="K95">
        <v>10</v>
      </c>
      <c r="L95">
        <v>685032533</v>
      </c>
      <c r="M95">
        <v>136</v>
      </c>
      <c r="N95" t="s">
        <v>37</v>
      </c>
      <c r="O95" t="s">
        <v>45</v>
      </c>
      <c r="P95">
        <v>62</v>
      </c>
      <c r="Q95">
        <v>19</v>
      </c>
      <c r="R95" t="str" cm="1">
        <f t="array" ref="R95">_xlfn.IFS(Q95&gt;70,"Good",Q95&lt;40,"Bad",(Q95&gt;OS133*(Q95&lt;80)),"Ok")</f>
        <v>Bad</v>
      </c>
      <c r="S95">
        <v>53</v>
      </c>
      <c r="T95" t="str" cm="1">
        <f t="array" ref="T95">_xlfn.IFS(S95&gt;50, "High", S95&lt;=50, "Low")</f>
        <v>High</v>
      </c>
      <c r="U95">
        <v>11</v>
      </c>
      <c r="V95">
        <v>0</v>
      </c>
      <c r="W95">
        <v>6</v>
      </c>
      <c r="X95">
        <v>4</v>
      </c>
      <c r="Y95">
        <f t="shared" ca="1" si="1"/>
        <v>43.683894245300323</v>
      </c>
      <c r="AA95" s="8" t="s">
        <v>691</v>
      </c>
      <c r="AB95">
        <v>9</v>
      </c>
      <c r="AC95">
        <v>80</v>
      </c>
      <c r="AD95">
        <v>22</v>
      </c>
      <c r="AE95">
        <v>59.333541212838512</v>
      </c>
    </row>
    <row r="96" spans="1:31" x14ac:dyDescent="0.3">
      <c r="A96" t="s">
        <v>297</v>
      </c>
      <c r="B96" t="s">
        <v>298</v>
      </c>
      <c r="C96">
        <v>1</v>
      </c>
      <c r="D96" s="1">
        <v>43987</v>
      </c>
      <c r="E96">
        <v>31</v>
      </c>
      <c r="F96">
        <v>39</v>
      </c>
      <c r="G96">
        <v>2</v>
      </c>
      <c r="H96">
        <v>107</v>
      </c>
      <c r="I96">
        <v>8</v>
      </c>
      <c r="J96">
        <v>0</v>
      </c>
      <c r="K96">
        <v>0</v>
      </c>
      <c r="L96">
        <v>38411956</v>
      </c>
      <c r="M96">
        <v>88</v>
      </c>
      <c r="N96" t="s">
        <v>31</v>
      </c>
      <c r="O96" t="s">
        <v>45</v>
      </c>
      <c r="P96">
        <v>53</v>
      </c>
      <c r="Q96">
        <v>34</v>
      </c>
      <c r="R96" t="str" cm="1">
        <f t="array" ref="R96">_xlfn.IFS(Q96&gt;70,"Good",Q96&lt;40,"Bad",(Q96&gt;OS134*(Q96&lt;80)),"Ok")</f>
        <v>Bad</v>
      </c>
      <c r="S96">
        <v>47</v>
      </c>
      <c r="T96" t="str" cm="1">
        <f t="array" ref="T96">_xlfn.IFS(S96&gt;50, "High", S96&lt;=50, "Low")</f>
        <v>Low</v>
      </c>
      <c r="U96">
        <v>9</v>
      </c>
      <c r="V96">
        <v>0</v>
      </c>
      <c r="W96">
        <v>83</v>
      </c>
      <c r="X96">
        <v>4</v>
      </c>
      <c r="Y96">
        <f t="shared" ca="1" si="1"/>
        <v>63.798797590022282</v>
      </c>
      <c r="AA96" s="8" t="s">
        <v>514</v>
      </c>
      <c r="AB96">
        <v>27</v>
      </c>
      <c r="AC96">
        <v>74</v>
      </c>
      <c r="AD96">
        <v>26</v>
      </c>
      <c r="AE96">
        <v>58.37061240964082</v>
      </c>
    </row>
    <row r="97" spans="1:31" x14ac:dyDescent="0.3">
      <c r="A97" t="s">
        <v>300</v>
      </c>
      <c r="B97" t="s">
        <v>301</v>
      </c>
      <c r="C97">
        <v>2</v>
      </c>
      <c r="D97" s="1">
        <v>45058</v>
      </c>
      <c r="E97">
        <v>2175</v>
      </c>
      <c r="F97">
        <v>23</v>
      </c>
      <c r="G97">
        <v>69</v>
      </c>
      <c r="H97">
        <v>145</v>
      </c>
      <c r="I97">
        <v>69</v>
      </c>
      <c r="J97">
        <v>2</v>
      </c>
      <c r="K97">
        <v>478</v>
      </c>
      <c r="L97">
        <v>144565150</v>
      </c>
      <c r="M97">
        <v>143</v>
      </c>
      <c r="N97" t="s">
        <v>302</v>
      </c>
      <c r="O97" t="s">
        <v>28</v>
      </c>
      <c r="P97">
        <v>83</v>
      </c>
      <c r="Q97">
        <v>69</v>
      </c>
      <c r="R97" t="str" cm="1">
        <f t="array" ref="R97">_xlfn.IFS(Q97&gt;70,"Good",Q97&lt;40,"Bad",(Q97&gt;OS135*(Q97&lt;80)),"Ok")</f>
        <v>Ok</v>
      </c>
      <c r="S97">
        <v>44</v>
      </c>
      <c r="T97" t="str" cm="1">
        <f t="array" ref="T97">_xlfn.IFS(S97&gt;50, "High", S97&lt;=50, "Low")</f>
        <v>Low</v>
      </c>
      <c r="U97">
        <v>15</v>
      </c>
      <c r="V97">
        <v>0</v>
      </c>
      <c r="W97">
        <v>10</v>
      </c>
      <c r="X97">
        <v>33</v>
      </c>
      <c r="Y97">
        <f t="shared" ca="1" si="1"/>
        <v>17.58296368504103</v>
      </c>
      <c r="AA97" s="8" t="s">
        <v>827</v>
      </c>
      <c r="AB97">
        <v>15</v>
      </c>
      <c r="AC97">
        <v>64</v>
      </c>
      <c r="AD97">
        <v>0</v>
      </c>
      <c r="AE97">
        <v>58.058200037919406</v>
      </c>
    </row>
    <row r="98" spans="1:31" x14ac:dyDescent="0.3">
      <c r="A98" t="s">
        <v>304</v>
      </c>
      <c r="B98" t="s">
        <v>305</v>
      </c>
      <c r="C98">
        <v>1</v>
      </c>
      <c r="D98" s="1">
        <v>45002</v>
      </c>
      <c r="E98">
        <v>2000</v>
      </c>
      <c r="F98">
        <v>46</v>
      </c>
      <c r="G98">
        <v>49</v>
      </c>
      <c r="H98">
        <v>105</v>
      </c>
      <c r="I98">
        <v>63</v>
      </c>
      <c r="J98">
        <v>1</v>
      </c>
      <c r="K98">
        <v>0</v>
      </c>
      <c r="L98">
        <v>127567540</v>
      </c>
      <c r="M98">
        <v>100</v>
      </c>
      <c r="N98" t="s">
        <v>65</v>
      </c>
      <c r="O98" t="s">
        <v>45</v>
      </c>
      <c r="P98">
        <v>49</v>
      </c>
      <c r="Q98">
        <v>17</v>
      </c>
      <c r="R98" t="str" cm="1">
        <f t="array" ref="R98">_xlfn.IFS(Q98&gt;70,"Good",Q98&lt;40,"Bad",(Q98&gt;OS136*(Q98&lt;80)),"Ok")</f>
        <v>Bad</v>
      </c>
      <c r="S98">
        <v>35</v>
      </c>
      <c r="T98" t="str" cm="1">
        <f t="array" ref="T98">_xlfn.IFS(S98&gt;50, "High", S98&lt;=50, "Low")</f>
        <v>Low</v>
      </c>
      <c r="U98">
        <v>71</v>
      </c>
      <c r="V98">
        <v>9</v>
      </c>
      <c r="W98">
        <v>11</v>
      </c>
      <c r="X98">
        <v>3</v>
      </c>
      <c r="Y98">
        <f t="shared" ca="1" si="1"/>
        <v>93.149167378667158</v>
      </c>
      <c r="AA98" s="8" t="s">
        <v>1234</v>
      </c>
      <c r="AB98">
        <v>48</v>
      </c>
      <c r="AC98">
        <v>60</v>
      </c>
      <c r="AD98">
        <v>8</v>
      </c>
      <c r="AE98">
        <v>57.646963398891259</v>
      </c>
    </row>
    <row r="99" spans="1:31" x14ac:dyDescent="0.3">
      <c r="A99" t="s">
        <v>307</v>
      </c>
      <c r="B99" t="s">
        <v>80</v>
      </c>
      <c r="C99">
        <v>1</v>
      </c>
      <c r="D99" s="1">
        <v>44904</v>
      </c>
      <c r="E99">
        <v>2839</v>
      </c>
      <c r="F99">
        <v>25</v>
      </c>
      <c r="G99">
        <v>58</v>
      </c>
      <c r="H99">
        <v>156</v>
      </c>
      <c r="I99">
        <v>42</v>
      </c>
      <c r="J99">
        <v>1</v>
      </c>
      <c r="K99">
        <v>236</v>
      </c>
      <c r="L99">
        <v>399686758</v>
      </c>
      <c r="M99">
        <v>143</v>
      </c>
      <c r="N99" t="s">
        <v>34</v>
      </c>
      <c r="O99" t="s">
        <v>28</v>
      </c>
      <c r="P99">
        <v>56</v>
      </c>
      <c r="Q99">
        <v>39</v>
      </c>
      <c r="R99" t="str" cm="1">
        <f t="array" ref="R99">_xlfn.IFS(Q99&gt;70,"Good",Q99&lt;40,"Bad",(Q99&gt;OS137*(Q99&lt;80)),"Ok")</f>
        <v>Bad</v>
      </c>
      <c r="S99">
        <v>55</v>
      </c>
      <c r="T99" t="str" cm="1">
        <f t="array" ref="T99">_xlfn.IFS(S99&gt;50, "High", S99&lt;=50, "Low")</f>
        <v>High</v>
      </c>
      <c r="U99">
        <v>14</v>
      </c>
      <c r="V99">
        <v>0</v>
      </c>
      <c r="W99">
        <v>11</v>
      </c>
      <c r="X99">
        <v>13</v>
      </c>
      <c r="Y99">
        <f t="shared" ca="1" si="1"/>
        <v>68.844308863176025</v>
      </c>
      <c r="AA99" s="8" t="s">
        <v>998</v>
      </c>
      <c r="AB99">
        <v>21</v>
      </c>
      <c r="AC99">
        <v>63</v>
      </c>
      <c r="AD99">
        <v>26</v>
      </c>
      <c r="AE99">
        <v>56.574793670805136</v>
      </c>
    </row>
    <row r="100" spans="1:31" x14ac:dyDescent="0.3">
      <c r="A100" t="s">
        <v>309</v>
      </c>
      <c r="B100" t="s">
        <v>305</v>
      </c>
      <c r="C100">
        <v>1</v>
      </c>
      <c r="D100" s="1">
        <v>40544</v>
      </c>
      <c r="E100">
        <v>20333</v>
      </c>
      <c r="F100">
        <v>52</v>
      </c>
      <c r="G100">
        <v>89</v>
      </c>
      <c r="H100">
        <v>143</v>
      </c>
      <c r="I100" s="2">
        <v>1632</v>
      </c>
      <c r="J100">
        <v>3</v>
      </c>
      <c r="K100">
        <v>200</v>
      </c>
      <c r="L100">
        <v>983637508</v>
      </c>
      <c r="M100">
        <v>112</v>
      </c>
      <c r="N100" t="s">
        <v>31</v>
      </c>
      <c r="O100" t="s">
        <v>45</v>
      </c>
      <c r="P100">
        <v>56</v>
      </c>
      <c r="Q100">
        <v>24</v>
      </c>
      <c r="R100" t="str" cm="1">
        <f t="array" ref="R100">_xlfn.IFS(Q100&gt;70,"Good",Q100&lt;40,"Bad",(Q100&gt;OS138*(Q100&lt;80)),"Ok")</f>
        <v>Bad</v>
      </c>
      <c r="S100">
        <v>66</v>
      </c>
      <c r="T100" t="str" cm="1">
        <f t="array" ref="T100">_xlfn.IFS(S100&gt;50, "High", S100&lt;=50, "Low")</f>
        <v>High</v>
      </c>
      <c r="U100">
        <v>7</v>
      </c>
      <c r="V100">
        <v>0</v>
      </c>
      <c r="W100">
        <v>12</v>
      </c>
      <c r="X100">
        <v>3</v>
      </c>
      <c r="Y100">
        <f t="shared" ca="1" si="1"/>
        <v>86.433640180509457</v>
      </c>
      <c r="AA100" s="8" t="s">
        <v>896</v>
      </c>
      <c r="AB100">
        <v>20</v>
      </c>
      <c r="AC100">
        <v>58</v>
      </c>
      <c r="AD100">
        <v>18</v>
      </c>
      <c r="AE100">
        <v>56.538647077850037</v>
      </c>
    </row>
    <row r="101" spans="1:31" x14ac:dyDescent="0.3">
      <c r="A101" t="s">
        <v>311</v>
      </c>
      <c r="B101" t="s">
        <v>312</v>
      </c>
      <c r="C101">
        <v>1</v>
      </c>
      <c r="D101" s="1">
        <v>45086</v>
      </c>
      <c r="E101">
        <v>674</v>
      </c>
      <c r="F101">
        <v>47</v>
      </c>
      <c r="G101">
        <v>20</v>
      </c>
      <c r="H101">
        <v>106</v>
      </c>
      <c r="I101">
        <v>25</v>
      </c>
      <c r="J101">
        <v>4</v>
      </c>
      <c r="K101">
        <v>78</v>
      </c>
      <c r="L101">
        <v>118482347</v>
      </c>
      <c r="M101">
        <v>93</v>
      </c>
      <c r="N101" t="s">
        <v>94</v>
      </c>
      <c r="O101" t="s">
        <v>28</v>
      </c>
      <c r="P101">
        <v>62</v>
      </c>
      <c r="Q101">
        <v>57</v>
      </c>
      <c r="R101" t="str" cm="1">
        <f t="array" ref="R101">_xlfn.IFS(Q101&gt;70,"Good",Q101&lt;40,"Bad",(Q101&gt;OS139*(Q101&lt;80)),"Ok")</f>
        <v>Ok</v>
      </c>
      <c r="S101">
        <v>59</v>
      </c>
      <c r="T101" t="str" cm="1">
        <f t="array" ref="T101">_xlfn.IFS(S101&gt;50, "High", S101&lt;=50, "Low")</f>
        <v>High</v>
      </c>
      <c r="U101">
        <v>3</v>
      </c>
      <c r="V101">
        <v>0</v>
      </c>
      <c r="W101">
        <v>38</v>
      </c>
      <c r="X101">
        <v>3</v>
      </c>
      <c r="Y101">
        <f t="shared" ca="1" si="1"/>
        <v>39.44661084866221</v>
      </c>
      <c r="AA101" s="8" t="s">
        <v>875</v>
      </c>
      <c r="AB101">
        <v>31</v>
      </c>
      <c r="AC101">
        <v>87</v>
      </c>
      <c r="AD101">
        <v>0</v>
      </c>
      <c r="AE101">
        <v>56.452708849158931</v>
      </c>
    </row>
    <row r="102" spans="1:31" x14ac:dyDescent="0.3">
      <c r="A102" t="s">
        <v>314</v>
      </c>
      <c r="B102" t="s">
        <v>36</v>
      </c>
      <c r="C102">
        <v>1</v>
      </c>
      <c r="D102" s="1">
        <v>40909</v>
      </c>
      <c r="E102">
        <v>8448</v>
      </c>
      <c r="F102">
        <v>23</v>
      </c>
      <c r="G102">
        <v>160</v>
      </c>
      <c r="H102">
        <v>110</v>
      </c>
      <c r="I102">
        <v>163</v>
      </c>
      <c r="J102">
        <v>0</v>
      </c>
      <c r="K102">
        <v>5</v>
      </c>
      <c r="L102">
        <v>882831184</v>
      </c>
      <c r="M102">
        <v>206</v>
      </c>
      <c r="N102" t="s">
        <v>94</v>
      </c>
      <c r="O102" t="s">
        <v>28</v>
      </c>
      <c r="P102">
        <v>43</v>
      </c>
      <c r="Q102">
        <v>50</v>
      </c>
      <c r="R102" t="str" cm="1">
        <f t="array" ref="R102">_xlfn.IFS(Q102&gt;70,"Good",Q102&lt;40,"Bad",(Q102&gt;OS140*(Q102&lt;80)),"Ok")</f>
        <v>Ok</v>
      </c>
      <c r="S102">
        <v>55</v>
      </c>
      <c r="T102" t="str" cm="1">
        <f t="array" ref="T102">_xlfn.IFS(S102&gt;50, "High", S102&lt;=50, "Low")</f>
        <v>High</v>
      </c>
      <c r="U102">
        <v>50</v>
      </c>
      <c r="V102">
        <v>0</v>
      </c>
      <c r="W102">
        <v>15</v>
      </c>
      <c r="X102">
        <v>10</v>
      </c>
      <c r="Y102">
        <f t="shared" ca="1" si="1"/>
        <v>10.073907179713126</v>
      </c>
      <c r="AA102" s="8" t="s">
        <v>1128</v>
      </c>
      <c r="AB102">
        <v>26</v>
      </c>
      <c r="AC102">
        <v>80</v>
      </c>
      <c r="AD102">
        <v>1</v>
      </c>
      <c r="AE102">
        <v>55.840081760972907</v>
      </c>
    </row>
    <row r="103" spans="1:31" x14ac:dyDescent="0.3">
      <c r="A103" t="s">
        <v>315</v>
      </c>
      <c r="B103" t="s">
        <v>316</v>
      </c>
      <c r="C103">
        <v>3</v>
      </c>
      <c r="D103" s="1">
        <v>44897</v>
      </c>
      <c r="E103">
        <v>2110</v>
      </c>
      <c r="F103">
        <v>58</v>
      </c>
      <c r="G103">
        <v>17</v>
      </c>
      <c r="H103">
        <v>119</v>
      </c>
      <c r="I103">
        <v>19</v>
      </c>
      <c r="J103">
        <v>2</v>
      </c>
      <c r="K103">
        <v>266</v>
      </c>
      <c r="L103">
        <v>286400165</v>
      </c>
      <c r="M103">
        <v>88</v>
      </c>
      <c r="N103" t="s">
        <v>94</v>
      </c>
      <c r="O103" t="s">
        <v>45</v>
      </c>
      <c r="P103">
        <v>68</v>
      </c>
      <c r="Q103">
        <v>17</v>
      </c>
      <c r="R103" t="str" cm="1">
        <f t="array" ref="R103">_xlfn.IFS(Q103&gt;70,"Good",Q103&lt;40,"Bad",(Q103&gt;OS141*(Q103&lt;80)),"Ok")</f>
        <v>Bad</v>
      </c>
      <c r="S103">
        <v>71</v>
      </c>
      <c r="T103" t="str" cm="1">
        <f t="array" ref="T103">_xlfn.IFS(S103&gt;50, "High", S103&lt;=50, "Low")</f>
        <v>High</v>
      </c>
      <c r="U103">
        <v>15</v>
      </c>
      <c r="V103">
        <v>0</v>
      </c>
      <c r="W103">
        <v>11</v>
      </c>
      <c r="X103">
        <v>5</v>
      </c>
      <c r="Y103">
        <f t="shared" ca="1" si="1"/>
        <v>67.29752816319666</v>
      </c>
      <c r="AA103" s="8" t="s">
        <v>836</v>
      </c>
      <c r="AB103">
        <v>9</v>
      </c>
      <c r="AC103">
        <v>64</v>
      </c>
      <c r="AD103">
        <v>15</v>
      </c>
      <c r="AE103">
        <v>55.134611848878109</v>
      </c>
    </row>
    <row r="104" spans="1:31" x14ac:dyDescent="0.3">
      <c r="A104" t="s">
        <v>318</v>
      </c>
      <c r="B104" t="s">
        <v>230</v>
      </c>
      <c r="C104">
        <v>1</v>
      </c>
      <c r="D104" s="1">
        <v>45030</v>
      </c>
      <c r="E104">
        <v>2528</v>
      </c>
      <c r="F104">
        <v>39</v>
      </c>
      <c r="G104">
        <v>56</v>
      </c>
      <c r="H104">
        <v>91</v>
      </c>
      <c r="I104">
        <v>59</v>
      </c>
      <c r="J104">
        <v>3</v>
      </c>
      <c r="K104">
        <v>486</v>
      </c>
      <c r="L104">
        <v>172825906</v>
      </c>
      <c r="M104">
        <v>170</v>
      </c>
      <c r="N104" t="s">
        <v>61</v>
      </c>
      <c r="O104" t="s">
        <v>28</v>
      </c>
      <c r="P104">
        <v>50</v>
      </c>
      <c r="Q104">
        <v>37</v>
      </c>
      <c r="R104" t="str" cm="1">
        <f t="array" ref="R104">_xlfn.IFS(Q104&gt;70,"Good",Q104&lt;40,"Bad",(Q104&gt;OS142*(Q104&lt;80)),"Ok")</f>
        <v>Bad</v>
      </c>
      <c r="S104">
        <v>90</v>
      </c>
      <c r="T104" t="str" cm="1">
        <f t="array" ref="T104">_xlfn.IFS(S104&gt;50, "High", S104&lt;=50, "Low")</f>
        <v>High</v>
      </c>
      <c r="U104">
        <v>0</v>
      </c>
      <c r="V104">
        <v>0</v>
      </c>
      <c r="W104">
        <v>12</v>
      </c>
      <c r="X104">
        <v>5</v>
      </c>
      <c r="Y104">
        <f t="shared" ca="1" si="1"/>
        <v>22.86545218371845</v>
      </c>
      <c r="AA104" s="8" t="s">
        <v>292</v>
      </c>
      <c r="AB104">
        <v>10</v>
      </c>
      <c r="AC104">
        <v>68</v>
      </c>
      <c r="AD104">
        <v>4</v>
      </c>
      <c r="AE104">
        <v>55.064738144946823</v>
      </c>
    </row>
    <row r="105" spans="1:31" x14ac:dyDescent="0.3">
      <c r="A105" t="s">
        <v>320</v>
      </c>
      <c r="B105" t="s">
        <v>321</v>
      </c>
      <c r="C105">
        <v>1</v>
      </c>
      <c r="D105" s="1">
        <v>37987</v>
      </c>
      <c r="E105">
        <v>12985</v>
      </c>
      <c r="F105">
        <v>61</v>
      </c>
      <c r="G105">
        <v>49</v>
      </c>
      <c r="H105">
        <v>98</v>
      </c>
      <c r="I105" s="2">
        <v>2394</v>
      </c>
      <c r="J105">
        <v>5</v>
      </c>
      <c r="K105">
        <v>204</v>
      </c>
      <c r="L105">
        <v>1241559043</v>
      </c>
      <c r="M105">
        <v>84</v>
      </c>
      <c r="N105" t="s">
        <v>134</v>
      </c>
      <c r="O105" t="s">
        <v>45</v>
      </c>
      <c r="P105">
        <v>62</v>
      </c>
      <c r="Q105">
        <v>24</v>
      </c>
      <c r="R105" t="str" cm="1">
        <f t="array" ref="R105">_xlfn.IFS(Q105&gt;70,"Good",Q105&lt;40,"Bad",(Q105&gt;OS143*(Q105&lt;80)),"Ok")</f>
        <v>Bad</v>
      </c>
      <c r="S105">
        <v>67</v>
      </c>
      <c r="T105" t="str" cm="1">
        <f t="array" ref="T105">_xlfn.IFS(S105&gt;50, "High", S105&lt;=50, "Low")</f>
        <v>High</v>
      </c>
      <c r="U105">
        <v>21</v>
      </c>
      <c r="V105">
        <v>0</v>
      </c>
      <c r="W105">
        <v>13</v>
      </c>
      <c r="X105">
        <v>28</v>
      </c>
      <c r="Y105">
        <f t="shared" ca="1" si="1"/>
        <v>34.669923650123479</v>
      </c>
      <c r="AA105" s="8" t="s">
        <v>989</v>
      </c>
      <c r="AB105">
        <v>39</v>
      </c>
      <c r="AC105">
        <v>45</v>
      </c>
      <c r="AD105">
        <v>78</v>
      </c>
      <c r="AE105">
        <v>54.891454794678765</v>
      </c>
    </row>
    <row r="106" spans="1:31" x14ac:dyDescent="0.3">
      <c r="A106" t="s">
        <v>322</v>
      </c>
      <c r="B106" t="s">
        <v>68</v>
      </c>
      <c r="C106">
        <v>1</v>
      </c>
      <c r="D106" s="1">
        <v>45114</v>
      </c>
      <c r="E106">
        <v>77</v>
      </c>
      <c r="F106">
        <v>35</v>
      </c>
      <c r="G106">
        <v>8</v>
      </c>
      <c r="H106">
        <v>166</v>
      </c>
      <c r="I106">
        <v>4</v>
      </c>
      <c r="J106">
        <v>4</v>
      </c>
      <c r="K106">
        <v>34</v>
      </c>
      <c r="L106">
        <v>29562220</v>
      </c>
      <c r="M106">
        <v>134</v>
      </c>
      <c r="N106" t="s">
        <v>134</v>
      </c>
      <c r="O106" t="s">
        <v>45</v>
      </c>
      <c r="P106">
        <v>81</v>
      </c>
      <c r="Q106">
        <v>53</v>
      </c>
      <c r="R106" t="str" cm="1">
        <f t="array" ref="R106">_xlfn.IFS(Q106&gt;70,"Good",Q106&lt;40,"Bad",(Q106&gt;OS144*(Q106&lt;80)),"Ok")</f>
        <v>Ok</v>
      </c>
      <c r="S106">
        <v>72</v>
      </c>
      <c r="T106" t="str" cm="1">
        <f t="array" ref="T106">_xlfn.IFS(S106&gt;50, "High", S106&lt;=50, "Low")</f>
        <v>High</v>
      </c>
      <c r="U106">
        <v>51</v>
      </c>
      <c r="V106">
        <v>0</v>
      </c>
      <c r="W106">
        <v>12</v>
      </c>
      <c r="X106">
        <v>5</v>
      </c>
      <c r="Y106">
        <f t="shared" ca="1" si="1"/>
        <v>90.834643188500351</v>
      </c>
      <c r="AA106" s="8" t="s">
        <v>1204</v>
      </c>
      <c r="AB106">
        <v>8</v>
      </c>
      <c r="AC106">
        <v>55</v>
      </c>
      <c r="AD106">
        <v>7</v>
      </c>
      <c r="AE106">
        <v>53.892870105312909</v>
      </c>
    </row>
    <row r="107" spans="1:31" x14ac:dyDescent="0.3">
      <c r="A107" t="s">
        <v>324</v>
      </c>
      <c r="B107" t="s">
        <v>325</v>
      </c>
      <c r="C107">
        <v>1</v>
      </c>
      <c r="D107" s="1">
        <v>44671</v>
      </c>
      <c r="E107">
        <v>266</v>
      </c>
      <c r="F107">
        <v>27</v>
      </c>
      <c r="G107">
        <v>6</v>
      </c>
      <c r="H107">
        <v>40</v>
      </c>
      <c r="I107">
        <v>6</v>
      </c>
      <c r="J107">
        <v>6</v>
      </c>
      <c r="K107">
        <v>202</v>
      </c>
      <c r="L107">
        <v>77309611</v>
      </c>
      <c r="M107">
        <v>158</v>
      </c>
      <c r="N107" t="s">
        <v>181</v>
      </c>
      <c r="O107" t="s">
        <v>28</v>
      </c>
      <c r="P107">
        <v>54</v>
      </c>
      <c r="Q107">
        <v>50</v>
      </c>
      <c r="R107" t="str" cm="1">
        <f t="array" ref="R107">_xlfn.IFS(Q107&gt;70,"Good",Q107&lt;40,"Bad",(Q107&gt;OS145*(Q107&lt;80)),"Ok")</f>
        <v>Ok</v>
      </c>
      <c r="S107">
        <v>40</v>
      </c>
      <c r="T107" t="str" cm="1">
        <f t="array" ref="T107">_xlfn.IFS(S107&gt;50, "High", S107&lt;=50, "Low")</f>
        <v>Low</v>
      </c>
      <c r="U107">
        <v>61</v>
      </c>
      <c r="V107">
        <v>0</v>
      </c>
      <c r="W107">
        <v>10</v>
      </c>
      <c r="X107">
        <v>6</v>
      </c>
      <c r="Y107">
        <f t="shared" ca="1" si="1"/>
        <v>17.290436614924655</v>
      </c>
      <c r="AA107" s="8" t="s">
        <v>1063</v>
      </c>
      <c r="AB107">
        <v>15</v>
      </c>
      <c r="AC107">
        <v>57</v>
      </c>
      <c r="AD107">
        <v>5</v>
      </c>
      <c r="AE107">
        <v>52.683984180240529</v>
      </c>
    </row>
    <row r="108" spans="1:31" x14ac:dyDescent="0.3">
      <c r="A108" t="s">
        <v>326</v>
      </c>
      <c r="B108" t="s">
        <v>327</v>
      </c>
      <c r="C108">
        <v>3</v>
      </c>
      <c r="D108" s="1">
        <v>43049</v>
      </c>
      <c r="E108">
        <v>21097</v>
      </c>
      <c r="F108">
        <v>52</v>
      </c>
      <c r="G108">
        <v>384</v>
      </c>
      <c r="H108">
        <v>135</v>
      </c>
      <c r="I108" s="2">
        <v>1034</v>
      </c>
      <c r="J108">
        <v>37</v>
      </c>
      <c r="K108">
        <v>312</v>
      </c>
      <c r="L108">
        <v>1605224506</v>
      </c>
      <c r="M108">
        <v>116</v>
      </c>
      <c r="N108" t="s">
        <v>31</v>
      </c>
      <c r="O108" t="s">
        <v>28</v>
      </c>
      <c r="P108">
        <v>80</v>
      </c>
      <c r="Q108">
        <v>92</v>
      </c>
      <c r="R108" t="str" cm="1">
        <f t="array" ref="R108">_xlfn.IFS(Q108&gt;70,"Good",Q108&lt;40,"Bad",(Q108&gt;OS146*(Q108&lt;80)),"Ok")</f>
        <v>Good</v>
      </c>
      <c r="S108">
        <v>80</v>
      </c>
      <c r="T108" t="str" cm="1">
        <f t="array" ref="T108">_xlfn.IFS(S108&gt;50, "High", S108&lt;=50, "Low")</f>
        <v>High</v>
      </c>
      <c r="U108">
        <v>4</v>
      </c>
      <c r="V108">
        <v>0</v>
      </c>
      <c r="W108">
        <v>10</v>
      </c>
      <c r="X108">
        <v>3</v>
      </c>
      <c r="Y108">
        <f t="shared" ca="1" si="1"/>
        <v>24.298505977547237</v>
      </c>
      <c r="AA108" s="8" t="s">
        <v>295</v>
      </c>
      <c r="AB108">
        <v>6</v>
      </c>
      <c r="AC108">
        <v>62</v>
      </c>
      <c r="AD108">
        <v>11</v>
      </c>
      <c r="AE108">
        <v>52.31217795079268</v>
      </c>
    </row>
    <row r="109" spans="1:31" x14ac:dyDescent="0.3">
      <c r="A109" t="s">
        <v>329</v>
      </c>
      <c r="B109" t="s">
        <v>330</v>
      </c>
      <c r="C109">
        <v>1</v>
      </c>
      <c r="D109" s="1">
        <v>42853</v>
      </c>
      <c r="E109">
        <v>3423</v>
      </c>
      <c r="F109">
        <v>21</v>
      </c>
      <c r="G109">
        <v>41</v>
      </c>
      <c r="H109">
        <v>100</v>
      </c>
      <c r="I109">
        <v>59</v>
      </c>
      <c r="J109">
        <v>1</v>
      </c>
      <c r="K109">
        <v>32</v>
      </c>
      <c r="L109">
        <v>1116995633</v>
      </c>
      <c r="M109">
        <v>117</v>
      </c>
      <c r="N109" t="s">
        <v>31</v>
      </c>
      <c r="O109" t="s">
        <v>28</v>
      </c>
      <c r="P109">
        <v>61</v>
      </c>
      <c r="Q109">
        <v>45</v>
      </c>
      <c r="R109" t="str" cm="1">
        <f t="array" ref="R109">_xlfn.IFS(Q109&gt;70,"Good",Q109&lt;40,"Bad",(Q109&gt;OS147*(Q109&lt;80)),"Ok")</f>
        <v>Ok</v>
      </c>
      <c r="S109">
        <v>69</v>
      </c>
      <c r="T109" t="str" cm="1">
        <f t="array" ref="T109">_xlfn.IFS(S109&gt;50, "High", S109&lt;=50, "Low")</f>
        <v>High</v>
      </c>
      <c r="U109">
        <v>2</v>
      </c>
      <c r="V109">
        <v>0</v>
      </c>
      <c r="W109">
        <v>9</v>
      </c>
      <c r="X109">
        <v>3</v>
      </c>
      <c r="Y109">
        <f t="shared" ca="1" si="1"/>
        <v>16.627373280464898</v>
      </c>
      <c r="AA109" s="8" t="s">
        <v>92</v>
      </c>
      <c r="AB109">
        <v>36</v>
      </c>
      <c r="AC109">
        <v>63</v>
      </c>
      <c r="AD109">
        <v>0</v>
      </c>
      <c r="AE109">
        <v>52.194653836704234</v>
      </c>
    </row>
    <row r="110" spans="1:31" x14ac:dyDescent="0.3">
      <c r="A110" t="s">
        <v>332</v>
      </c>
      <c r="B110" t="s">
        <v>333</v>
      </c>
      <c r="C110">
        <v>1</v>
      </c>
      <c r="D110" s="1">
        <v>44266</v>
      </c>
      <c r="E110">
        <v>4198</v>
      </c>
      <c r="F110">
        <v>44</v>
      </c>
      <c r="G110">
        <v>98</v>
      </c>
      <c r="H110">
        <v>108</v>
      </c>
      <c r="I110">
        <v>327</v>
      </c>
      <c r="J110">
        <v>17</v>
      </c>
      <c r="K110">
        <v>153</v>
      </c>
      <c r="L110">
        <v>838079900</v>
      </c>
      <c r="M110">
        <v>114</v>
      </c>
      <c r="N110" t="s">
        <v>34</v>
      </c>
      <c r="O110" t="s">
        <v>45</v>
      </c>
      <c r="P110">
        <v>77</v>
      </c>
      <c r="Q110">
        <v>65</v>
      </c>
      <c r="R110" t="str" cm="1">
        <f t="array" ref="R110">_xlfn.IFS(Q110&gt;70,"Good",Q110&lt;40,"Bad",(Q110&gt;OS148*(Q110&lt;80)),"Ok")</f>
        <v>Ok</v>
      </c>
      <c r="S110">
        <v>72</v>
      </c>
      <c r="T110" t="str" cm="1">
        <f t="array" ref="T110">_xlfn.IFS(S110&gt;50, "High", S110&lt;=50, "Low")</f>
        <v>High</v>
      </c>
      <c r="U110">
        <v>2</v>
      </c>
      <c r="V110">
        <v>0</v>
      </c>
      <c r="W110">
        <v>7</v>
      </c>
      <c r="X110">
        <v>5</v>
      </c>
      <c r="Y110">
        <f t="shared" ca="1" si="1"/>
        <v>3.441699922534569</v>
      </c>
      <c r="AA110" s="8" t="s">
        <v>721</v>
      </c>
      <c r="AB110">
        <v>30</v>
      </c>
      <c r="AC110">
        <v>67</v>
      </c>
      <c r="AD110">
        <v>8</v>
      </c>
      <c r="AE110">
        <v>51.418092564319153</v>
      </c>
    </row>
    <row r="111" spans="1:31" x14ac:dyDescent="0.3">
      <c r="A111" t="s">
        <v>335</v>
      </c>
      <c r="B111" t="s">
        <v>336</v>
      </c>
      <c r="C111">
        <v>1</v>
      </c>
      <c r="D111" s="1">
        <v>40544</v>
      </c>
      <c r="E111">
        <v>14739</v>
      </c>
      <c r="F111">
        <v>43</v>
      </c>
      <c r="G111">
        <v>88</v>
      </c>
      <c r="H111">
        <v>112</v>
      </c>
      <c r="I111" s="2">
        <v>2163</v>
      </c>
      <c r="J111">
        <v>5</v>
      </c>
      <c r="K111">
        <v>519</v>
      </c>
      <c r="L111">
        <v>1163620694</v>
      </c>
      <c r="M111">
        <v>108</v>
      </c>
      <c r="N111" t="s">
        <v>61</v>
      </c>
      <c r="O111" t="s">
        <v>45</v>
      </c>
      <c r="P111">
        <v>61</v>
      </c>
      <c r="Q111">
        <v>47</v>
      </c>
      <c r="R111" t="str" cm="1">
        <f t="array" ref="R111">_xlfn.IFS(Q111&gt;70,"Good",Q111&lt;40,"Bad",(Q111&gt;OS149*(Q111&lt;80)),"Ok")</f>
        <v>Ok</v>
      </c>
      <c r="S111">
        <v>68</v>
      </c>
      <c r="T111" t="str" cm="1">
        <f t="array" ref="T111">_xlfn.IFS(S111&gt;50, "High", S111&lt;=50, "Low")</f>
        <v>High</v>
      </c>
      <c r="U111">
        <v>0</v>
      </c>
      <c r="V111">
        <v>0</v>
      </c>
      <c r="W111">
        <v>13</v>
      </c>
      <c r="X111">
        <v>3</v>
      </c>
      <c r="Y111">
        <f t="shared" ca="1" si="1"/>
        <v>79.377329579572958</v>
      </c>
      <c r="AA111" s="8" t="s">
        <v>124</v>
      </c>
      <c r="AB111">
        <v>11</v>
      </c>
      <c r="AC111">
        <v>74</v>
      </c>
      <c r="AD111">
        <v>0</v>
      </c>
      <c r="AE111">
        <v>51.150436132613699</v>
      </c>
    </row>
    <row r="112" spans="1:31" x14ac:dyDescent="0.3">
      <c r="A112" t="s">
        <v>338</v>
      </c>
      <c r="B112" t="s">
        <v>339</v>
      </c>
      <c r="C112">
        <v>2</v>
      </c>
      <c r="D112" s="1">
        <v>40909</v>
      </c>
      <c r="E112">
        <v>26792</v>
      </c>
      <c r="F112">
        <v>32</v>
      </c>
      <c r="G112">
        <v>69</v>
      </c>
      <c r="H112">
        <v>113</v>
      </c>
      <c r="I112">
        <v>695</v>
      </c>
      <c r="J112">
        <v>0</v>
      </c>
      <c r="K112">
        <v>458</v>
      </c>
      <c r="L112">
        <v>1093605526</v>
      </c>
      <c r="M112">
        <v>144</v>
      </c>
      <c r="N112" t="s">
        <v>134</v>
      </c>
      <c r="O112" t="s">
        <v>45</v>
      </c>
      <c r="P112">
        <v>74</v>
      </c>
      <c r="Q112">
        <v>37</v>
      </c>
      <c r="R112" t="str" cm="1">
        <f t="array" ref="R112">_xlfn.IFS(Q112&gt;70,"Good",Q112&lt;40,"Bad",(Q112&gt;OS150*(Q112&lt;80)),"Ok")</f>
        <v>Bad</v>
      </c>
      <c r="S112">
        <v>53</v>
      </c>
      <c r="T112" t="str" cm="1">
        <f t="array" ref="T112">_xlfn.IFS(S112&gt;50, "High", S112&lt;=50, "Low")</f>
        <v>High</v>
      </c>
      <c r="U112">
        <v>7</v>
      </c>
      <c r="V112">
        <v>0</v>
      </c>
      <c r="W112">
        <v>21</v>
      </c>
      <c r="X112">
        <v>10</v>
      </c>
      <c r="Y112">
        <f t="shared" ca="1" si="1"/>
        <v>48.23126799037081</v>
      </c>
      <c r="AA112" s="8" t="s">
        <v>452</v>
      </c>
      <c r="AB112">
        <v>11</v>
      </c>
      <c r="AC112">
        <v>73</v>
      </c>
      <c r="AD112">
        <v>6</v>
      </c>
      <c r="AE112">
        <v>51.006331502523913</v>
      </c>
    </row>
    <row r="113" spans="1:31" x14ac:dyDescent="0.3">
      <c r="A113" t="s">
        <v>341</v>
      </c>
      <c r="B113" t="s">
        <v>342</v>
      </c>
      <c r="C113">
        <v>1</v>
      </c>
      <c r="D113" s="1">
        <v>44897</v>
      </c>
      <c r="E113">
        <v>213</v>
      </c>
      <c r="F113">
        <v>6</v>
      </c>
      <c r="G113">
        <v>7</v>
      </c>
      <c r="H113">
        <v>6</v>
      </c>
      <c r="I113">
        <v>0</v>
      </c>
      <c r="J113">
        <v>0</v>
      </c>
      <c r="K113">
        <v>48</v>
      </c>
      <c r="L113">
        <v>179659294</v>
      </c>
      <c r="M113">
        <v>130</v>
      </c>
      <c r="N113" t="s">
        <v>34</v>
      </c>
      <c r="O113" t="s">
        <v>28</v>
      </c>
      <c r="P113">
        <v>51</v>
      </c>
      <c r="Q113">
        <v>18</v>
      </c>
      <c r="R113" t="str" cm="1">
        <f t="array" ref="R113">_xlfn.IFS(Q113&gt;70,"Good",Q113&lt;40,"Bad",(Q113&gt;OS151*(Q113&lt;80)),"Ok")</f>
        <v>Bad</v>
      </c>
      <c r="S113">
        <v>44</v>
      </c>
      <c r="T113" t="str" cm="1">
        <f t="array" ref="T113">_xlfn.IFS(S113&gt;50, "High", S113&lt;=50, "Low")</f>
        <v>Low</v>
      </c>
      <c r="U113">
        <v>76</v>
      </c>
      <c r="V113">
        <v>0</v>
      </c>
      <c r="W113">
        <v>11</v>
      </c>
      <c r="X113">
        <v>3</v>
      </c>
      <c r="Y113">
        <f t="shared" ca="1" si="1"/>
        <v>72.365301545704014</v>
      </c>
      <c r="AA113" s="8" t="s">
        <v>1238</v>
      </c>
      <c r="AB113">
        <v>8</v>
      </c>
      <c r="AC113">
        <v>31</v>
      </c>
      <c r="AD113">
        <v>7</v>
      </c>
      <c r="AE113">
        <v>50.971486610090899</v>
      </c>
    </row>
    <row r="114" spans="1:31" x14ac:dyDescent="0.3">
      <c r="A114" t="s">
        <v>344</v>
      </c>
      <c r="B114" t="s">
        <v>345</v>
      </c>
      <c r="C114">
        <v>2</v>
      </c>
      <c r="D114" s="1">
        <v>45099</v>
      </c>
      <c r="E114">
        <v>58</v>
      </c>
      <c r="F114">
        <v>18</v>
      </c>
      <c r="G114">
        <v>2</v>
      </c>
      <c r="H114">
        <v>106</v>
      </c>
      <c r="I114">
        <v>4</v>
      </c>
      <c r="J114">
        <v>2</v>
      </c>
      <c r="K114">
        <v>184</v>
      </c>
      <c r="L114">
        <v>39058561</v>
      </c>
      <c r="M114">
        <v>116</v>
      </c>
      <c r="N114" t="s">
        <v>27</v>
      </c>
      <c r="O114" t="s">
        <v>28</v>
      </c>
      <c r="P114">
        <v>77</v>
      </c>
      <c r="Q114">
        <v>79</v>
      </c>
      <c r="R114" t="str" cm="1">
        <f t="array" ref="R114">_xlfn.IFS(Q114&gt;70,"Good",Q114&lt;40,"Bad",(Q114&gt;OS152*(Q114&lt;80)),"Ok")</f>
        <v>Good</v>
      </c>
      <c r="S114">
        <v>62</v>
      </c>
      <c r="T114" t="str" cm="1">
        <f t="array" ref="T114">_xlfn.IFS(S114&gt;50, "High", S114&lt;=50, "Low")</f>
        <v>High</v>
      </c>
      <c r="U114">
        <v>33</v>
      </c>
      <c r="V114">
        <v>1</v>
      </c>
      <c r="W114">
        <v>15</v>
      </c>
      <c r="X114">
        <v>3</v>
      </c>
      <c r="Y114">
        <f t="shared" ca="1" si="1"/>
        <v>87.011997763139448</v>
      </c>
      <c r="AA114" s="8" t="s">
        <v>812</v>
      </c>
      <c r="AB114">
        <v>12</v>
      </c>
      <c r="AC114">
        <v>66</v>
      </c>
      <c r="AD114">
        <v>10</v>
      </c>
      <c r="AE114">
        <v>50.401662308530483</v>
      </c>
    </row>
    <row r="115" spans="1:31" x14ac:dyDescent="0.3">
      <c r="A115" t="s">
        <v>347</v>
      </c>
      <c r="B115" t="s">
        <v>36</v>
      </c>
      <c r="C115">
        <v>1</v>
      </c>
      <c r="D115" s="1">
        <v>45114</v>
      </c>
      <c r="E115">
        <v>99</v>
      </c>
      <c r="F115">
        <v>15</v>
      </c>
      <c r="G115">
        <v>21</v>
      </c>
      <c r="H115">
        <v>52</v>
      </c>
      <c r="I115">
        <v>6</v>
      </c>
      <c r="J115">
        <v>1</v>
      </c>
      <c r="K115">
        <v>0</v>
      </c>
      <c r="L115">
        <v>36912123</v>
      </c>
      <c r="M115">
        <v>121</v>
      </c>
      <c r="N115" t="s">
        <v>94</v>
      </c>
      <c r="O115" t="s">
        <v>28</v>
      </c>
      <c r="P115">
        <v>65</v>
      </c>
      <c r="Q115">
        <v>49</v>
      </c>
      <c r="R115" t="str" cm="1">
        <f t="array" ref="R115">_xlfn.IFS(Q115&gt;70,"Good",Q115&lt;40,"Bad",(Q115&gt;OS153*(Q115&lt;80)),"Ok")</f>
        <v>Ok</v>
      </c>
      <c r="S115">
        <v>78</v>
      </c>
      <c r="T115" t="str" cm="1">
        <f t="array" ref="T115">_xlfn.IFS(S115&gt;50, "High", S115&lt;=50, "Low")</f>
        <v>High</v>
      </c>
      <c r="U115">
        <v>0</v>
      </c>
      <c r="V115">
        <v>0</v>
      </c>
      <c r="W115">
        <v>17</v>
      </c>
      <c r="X115">
        <v>4</v>
      </c>
      <c r="Y115">
        <f t="shared" ca="1" si="1"/>
        <v>92.502417678184088</v>
      </c>
      <c r="AA115" s="8" t="s">
        <v>463</v>
      </c>
      <c r="AB115">
        <v>16</v>
      </c>
      <c r="AC115">
        <v>45</v>
      </c>
      <c r="AD115">
        <v>8</v>
      </c>
      <c r="AE115">
        <v>50.349241484554561</v>
      </c>
    </row>
    <row r="116" spans="1:31" x14ac:dyDescent="0.3">
      <c r="A116" t="s">
        <v>349</v>
      </c>
      <c r="B116" t="s">
        <v>350</v>
      </c>
      <c r="C116">
        <v>1</v>
      </c>
      <c r="D116" s="1">
        <v>31095</v>
      </c>
      <c r="E116">
        <v>41751</v>
      </c>
      <c r="F116">
        <v>25</v>
      </c>
      <c r="G116">
        <v>101</v>
      </c>
      <c r="H116">
        <v>32</v>
      </c>
      <c r="I116" s="2">
        <v>2655</v>
      </c>
      <c r="J116">
        <v>0</v>
      </c>
      <c r="K116">
        <v>666</v>
      </c>
      <c r="L116">
        <v>1205951614</v>
      </c>
      <c r="M116">
        <v>112</v>
      </c>
      <c r="N116" t="s">
        <v>94</v>
      </c>
      <c r="O116" t="s">
        <v>28</v>
      </c>
      <c r="P116">
        <v>64</v>
      </c>
      <c r="Q116">
        <v>54</v>
      </c>
      <c r="R116" t="str" cm="1">
        <f t="array" ref="R116">_xlfn.IFS(Q116&gt;70,"Good",Q116&lt;40,"Bad",(Q116&gt;OS154*(Q116&lt;80)),"Ok")</f>
        <v>Ok</v>
      </c>
      <c r="S116">
        <v>81</v>
      </c>
      <c r="T116" t="str" cm="1">
        <f t="array" ref="T116">_xlfn.IFS(S116&gt;50, "High", S116&lt;=50, "Low")</f>
        <v>High</v>
      </c>
      <c r="U116">
        <v>36</v>
      </c>
      <c r="V116">
        <v>0</v>
      </c>
      <c r="W116">
        <v>11</v>
      </c>
      <c r="X116">
        <v>6</v>
      </c>
      <c r="Y116">
        <f t="shared" ca="1" si="1"/>
        <v>53.259839358625882</v>
      </c>
      <c r="AA116" s="8" t="s">
        <v>976</v>
      </c>
      <c r="AB116">
        <v>22</v>
      </c>
      <c r="AC116">
        <v>47</v>
      </c>
      <c r="AD116">
        <v>24</v>
      </c>
      <c r="AE116">
        <v>49.917822125319979</v>
      </c>
    </row>
    <row r="117" spans="1:31" x14ac:dyDescent="0.3">
      <c r="A117" t="s">
        <v>352</v>
      </c>
      <c r="B117" t="s">
        <v>353</v>
      </c>
      <c r="C117">
        <v>1</v>
      </c>
      <c r="D117" s="1">
        <v>41982</v>
      </c>
      <c r="E117">
        <v>21164</v>
      </c>
      <c r="F117">
        <v>36</v>
      </c>
      <c r="G117">
        <v>80</v>
      </c>
      <c r="H117">
        <v>65</v>
      </c>
      <c r="I117">
        <v>476</v>
      </c>
      <c r="J117">
        <v>0</v>
      </c>
      <c r="K117">
        <v>14</v>
      </c>
      <c r="L117">
        <v>1791000570</v>
      </c>
      <c r="M117">
        <v>100</v>
      </c>
      <c r="N117" t="s">
        <v>181</v>
      </c>
      <c r="O117" t="s">
        <v>45</v>
      </c>
      <c r="P117">
        <v>70</v>
      </c>
      <c r="Q117">
        <v>47</v>
      </c>
      <c r="R117" t="str" cm="1">
        <f t="array" ref="R117">_xlfn.IFS(Q117&gt;70,"Good",Q117&lt;40,"Bad",(Q117&gt;OS155*(Q117&lt;80)),"Ok")</f>
        <v>Ok</v>
      </c>
      <c r="S117">
        <v>52</v>
      </c>
      <c r="T117" t="str" cm="1">
        <f t="array" ref="T117">_xlfn.IFS(S117&gt;50, "High", S117&lt;=50, "Low")</f>
        <v>High</v>
      </c>
      <c r="U117">
        <v>30</v>
      </c>
      <c r="V117">
        <v>0</v>
      </c>
      <c r="W117">
        <v>6</v>
      </c>
      <c r="X117">
        <v>33</v>
      </c>
      <c r="Y117">
        <f t="shared" ca="1" si="1"/>
        <v>19.978219181277566</v>
      </c>
      <c r="AA117" s="8" t="s">
        <v>1240</v>
      </c>
      <c r="AB117">
        <v>15</v>
      </c>
      <c r="AC117">
        <v>57</v>
      </c>
      <c r="AD117">
        <v>4</v>
      </c>
      <c r="AE117">
        <v>49.809256103424303</v>
      </c>
    </row>
    <row r="118" spans="1:31" x14ac:dyDescent="0.3">
      <c r="A118" t="s">
        <v>354</v>
      </c>
      <c r="B118" t="s">
        <v>355</v>
      </c>
      <c r="C118">
        <v>1</v>
      </c>
      <c r="D118" s="1">
        <v>44982</v>
      </c>
      <c r="E118">
        <v>2988</v>
      </c>
      <c r="F118">
        <v>59</v>
      </c>
      <c r="G118">
        <v>74</v>
      </c>
      <c r="H118">
        <v>102</v>
      </c>
      <c r="I118">
        <v>145</v>
      </c>
      <c r="J118">
        <v>18</v>
      </c>
      <c r="K118">
        <v>925</v>
      </c>
      <c r="L118">
        <v>201660859</v>
      </c>
      <c r="M118">
        <v>150</v>
      </c>
      <c r="N118" t="s">
        <v>302</v>
      </c>
      <c r="O118" t="s">
        <v>45</v>
      </c>
      <c r="P118">
        <v>55</v>
      </c>
      <c r="Q118">
        <v>30</v>
      </c>
      <c r="R118" t="str" cm="1">
        <f t="array" ref="R118">_xlfn.IFS(Q118&gt;70,"Good",Q118&lt;40,"Bad",(Q118&gt;OS156*(Q118&lt;80)),"Ok")</f>
        <v>Bad</v>
      </c>
      <c r="S118">
        <v>78</v>
      </c>
      <c r="T118" t="str" cm="1">
        <f t="array" ref="T118">_xlfn.IFS(S118&gt;50, "High", S118&lt;=50, "Low")</f>
        <v>High</v>
      </c>
      <c r="U118">
        <v>24</v>
      </c>
      <c r="V118">
        <v>0</v>
      </c>
      <c r="W118">
        <v>12</v>
      </c>
      <c r="X118">
        <v>8</v>
      </c>
      <c r="Y118">
        <f t="shared" ca="1" si="1"/>
        <v>89.86286453202041</v>
      </c>
      <c r="AA118" s="8" t="s">
        <v>1417</v>
      </c>
      <c r="AB118">
        <v>34</v>
      </c>
      <c r="AC118">
        <v>73</v>
      </c>
      <c r="AD118">
        <v>30</v>
      </c>
      <c r="AE118">
        <v>49.787637528952104</v>
      </c>
    </row>
    <row r="119" spans="1:31" x14ac:dyDescent="0.3">
      <c r="A119" t="s">
        <v>202</v>
      </c>
      <c r="B119" t="s">
        <v>357</v>
      </c>
      <c r="C119">
        <v>2</v>
      </c>
      <c r="D119" s="1">
        <v>44965</v>
      </c>
      <c r="E119">
        <v>893</v>
      </c>
      <c r="F119">
        <v>38</v>
      </c>
      <c r="G119">
        <v>19</v>
      </c>
      <c r="H119">
        <v>23</v>
      </c>
      <c r="I119">
        <v>24</v>
      </c>
      <c r="J119">
        <v>3</v>
      </c>
      <c r="K119">
        <v>88</v>
      </c>
      <c r="L119">
        <v>248088961</v>
      </c>
      <c r="M119">
        <v>120</v>
      </c>
      <c r="N119" t="s">
        <v>34</v>
      </c>
      <c r="O119" t="s">
        <v>45</v>
      </c>
      <c r="P119">
        <v>84</v>
      </c>
      <c r="Q119">
        <v>96</v>
      </c>
      <c r="R119" t="str" cm="1">
        <f t="array" ref="R119">_xlfn.IFS(Q119&gt;70,"Good",Q119&lt;40,"Bad",(Q119&gt;OS157*(Q119&lt;80)),"Ok")</f>
        <v>Good</v>
      </c>
      <c r="S119">
        <v>71</v>
      </c>
      <c r="T119" t="str" cm="1">
        <f t="array" ref="T119">_xlfn.IFS(S119&gt;50, "High", S119&lt;=50, "Low")</f>
        <v>High</v>
      </c>
      <c r="U119">
        <v>18</v>
      </c>
      <c r="V119">
        <v>0</v>
      </c>
      <c r="W119">
        <v>34</v>
      </c>
      <c r="X119">
        <v>17</v>
      </c>
      <c r="Y119">
        <f t="shared" ca="1" si="1"/>
        <v>36.296578618924123</v>
      </c>
      <c r="AA119" s="8" t="s">
        <v>666</v>
      </c>
      <c r="AB119">
        <v>17</v>
      </c>
      <c r="AC119">
        <v>77</v>
      </c>
      <c r="AD119">
        <v>16</v>
      </c>
      <c r="AE119">
        <v>49.512858364111977</v>
      </c>
    </row>
    <row r="120" spans="1:31" x14ac:dyDescent="0.3">
      <c r="A120" t="s">
        <v>359</v>
      </c>
      <c r="B120" t="s">
        <v>360</v>
      </c>
      <c r="C120">
        <v>3</v>
      </c>
      <c r="D120" s="1">
        <v>45058</v>
      </c>
      <c r="E120">
        <v>1094</v>
      </c>
      <c r="F120">
        <v>34</v>
      </c>
      <c r="G120">
        <v>40</v>
      </c>
      <c r="H120">
        <v>58</v>
      </c>
      <c r="I120">
        <v>47</v>
      </c>
      <c r="J120">
        <v>8</v>
      </c>
      <c r="K120">
        <v>203</v>
      </c>
      <c r="L120">
        <v>90839753</v>
      </c>
      <c r="M120">
        <v>127</v>
      </c>
      <c r="N120" t="s">
        <v>27</v>
      </c>
      <c r="O120" t="s">
        <v>45</v>
      </c>
      <c r="P120">
        <v>82</v>
      </c>
      <c r="Q120">
        <v>89</v>
      </c>
      <c r="R120" t="str" cm="1">
        <f t="array" ref="R120">_xlfn.IFS(Q120&gt;70,"Good",Q120&lt;40,"Bad",(Q120&gt;OS158*(Q120&lt;80)),"Ok")</f>
        <v>Good</v>
      </c>
      <c r="S120">
        <v>85</v>
      </c>
      <c r="T120" t="str" cm="1">
        <f t="array" ref="T120">_xlfn.IFS(S120&gt;50, "High", S120&lt;=50, "Low")</f>
        <v>High</v>
      </c>
      <c r="U120">
        <v>4</v>
      </c>
      <c r="V120">
        <v>0</v>
      </c>
      <c r="W120">
        <v>23</v>
      </c>
      <c r="X120">
        <v>6</v>
      </c>
      <c r="Y120">
        <f t="shared" ca="1" si="1"/>
        <v>96.693517740904809</v>
      </c>
      <c r="AA120" s="8" t="s">
        <v>1098</v>
      </c>
      <c r="AB120">
        <v>12</v>
      </c>
      <c r="AC120">
        <v>66</v>
      </c>
      <c r="AD120">
        <v>9</v>
      </c>
      <c r="AE120">
        <v>48.990583978978378</v>
      </c>
    </row>
    <row r="121" spans="1:31" x14ac:dyDescent="0.3">
      <c r="A121" t="s">
        <v>362</v>
      </c>
      <c r="B121" t="s">
        <v>36</v>
      </c>
      <c r="C121">
        <v>1</v>
      </c>
      <c r="D121" s="1">
        <v>44036</v>
      </c>
      <c r="E121">
        <v>7324</v>
      </c>
      <c r="F121">
        <v>22</v>
      </c>
      <c r="G121">
        <v>25</v>
      </c>
      <c r="H121">
        <v>81</v>
      </c>
      <c r="I121">
        <v>61</v>
      </c>
      <c r="J121">
        <v>1</v>
      </c>
      <c r="K121">
        <v>44</v>
      </c>
      <c r="L121">
        <v>607123776</v>
      </c>
      <c r="M121">
        <v>90</v>
      </c>
      <c r="N121" t="s">
        <v>34</v>
      </c>
      <c r="O121" t="s">
        <v>28</v>
      </c>
      <c r="P121">
        <v>51</v>
      </c>
      <c r="Q121">
        <v>42</v>
      </c>
      <c r="R121" t="str" cm="1">
        <f t="array" ref="R121">_xlfn.IFS(Q121&gt;70,"Good",Q121&lt;40,"Bad",(Q121&gt;OS159*(Q121&lt;80)),"Ok")</f>
        <v>Ok</v>
      </c>
      <c r="S121">
        <v>61</v>
      </c>
      <c r="T121" t="str" cm="1">
        <f t="array" ref="T121">_xlfn.IFS(S121&gt;50, "High", S121&lt;=50, "Low")</f>
        <v>High</v>
      </c>
      <c r="U121">
        <v>53</v>
      </c>
      <c r="V121">
        <v>0</v>
      </c>
      <c r="W121">
        <v>9</v>
      </c>
      <c r="X121">
        <v>3</v>
      </c>
      <c r="Y121">
        <f t="shared" ca="1" si="1"/>
        <v>20.832544097137472</v>
      </c>
      <c r="AA121" s="8" t="s">
        <v>983</v>
      </c>
      <c r="AB121">
        <v>9</v>
      </c>
      <c r="AC121">
        <v>70</v>
      </c>
      <c r="AD121">
        <v>6</v>
      </c>
      <c r="AE121">
        <v>48.050092005231384</v>
      </c>
    </row>
    <row r="122" spans="1:31" x14ac:dyDescent="0.3">
      <c r="A122" t="s">
        <v>156</v>
      </c>
      <c r="B122" t="s">
        <v>152</v>
      </c>
      <c r="C122">
        <v>2</v>
      </c>
      <c r="D122" s="1">
        <v>45099</v>
      </c>
      <c r="E122">
        <v>201</v>
      </c>
      <c r="F122">
        <v>11</v>
      </c>
      <c r="G122">
        <v>19</v>
      </c>
      <c r="H122">
        <v>117</v>
      </c>
      <c r="I122">
        <v>8</v>
      </c>
      <c r="J122">
        <v>1</v>
      </c>
      <c r="K122">
        <v>74</v>
      </c>
      <c r="L122">
        <v>55842345</v>
      </c>
      <c r="M122">
        <v>128</v>
      </c>
      <c r="N122" t="s">
        <v>37</v>
      </c>
      <c r="O122" t="s">
        <v>45</v>
      </c>
      <c r="P122">
        <v>75</v>
      </c>
      <c r="Q122">
        <v>79</v>
      </c>
      <c r="R122" t="str" cm="1">
        <f t="array" ref="R122">_xlfn.IFS(Q122&gt;70,"Good",Q122&lt;40,"Bad",(Q122&gt;OS160*(Q122&lt;80)),"Ok")</f>
        <v>Good</v>
      </c>
      <c r="S122">
        <v>63</v>
      </c>
      <c r="T122" t="str" cm="1">
        <f t="array" ref="T122">_xlfn.IFS(S122&gt;50, "High", S122&lt;=50, "Low")</f>
        <v>High</v>
      </c>
      <c r="U122">
        <v>33</v>
      </c>
      <c r="V122">
        <v>0</v>
      </c>
      <c r="W122">
        <v>15</v>
      </c>
      <c r="X122">
        <v>4</v>
      </c>
      <c r="Y122">
        <f t="shared" ca="1" si="1"/>
        <v>41.303443701145845</v>
      </c>
      <c r="AA122" s="8" t="s">
        <v>1257</v>
      </c>
      <c r="AB122">
        <v>8</v>
      </c>
      <c r="AC122">
        <v>67</v>
      </c>
      <c r="AD122">
        <v>27</v>
      </c>
      <c r="AE122">
        <v>48.045635548935259</v>
      </c>
    </row>
    <row r="123" spans="1:31" x14ac:dyDescent="0.3">
      <c r="A123" t="s">
        <v>364</v>
      </c>
      <c r="B123" t="s">
        <v>365</v>
      </c>
      <c r="C123">
        <v>2</v>
      </c>
      <c r="D123" s="1">
        <v>44995</v>
      </c>
      <c r="E123">
        <v>5120</v>
      </c>
      <c r="F123">
        <v>48</v>
      </c>
      <c r="G123">
        <v>161</v>
      </c>
      <c r="H123">
        <v>115</v>
      </c>
      <c r="I123">
        <v>246</v>
      </c>
      <c r="J123">
        <v>9</v>
      </c>
      <c r="K123">
        <v>638</v>
      </c>
      <c r="L123">
        <v>211050784</v>
      </c>
      <c r="M123">
        <v>143</v>
      </c>
      <c r="N123" t="s">
        <v>37</v>
      </c>
      <c r="O123" t="s">
        <v>28</v>
      </c>
      <c r="P123">
        <v>64</v>
      </c>
      <c r="Q123">
        <v>31</v>
      </c>
      <c r="R123" t="str" cm="1">
        <f t="array" ref="R123">_xlfn.IFS(Q123&gt;70,"Good",Q123&lt;40,"Bad",(Q123&gt;OS161*(Q123&lt;80)),"Ok")</f>
        <v>Bad</v>
      </c>
      <c r="S123">
        <v>87</v>
      </c>
      <c r="T123" t="str" cm="1">
        <f t="array" ref="T123">_xlfn.IFS(S123&gt;50, "High", S123&lt;=50, "Low")</f>
        <v>High</v>
      </c>
      <c r="U123">
        <v>4</v>
      </c>
      <c r="V123">
        <v>4</v>
      </c>
      <c r="W123">
        <v>8</v>
      </c>
      <c r="X123">
        <v>4</v>
      </c>
      <c r="Y123">
        <f t="shared" ca="1" si="1"/>
        <v>68.408988101228033</v>
      </c>
      <c r="AA123" s="8" t="s">
        <v>1574</v>
      </c>
      <c r="AB123">
        <v>19</v>
      </c>
      <c r="AC123">
        <v>64</v>
      </c>
      <c r="AD123">
        <v>11</v>
      </c>
      <c r="AE123">
        <v>47.643825076336284</v>
      </c>
    </row>
    <row r="124" spans="1:31" x14ac:dyDescent="0.3">
      <c r="A124" t="s">
        <v>367</v>
      </c>
      <c r="B124" t="s">
        <v>368</v>
      </c>
      <c r="C124">
        <v>1</v>
      </c>
      <c r="D124" s="1">
        <v>44757</v>
      </c>
      <c r="E124">
        <v>2346</v>
      </c>
      <c r="F124">
        <v>27</v>
      </c>
      <c r="G124">
        <v>69</v>
      </c>
      <c r="H124">
        <v>12</v>
      </c>
      <c r="I124">
        <v>38</v>
      </c>
      <c r="J124">
        <v>8</v>
      </c>
      <c r="K124">
        <v>64</v>
      </c>
      <c r="L124">
        <v>342897938</v>
      </c>
      <c r="M124">
        <v>139</v>
      </c>
      <c r="N124" t="s">
        <v>81</v>
      </c>
      <c r="O124" t="s">
        <v>28</v>
      </c>
      <c r="P124">
        <v>74</v>
      </c>
      <c r="Q124">
        <v>68</v>
      </c>
      <c r="R124" t="str" cm="1">
        <f t="array" ref="R124">_xlfn.IFS(Q124&gt;70,"Good",Q124&lt;40,"Bad",(Q124&gt;OS162*(Q124&lt;80)),"Ok")</f>
        <v>Ok</v>
      </c>
      <c r="S124">
        <v>68</v>
      </c>
      <c r="T124" t="str" cm="1">
        <f t="array" ref="T124">_xlfn.IFS(S124&gt;50, "High", S124&lt;=50, "Low")</f>
        <v>High</v>
      </c>
      <c r="U124">
        <v>3</v>
      </c>
      <c r="V124">
        <v>0</v>
      </c>
      <c r="W124">
        <v>26</v>
      </c>
      <c r="X124">
        <v>4</v>
      </c>
      <c r="Y124">
        <f t="shared" ca="1" si="1"/>
        <v>80.313670260830733</v>
      </c>
      <c r="AA124" s="8" t="s">
        <v>885</v>
      </c>
      <c r="AB124">
        <v>18</v>
      </c>
      <c r="AC124">
        <v>49</v>
      </c>
      <c r="AD124">
        <v>19</v>
      </c>
      <c r="AE124">
        <v>46.838645814901881</v>
      </c>
    </row>
    <row r="125" spans="1:31" x14ac:dyDescent="0.3">
      <c r="A125" t="s">
        <v>169</v>
      </c>
      <c r="B125" t="s">
        <v>370</v>
      </c>
      <c r="C125">
        <v>2</v>
      </c>
      <c r="D125" s="1">
        <v>44904</v>
      </c>
      <c r="E125">
        <v>763</v>
      </c>
      <c r="F125">
        <v>26</v>
      </c>
      <c r="G125">
        <v>21</v>
      </c>
      <c r="H125">
        <v>110</v>
      </c>
      <c r="I125">
        <v>21</v>
      </c>
      <c r="J125">
        <v>9</v>
      </c>
      <c r="K125">
        <v>71</v>
      </c>
      <c r="L125">
        <v>2762</v>
      </c>
      <c r="M125">
        <v>162</v>
      </c>
      <c r="N125" t="s">
        <v>181</v>
      </c>
      <c r="O125" t="s">
        <v>28</v>
      </c>
      <c r="P125">
        <v>49</v>
      </c>
      <c r="Q125">
        <v>78</v>
      </c>
      <c r="R125" t="str" cm="1">
        <f t="array" ref="R125">_xlfn.IFS(Q125&gt;70,"Good",Q125&lt;40,"Bad",(Q125&gt;OS163*(Q125&lt;80)),"Ok")</f>
        <v>Good</v>
      </c>
      <c r="S125">
        <v>64</v>
      </c>
      <c r="T125" t="str" cm="1">
        <f t="array" ref="T125">_xlfn.IFS(S125&gt;50, "High", S125&lt;=50, "Low")</f>
        <v>High</v>
      </c>
      <c r="U125">
        <v>19</v>
      </c>
      <c r="V125">
        <v>0</v>
      </c>
      <c r="W125">
        <v>11</v>
      </c>
      <c r="X125">
        <v>4</v>
      </c>
      <c r="Y125">
        <f t="shared" ca="1" si="1"/>
        <v>80.407623450319136</v>
      </c>
      <c r="AA125" s="8" t="s">
        <v>1429</v>
      </c>
      <c r="AB125">
        <v>8</v>
      </c>
      <c r="AC125">
        <v>66</v>
      </c>
      <c r="AD125">
        <v>23</v>
      </c>
      <c r="AE125">
        <v>46.23594825855907</v>
      </c>
    </row>
    <row r="126" spans="1:31" x14ac:dyDescent="0.3">
      <c r="A126" t="s">
        <v>372</v>
      </c>
      <c r="B126" t="s">
        <v>373</v>
      </c>
      <c r="C126">
        <v>1</v>
      </c>
      <c r="D126" s="1">
        <v>44358</v>
      </c>
      <c r="E126">
        <v>457</v>
      </c>
      <c r="F126">
        <v>24</v>
      </c>
      <c r="G126">
        <v>8</v>
      </c>
      <c r="H126">
        <v>116</v>
      </c>
      <c r="I126">
        <v>4</v>
      </c>
      <c r="J126">
        <v>3</v>
      </c>
      <c r="K126">
        <v>2</v>
      </c>
      <c r="L126">
        <v>330346424</v>
      </c>
      <c r="M126">
        <v>92</v>
      </c>
      <c r="O126" t="s">
        <v>28</v>
      </c>
      <c r="P126">
        <v>81</v>
      </c>
      <c r="Q126">
        <v>39</v>
      </c>
      <c r="R126" t="str" cm="1">
        <f t="array" ref="R126">_xlfn.IFS(Q126&gt;70,"Good",Q126&lt;40,"Bad",(Q126&gt;OS164*(Q126&lt;80)),"Ok")</f>
        <v>Bad</v>
      </c>
      <c r="S126">
        <v>60</v>
      </c>
      <c r="T126" t="str" cm="1">
        <f t="array" ref="T126">_xlfn.IFS(S126&gt;50, "High", S126&lt;=50, "Low")</f>
        <v>High</v>
      </c>
      <c r="U126">
        <v>31</v>
      </c>
      <c r="V126">
        <v>0</v>
      </c>
      <c r="W126">
        <v>7</v>
      </c>
      <c r="X126">
        <v>3</v>
      </c>
      <c r="Y126">
        <f t="shared" ca="1" si="1"/>
        <v>33.95254924906056</v>
      </c>
      <c r="AA126" s="8" t="s">
        <v>1052</v>
      </c>
      <c r="AB126">
        <v>9</v>
      </c>
      <c r="AC126">
        <v>63</v>
      </c>
      <c r="AD126">
        <v>28</v>
      </c>
      <c r="AE126">
        <v>43.19713557651702</v>
      </c>
    </row>
    <row r="127" spans="1:31" x14ac:dyDescent="0.3">
      <c r="A127" t="s">
        <v>375</v>
      </c>
      <c r="B127" t="s">
        <v>376</v>
      </c>
      <c r="C127">
        <v>1</v>
      </c>
      <c r="D127" s="1">
        <v>44792</v>
      </c>
      <c r="E127">
        <v>3430</v>
      </c>
      <c r="F127">
        <v>38</v>
      </c>
      <c r="G127">
        <v>45</v>
      </c>
      <c r="H127">
        <v>69</v>
      </c>
      <c r="I127">
        <v>52</v>
      </c>
      <c r="J127">
        <v>4</v>
      </c>
      <c r="K127">
        <v>3</v>
      </c>
      <c r="L127">
        <v>601863821</v>
      </c>
      <c r="M127">
        <v>95</v>
      </c>
      <c r="N127" t="s">
        <v>34</v>
      </c>
      <c r="O127" t="s">
        <v>28</v>
      </c>
      <c r="P127">
        <v>87</v>
      </c>
      <c r="Q127">
        <v>57</v>
      </c>
      <c r="R127" t="str" cm="1">
        <f t="array" ref="R127">_xlfn.IFS(Q127&gt;70,"Good",Q127&lt;40,"Bad",(Q127&gt;OS165*(Q127&lt;80)),"Ok")</f>
        <v>Ok</v>
      </c>
      <c r="S127">
        <v>55</v>
      </c>
      <c r="T127" t="str" cm="1">
        <f t="array" ref="T127">_xlfn.IFS(S127&gt;50, "High", S127&lt;=50, "Low")</f>
        <v>High</v>
      </c>
      <c r="U127">
        <v>10</v>
      </c>
      <c r="V127">
        <v>0</v>
      </c>
      <c r="W127">
        <v>29</v>
      </c>
      <c r="X127">
        <v>7</v>
      </c>
      <c r="Y127">
        <f t="shared" ca="1" si="1"/>
        <v>19.866162922047813</v>
      </c>
      <c r="AA127" s="8" t="s">
        <v>610</v>
      </c>
      <c r="AB127">
        <v>19</v>
      </c>
      <c r="AC127">
        <v>43</v>
      </c>
      <c r="AD127">
        <v>1</v>
      </c>
      <c r="AE127">
        <v>43.195337778936469</v>
      </c>
    </row>
    <row r="128" spans="1:31" x14ac:dyDescent="0.3">
      <c r="A128" t="s">
        <v>288</v>
      </c>
      <c r="B128" t="s">
        <v>378</v>
      </c>
      <c r="C128">
        <v>3</v>
      </c>
      <c r="D128" s="1">
        <v>40771</v>
      </c>
      <c r="E128">
        <v>6074</v>
      </c>
      <c r="F128">
        <v>52</v>
      </c>
      <c r="G128">
        <v>201</v>
      </c>
      <c r="H128">
        <v>44</v>
      </c>
      <c r="I128" s="2">
        <v>6551</v>
      </c>
      <c r="J128">
        <v>2</v>
      </c>
      <c r="K128">
        <v>0</v>
      </c>
      <c r="L128">
        <v>1953533826</v>
      </c>
      <c r="M128">
        <v>146</v>
      </c>
      <c r="N128" t="s">
        <v>61</v>
      </c>
      <c r="O128" t="s">
        <v>28</v>
      </c>
      <c r="P128">
        <v>63</v>
      </c>
      <c r="Q128">
        <v>88</v>
      </c>
      <c r="R128" t="str" cm="1">
        <f t="array" ref="R128">_xlfn.IFS(Q128&gt;70,"Good",Q128&lt;40,"Bad",(Q128&gt;OS166*(Q128&lt;80)),"Ok")</f>
        <v>Good</v>
      </c>
      <c r="S128">
        <v>93</v>
      </c>
      <c r="T128" t="str" cm="1">
        <f t="array" ref="T128">_xlfn.IFS(S128&gt;50, "High", S128&lt;=50, "Low")</f>
        <v>High</v>
      </c>
      <c r="U128">
        <v>3</v>
      </c>
      <c r="V128">
        <v>0</v>
      </c>
      <c r="W128">
        <v>10</v>
      </c>
      <c r="X128">
        <v>8</v>
      </c>
      <c r="Y128">
        <f t="shared" ca="1" si="1"/>
        <v>20.82231932933658</v>
      </c>
      <c r="AA128" s="8" t="s">
        <v>689</v>
      </c>
      <c r="AB128">
        <v>12</v>
      </c>
      <c r="AC128">
        <v>59</v>
      </c>
      <c r="AD128">
        <v>43</v>
      </c>
      <c r="AE128">
        <v>42.806290719523474</v>
      </c>
    </row>
    <row r="129" spans="1:31" x14ac:dyDescent="0.3">
      <c r="A129" t="s">
        <v>380</v>
      </c>
      <c r="B129" t="s">
        <v>77</v>
      </c>
      <c r="C129">
        <v>1</v>
      </c>
      <c r="D129" s="1">
        <v>43786</v>
      </c>
      <c r="E129">
        <v>21915</v>
      </c>
      <c r="F129">
        <v>34</v>
      </c>
      <c r="G129">
        <v>437</v>
      </c>
      <c r="H129">
        <v>115</v>
      </c>
      <c r="I129" s="2">
        <v>1212</v>
      </c>
      <c r="J129">
        <v>12</v>
      </c>
      <c r="L129">
        <v>2322580122</v>
      </c>
      <c r="M129">
        <v>95</v>
      </c>
      <c r="O129" t="s">
        <v>28</v>
      </c>
      <c r="P129">
        <v>55</v>
      </c>
      <c r="Q129">
        <v>56</v>
      </c>
      <c r="R129" t="str" cm="1">
        <f t="array" ref="R129">_xlfn.IFS(Q129&gt;70,"Good",Q129&lt;40,"Bad",(Q129&gt;OS167*(Q129&lt;80)),"Ok")</f>
        <v>Ok</v>
      </c>
      <c r="S129">
        <v>82</v>
      </c>
      <c r="T129" t="str" cm="1">
        <f t="array" ref="T129">_xlfn.IFS(S129&gt;50, "High", S129&lt;=50, "Low")</f>
        <v>High</v>
      </c>
      <c r="U129">
        <v>12</v>
      </c>
      <c r="V129">
        <v>0</v>
      </c>
      <c r="W129">
        <v>34</v>
      </c>
      <c r="X129">
        <v>5</v>
      </c>
      <c r="Y129">
        <f t="shared" ca="1" si="1"/>
        <v>97.620197478223673</v>
      </c>
      <c r="AA129" s="8" t="s">
        <v>1596</v>
      </c>
      <c r="AB129">
        <v>7</v>
      </c>
      <c r="AC129">
        <v>91</v>
      </c>
      <c r="AD129">
        <v>1</v>
      </c>
      <c r="AE129">
        <v>41.778554894118926</v>
      </c>
    </row>
    <row r="130" spans="1:31" x14ac:dyDescent="0.3">
      <c r="A130" t="s">
        <v>382</v>
      </c>
      <c r="B130" t="s">
        <v>383</v>
      </c>
      <c r="C130">
        <v>2</v>
      </c>
      <c r="D130" s="1">
        <v>42958</v>
      </c>
      <c r="E130">
        <v>15032</v>
      </c>
      <c r="F130">
        <v>30</v>
      </c>
      <c r="G130">
        <v>221</v>
      </c>
      <c r="H130">
        <v>96</v>
      </c>
      <c r="I130" s="2">
        <v>1078</v>
      </c>
      <c r="J130">
        <v>2</v>
      </c>
      <c r="K130">
        <v>136</v>
      </c>
      <c r="L130">
        <v>2355719893</v>
      </c>
      <c r="M130">
        <v>115</v>
      </c>
      <c r="N130" t="s">
        <v>134</v>
      </c>
      <c r="O130" t="s">
        <v>45</v>
      </c>
      <c r="P130">
        <v>35</v>
      </c>
      <c r="Q130">
        <v>12</v>
      </c>
      <c r="R130" t="str" cm="1">
        <f t="array" ref="R130">_xlfn.IFS(Q130&gt;70,"Good",Q130&lt;40,"Bad",(Q130&gt;OS168*(Q130&lt;80)),"Ok")</f>
        <v>Bad</v>
      </c>
      <c r="S130">
        <v>30</v>
      </c>
      <c r="T130" t="str" cm="1">
        <f t="array" ref="T130">_xlfn.IFS(S130&gt;50, "High", S130&lt;=50, "Low")</f>
        <v>Low</v>
      </c>
      <c r="U130">
        <v>93</v>
      </c>
      <c r="V130">
        <v>0</v>
      </c>
      <c r="W130">
        <v>10</v>
      </c>
      <c r="X130">
        <v>3</v>
      </c>
      <c r="Y130">
        <f t="shared" ref="Y130:Y193" ca="1" si="2">RAND()*100</f>
        <v>49.698034495774422</v>
      </c>
      <c r="AA130" s="8" t="s">
        <v>1335</v>
      </c>
      <c r="AB130">
        <v>11</v>
      </c>
      <c r="AC130">
        <v>91</v>
      </c>
      <c r="AD130">
        <v>3</v>
      </c>
      <c r="AE130">
        <v>41.637831159346852</v>
      </c>
    </row>
    <row r="131" spans="1:31" x14ac:dyDescent="0.3">
      <c r="A131" t="s">
        <v>385</v>
      </c>
      <c r="B131" t="s">
        <v>233</v>
      </c>
      <c r="C131">
        <v>2</v>
      </c>
      <c r="D131" s="1">
        <v>45098</v>
      </c>
      <c r="E131">
        <v>871</v>
      </c>
      <c r="F131">
        <v>32</v>
      </c>
      <c r="G131">
        <v>25</v>
      </c>
      <c r="H131">
        <v>59</v>
      </c>
      <c r="I131">
        <v>32</v>
      </c>
      <c r="J131">
        <v>5</v>
      </c>
      <c r="K131">
        <v>88</v>
      </c>
      <c r="L131">
        <v>66902503</v>
      </c>
      <c r="M131">
        <v>128</v>
      </c>
      <c r="N131" t="s">
        <v>27</v>
      </c>
      <c r="O131" t="s">
        <v>28</v>
      </c>
      <c r="P131">
        <v>78</v>
      </c>
      <c r="Q131">
        <v>59</v>
      </c>
      <c r="R131" t="str" cm="1">
        <f t="array" ref="R131">_xlfn.IFS(Q131&gt;70,"Good",Q131&lt;40,"Bad",(Q131&gt;OS169*(Q131&lt;80)),"Ok")</f>
        <v>Ok</v>
      </c>
      <c r="S131">
        <v>65</v>
      </c>
      <c r="T131" t="str" cm="1">
        <f t="array" ref="T131">_xlfn.IFS(S131&gt;50, "High", S131&lt;=50, "Low")</f>
        <v>High</v>
      </c>
      <c r="U131">
        <v>10</v>
      </c>
      <c r="V131">
        <v>0</v>
      </c>
      <c r="W131">
        <v>26</v>
      </c>
      <c r="X131">
        <v>5</v>
      </c>
      <c r="Y131">
        <f t="shared" ca="1" si="2"/>
        <v>89.670858907856058</v>
      </c>
      <c r="AA131" s="8" t="s">
        <v>1605</v>
      </c>
      <c r="AB131">
        <v>16</v>
      </c>
      <c r="AC131">
        <v>77</v>
      </c>
      <c r="AD131">
        <v>1</v>
      </c>
      <c r="AE131">
        <v>41.373970236770909</v>
      </c>
    </row>
    <row r="132" spans="1:31" x14ac:dyDescent="0.3">
      <c r="A132" t="s">
        <v>387</v>
      </c>
      <c r="B132" t="s">
        <v>388</v>
      </c>
      <c r="C132">
        <v>1</v>
      </c>
      <c r="D132" s="1">
        <v>45061</v>
      </c>
      <c r="E132">
        <v>451</v>
      </c>
      <c r="F132">
        <v>33</v>
      </c>
      <c r="G132">
        <v>10</v>
      </c>
      <c r="H132">
        <v>126</v>
      </c>
      <c r="I132">
        <v>7</v>
      </c>
      <c r="J132">
        <v>0</v>
      </c>
      <c r="K132">
        <v>148</v>
      </c>
      <c r="L132">
        <v>96273746</v>
      </c>
      <c r="M132">
        <v>130</v>
      </c>
      <c r="N132" t="s">
        <v>134</v>
      </c>
      <c r="O132" t="s">
        <v>45</v>
      </c>
      <c r="P132">
        <v>82</v>
      </c>
      <c r="Q132">
        <v>69</v>
      </c>
      <c r="R132" t="str" cm="1">
        <f t="array" ref="R132">_xlfn.IFS(Q132&gt;70,"Good",Q132&lt;40,"Bad",(Q132&gt;OS170*(Q132&lt;80)),"Ok")</f>
        <v>Ok</v>
      </c>
      <c r="S132">
        <v>83</v>
      </c>
      <c r="T132" t="str" cm="1">
        <f t="array" ref="T132">_xlfn.IFS(S132&gt;50, "High", S132&lt;=50, "Low")</f>
        <v>High</v>
      </c>
      <c r="U132">
        <v>3</v>
      </c>
      <c r="V132">
        <v>0</v>
      </c>
      <c r="W132">
        <v>27</v>
      </c>
      <c r="X132">
        <v>5</v>
      </c>
      <c r="Y132">
        <f t="shared" ca="1" si="2"/>
        <v>76.865500617291232</v>
      </c>
      <c r="AA132" s="8" t="s">
        <v>954</v>
      </c>
      <c r="AB132">
        <v>15</v>
      </c>
      <c r="AC132">
        <v>67</v>
      </c>
      <c r="AD132">
        <v>76</v>
      </c>
      <c r="AE132">
        <v>41.270258723597856</v>
      </c>
    </row>
    <row r="133" spans="1:31" x14ac:dyDescent="0.3">
      <c r="A133" t="s">
        <v>237</v>
      </c>
      <c r="B133" t="s">
        <v>68</v>
      </c>
      <c r="C133">
        <v>1</v>
      </c>
      <c r="D133" s="1">
        <v>44928</v>
      </c>
      <c r="E133">
        <v>1783</v>
      </c>
      <c r="F133">
        <v>27</v>
      </c>
      <c r="G133">
        <v>26</v>
      </c>
      <c r="H133">
        <v>124</v>
      </c>
      <c r="I133">
        <v>15</v>
      </c>
      <c r="J133">
        <v>1</v>
      </c>
      <c r="K133">
        <v>22</v>
      </c>
      <c r="L133">
        <v>430977451</v>
      </c>
      <c r="M133">
        <v>127</v>
      </c>
      <c r="N133" t="s">
        <v>37</v>
      </c>
      <c r="O133" t="s">
        <v>45</v>
      </c>
      <c r="P133">
        <v>80</v>
      </c>
      <c r="Q133">
        <v>74</v>
      </c>
      <c r="R133" t="str" cm="1">
        <f t="array" ref="R133">_xlfn.IFS(Q133&gt;70,"Good",Q133&lt;40,"Bad",(Q133&gt;OS171*(Q133&lt;80)),"Ok")</f>
        <v>Good</v>
      </c>
      <c r="S133">
        <v>77</v>
      </c>
      <c r="T133" t="str" cm="1">
        <f t="array" ref="T133">_xlfn.IFS(S133&gt;50, "High", S133&lt;=50, "Low")</f>
        <v>High</v>
      </c>
      <c r="U133">
        <v>36</v>
      </c>
      <c r="V133">
        <v>0</v>
      </c>
      <c r="W133">
        <v>11</v>
      </c>
      <c r="X133">
        <v>4</v>
      </c>
      <c r="Y133">
        <f t="shared" ca="1" si="2"/>
        <v>84.270250435198307</v>
      </c>
      <c r="AA133" s="8" t="s">
        <v>1225</v>
      </c>
      <c r="AB133">
        <v>8</v>
      </c>
      <c r="AC133">
        <v>92</v>
      </c>
      <c r="AD133">
        <v>3</v>
      </c>
      <c r="AE133">
        <v>40.617881873274456</v>
      </c>
    </row>
    <row r="134" spans="1:31" x14ac:dyDescent="0.3">
      <c r="A134" t="s">
        <v>390</v>
      </c>
      <c r="B134" t="s">
        <v>305</v>
      </c>
      <c r="C134">
        <v>1</v>
      </c>
      <c r="D134" s="1">
        <v>40544</v>
      </c>
      <c r="E134">
        <v>9389</v>
      </c>
      <c r="F134">
        <v>46</v>
      </c>
      <c r="G134">
        <v>24</v>
      </c>
      <c r="H134">
        <v>122</v>
      </c>
      <c r="I134">
        <v>282</v>
      </c>
      <c r="J134">
        <v>3</v>
      </c>
      <c r="K134">
        <v>368</v>
      </c>
      <c r="L134">
        <v>284819874</v>
      </c>
      <c r="M134">
        <v>150</v>
      </c>
      <c r="N134" t="s">
        <v>61</v>
      </c>
      <c r="O134" t="s">
        <v>28</v>
      </c>
      <c r="P134">
        <v>42</v>
      </c>
      <c r="Q134">
        <v>20</v>
      </c>
      <c r="R134" t="str" cm="1">
        <f t="array" ref="R134">_xlfn.IFS(Q134&gt;70,"Good",Q134&lt;40,"Bad",(Q134&gt;OS172*(Q134&lt;80)),"Ok")</f>
        <v>Bad</v>
      </c>
      <c r="S134">
        <v>86</v>
      </c>
      <c r="T134" t="str" cm="1">
        <f t="array" ref="T134">_xlfn.IFS(S134&gt;50, "High", S134&lt;=50, "Low")</f>
        <v>High</v>
      </c>
      <c r="U134">
        <v>21</v>
      </c>
      <c r="V134">
        <v>0</v>
      </c>
      <c r="W134">
        <v>9</v>
      </c>
      <c r="X134">
        <v>9</v>
      </c>
      <c r="Y134">
        <f t="shared" ca="1" si="2"/>
        <v>66.140153203315634</v>
      </c>
      <c r="AA134" s="8" t="s">
        <v>1012</v>
      </c>
      <c r="AB134">
        <v>21</v>
      </c>
      <c r="AC134">
        <v>74</v>
      </c>
      <c r="AD134">
        <v>0</v>
      </c>
      <c r="AE134">
        <v>39.728853110993413</v>
      </c>
    </row>
    <row r="135" spans="1:31" x14ac:dyDescent="0.3">
      <c r="A135" t="s">
        <v>391</v>
      </c>
      <c r="B135" t="s">
        <v>392</v>
      </c>
      <c r="C135">
        <v>2</v>
      </c>
      <c r="D135" s="1">
        <v>44937</v>
      </c>
      <c r="E135">
        <v>5724</v>
      </c>
      <c r="F135">
        <v>44</v>
      </c>
      <c r="G135">
        <v>119</v>
      </c>
      <c r="H135">
        <v>108</v>
      </c>
      <c r="I135">
        <v>254</v>
      </c>
      <c r="J135">
        <v>29</v>
      </c>
      <c r="K135">
        <v>22</v>
      </c>
      <c r="L135">
        <v>721975598</v>
      </c>
      <c r="M135">
        <v>122</v>
      </c>
      <c r="N135" t="s">
        <v>61</v>
      </c>
      <c r="O135" t="s">
        <v>45</v>
      </c>
      <c r="P135">
        <v>78</v>
      </c>
      <c r="Q135">
        <v>50</v>
      </c>
      <c r="R135" t="str" cm="1">
        <f t="array" ref="R135">_xlfn.IFS(Q135&gt;70,"Good",Q135&lt;40,"Bad",(Q135&gt;OS173*(Q135&lt;80)),"Ok")</f>
        <v>Ok</v>
      </c>
      <c r="S135">
        <v>63</v>
      </c>
      <c r="T135" t="str" cm="1">
        <f t="array" ref="T135">_xlfn.IFS(S135&gt;50, "High", S135&lt;=50, "Low")</f>
        <v>High</v>
      </c>
      <c r="U135">
        <v>27</v>
      </c>
      <c r="V135">
        <v>0</v>
      </c>
      <c r="W135">
        <v>9</v>
      </c>
      <c r="X135">
        <v>5</v>
      </c>
      <c r="Y135">
        <f t="shared" ca="1" si="2"/>
        <v>24.708141811399198</v>
      </c>
      <c r="AA135" s="8" t="s">
        <v>1130</v>
      </c>
      <c r="AB135">
        <v>9</v>
      </c>
      <c r="AC135">
        <v>45</v>
      </c>
      <c r="AD135">
        <v>63</v>
      </c>
      <c r="AE135">
        <v>38.845796097310206</v>
      </c>
    </row>
    <row r="136" spans="1:31" x14ac:dyDescent="0.3">
      <c r="A136">
        <v>505</v>
      </c>
      <c r="B136" t="s">
        <v>102</v>
      </c>
      <c r="C136">
        <v>1</v>
      </c>
      <c r="D136" s="1">
        <v>39192</v>
      </c>
      <c r="E136">
        <v>13985</v>
      </c>
      <c r="F136">
        <v>25</v>
      </c>
      <c r="G136">
        <v>30</v>
      </c>
      <c r="H136">
        <v>80</v>
      </c>
      <c r="I136">
        <v>588</v>
      </c>
      <c r="J136">
        <v>1</v>
      </c>
      <c r="K136">
        <v>1</v>
      </c>
      <c r="L136">
        <v>1217120710</v>
      </c>
      <c r="M136">
        <v>140</v>
      </c>
      <c r="O136" t="s">
        <v>28</v>
      </c>
      <c r="P136">
        <v>52</v>
      </c>
      <c r="Q136">
        <v>20</v>
      </c>
      <c r="R136" t="str" cm="1">
        <f t="array" ref="R136">_xlfn.IFS(Q136&gt;70,"Good",Q136&lt;40,"Bad",(Q136&gt;OS174*(Q136&lt;80)),"Ok")</f>
        <v>Bad</v>
      </c>
      <c r="S136">
        <v>85</v>
      </c>
      <c r="T136" t="str" cm="1">
        <f t="array" ref="T136">_xlfn.IFS(S136&gt;50, "High", S136&lt;=50, "Low")</f>
        <v>High</v>
      </c>
      <c r="U136">
        <v>0</v>
      </c>
      <c r="V136">
        <v>0</v>
      </c>
      <c r="W136">
        <v>7</v>
      </c>
      <c r="X136">
        <v>5</v>
      </c>
      <c r="Y136">
        <f t="shared" ca="1" si="2"/>
        <v>81.388678717380472</v>
      </c>
      <c r="AA136" s="8" t="s">
        <v>1053</v>
      </c>
      <c r="AB136">
        <v>23</v>
      </c>
      <c r="AC136">
        <v>77</v>
      </c>
      <c r="AD136">
        <v>34</v>
      </c>
      <c r="AE136">
        <v>37.784038204413783</v>
      </c>
    </row>
    <row r="137" spans="1:31" x14ac:dyDescent="0.3">
      <c r="A137" t="s">
        <v>395</v>
      </c>
      <c r="B137" t="s">
        <v>396</v>
      </c>
      <c r="C137">
        <v>4</v>
      </c>
      <c r="D137" s="1">
        <v>45079</v>
      </c>
      <c r="E137">
        <v>1051</v>
      </c>
      <c r="F137">
        <v>16</v>
      </c>
      <c r="G137">
        <v>31</v>
      </c>
      <c r="H137">
        <v>37</v>
      </c>
      <c r="I137">
        <v>31</v>
      </c>
      <c r="J137">
        <v>0</v>
      </c>
      <c r="K137">
        <v>189</v>
      </c>
      <c r="L137">
        <v>109276132</v>
      </c>
      <c r="M137">
        <v>140</v>
      </c>
      <c r="O137" t="s">
        <v>28</v>
      </c>
      <c r="P137">
        <v>63</v>
      </c>
      <c r="Q137">
        <v>22</v>
      </c>
      <c r="R137" t="str" cm="1">
        <f t="array" ref="R137">_xlfn.IFS(Q137&gt;70,"Good",Q137&lt;40,"Bad",(Q137&gt;OS175*(Q137&lt;80)),"Ok")</f>
        <v>Bad</v>
      </c>
      <c r="S137">
        <v>54</v>
      </c>
      <c r="T137" t="str" cm="1">
        <f t="array" ref="T137">_xlfn.IFS(S137&gt;50, "High", S137&lt;=50, "Low")</f>
        <v>High</v>
      </c>
      <c r="U137">
        <v>46</v>
      </c>
      <c r="V137">
        <v>0</v>
      </c>
      <c r="W137">
        <v>12</v>
      </c>
      <c r="X137">
        <v>8</v>
      </c>
      <c r="Y137">
        <f t="shared" ca="1" si="2"/>
        <v>21.86106963611153</v>
      </c>
      <c r="AA137" s="8" t="s">
        <v>1420</v>
      </c>
      <c r="AB137">
        <v>14</v>
      </c>
      <c r="AC137">
        <v>36</v>
      </c>
      <c r="AD137">
        <v>34</v>
      </c>
      <c r="AE137">
        <v>37.474890950761704</v>
      </c>
    </row>
    <row r="138" spans="1:31" x14ac:dyDescent="0.3">
      <c r="A138" t="s">
        <v>398</v>
      </c>
      <c r="B138" t="s">
        <v>399</v>
      </c>
      <c r="C138">
        <v>3</v>
      </c>
      <c r="D138" s="1">
        <v>44897</v>
      </c>
      <c r="E138">
        <v>1682</v>
      </c>
      <c r="F138">
        <v>46</v>
      </c>
      <c r="G138">
        <v>24</v>
      </c>
      <c r="H138">
        <v>90</v>
      </c>
      <c r="I138">
        <v>30</v>
      </c>
      <c r="J138">
        <v>1</v>
      </c>
      <c r="K138">
        <v>176</v>
      </c>
      <c r="L138">
        <v>276259178</v>
      </c>
      <c r="M138">
        <v>119</v>
      </c>
      <c r="N138" t="s">
        <v>31</v>
      </c>
      <c r="O138" t="s">
        <v>45</v>
      </c>
      <c r="P138">
        <v>75</v>
      </c>
      <c r="Q138">
        <v>48</v>
      </c>
      <c r="R138" t="str" cm="1">
        <f t="array" ref="R138">_xlfn.IFS(Q138&gt;70,"Good",Q138&lt;40,"Bad",(Q138&gt;OS176*(Q138&lt;80)),"Ok")</f>
        <v>Ok</v>
      </c>
      <c r="S138">
        <v>53</v>
      </c>
      <c r="T138" t="str" cm="1">
        <f t="array" ref="T138">_xlfn.IFS(S138&gt;50, "High", S138&lt;=50, "Low")</f>
        <v>High</v>
      </c>
      <c r="U138">
        <v>18</v>
      </c>
      <c r="V138">
        <v>0</v>
      </c>
      <c r="W138">
        <v>18</v>
      </c>
      <c r="X138">
        <v>34</v>
      </c>
      <c r="Y138">
        <f t="shared" ca="1" si="2"/>
        <v>18.047222109508855</v>
      </c>
      <c r="AA138" s="8" t="s">
        <v>973</v>
      </c>
      <c r="AB138">
        <v>38</v>
      </c>
      <c r="AC138">
        <v>80</v>
      </c>
      <c r="AD138">
        <v>9</v>
      </c>
      <c r="AE138">
        <v>37.175139654833188</v>
      </c>
    </row>
    <row r="139" spans="1:31" x14ac:dyDescent="0.3">
      <c r="A139" t="s">
        <v>401</v>
      </c>
      <c r="B139" t="s">
        <v>402</v>
      </c>
      <c r="C139">
        <v>5</v>
      </c>
      <c r="D139" s="1">
        <v>45068</v>
      </c>
      <c r="E139">
        <v>182</v>
      </c>
      <c r="F139">
        <v>8</v>
      </c>
      <c r="G139">
        <v>3</v>
      </c>
      <c r="H139">
        <v>88</v>
      </c>
      <c r="I139">
        <v>1</v>
      </c>
      <c r="J139">
        <v>0</v>
      </c>
      <c r="K139">
        <v>52</v>
      </c>
      <c r="L139">
        <v>54225632</v>
      </c>
      <c r="M139">
        <v>110</v>
      </c>
      <c r="N139" t="s">
        <v>94</v>
      </c>
      <c r="O139" t="s">
        <v>45</v>
      </c>
      <c r="P139">
        <v>76</v>
      </c>
      <c r="Q139">
        <v>96</v>
      </c>
      <c r="R139" t="str" cm="1">
        <f t="array" ref="R139">_xlfn.IFS(Q139&gt;70,"Good",Q139&lt;40,"Bad",(Q139&gt;OS177*(Q139&lt;80)),"Ok")</f>
        <v>Good</v>
      </c>
      <c r="S139">
        <v>72</v>
      </c>
      <c r="T139" t="str" cm="1">
        <f t="array" ref="T139">_xlfn.IFS(S139&gt;50, "High", S139&lt;=50, "Low")</f>
        <v>High</v>
      </c>
      <c r="U139">
        <v>32</v>
      </c>
      <c r="V139">
        <v>0</v>
      </c>
      <c r="W139">
        <v>9</v>
      </c>
      <c r="X139">
        <v>4</v>
      </c>
      <c r="Y139">
        <f t="shared" ca="1" si="2"/>
        <v>89.468774611977949</v>
      </c>
      <c r="AA139" s="8" t="s">
        <v>372</v>
      </c>
      <c r="AB139">
        <v>7</v>
      </c>
      <c r="AC139">
        <v>81</v>
      </c>
      <c r="AD139">
        <v>31</v>
      </c>
      <c r="AE139">
        <v>37.168938977166164</v>
      </c>
    </row>
    <row r="140" spans="1:31" x14ac:dyDescent="0.3">
      <c r="A140" t="s">
        <v>404</v>
      </c>
      <c r="B140" t="s">
        <v>405</v>
      </c>
      <c r="C140">
        <v>1</v>
      </c>
      <c r="D140" s="1">
        <v>42736</v>
      </c>
      <c r="E140">
        <v>16596</v>
      </c>
      <c r="F140">
        <v>13</v>
      </c>
      <c r="G140">
        <v>7</v>
      </c>
      <c r="H140">
        <v>0</v>
      </c>
      <c r="I140" s="2">
        <v>2094</v>
      </c>
      <c r="J140">
        <v>0</v>
      </c>
      <c r="K140">
        <v>0</v>
      </c>
      <c r="L140">
        <v>2559529074</v>
      </c>
      <c r="M140">
        <v>95</v>
      </c>
      <c r="N140" t="s">
        <v>81</v>
      </c>
      <c r="O140" t="s">
        <v>28</v>
      </c>
      <c r="P140">
        <v>60</v>
      </c>
      <c r="Q140">
        <v>17</v>
      </c>
      <c r="R140" t="str" cm="1">
        <f t="array" ref="R140">_xlfn.IFS(Q140&gt;70,"Good",Q140&lt;40,"Bad",(Q140&gt;OS178*(Q140&lt;80)),"Ok")</f>
        <v>Bad</v>
      </c>
      <c r="S140">
        <v>45</v>
      </c>
      <c r="T140" t="str" cm="1">
        <f t="array" ref="T140">_xlfn.IFS(S140&gt;50, "High", S140&lt;=50, "Low")</f>
        <v>Low</v>
      </c>
      <c r="U140">
        <v>16</v>
      </c>
      <c r="V140">
        <v>0</v>
      </c>
      <c r="W140">
        <v>11</v>
      </c>
      <c r="X140">
        <v>2</v>
      </c>
      <c r="Y140">
        <f t="shared" ca="1" si="2"/>
        <v>48.770685785952239</v>
      </c>
      <c r="AA140" s="8" t="s">
        <v>1519</v>
      </c>
      <c r="AB140">
        <v>11</v>
      </c>
      <c r="AC140">
        <v>78</v>
      </c>
      <c r="AD140">
        <v>1</v>
      </c>
      <c r="AE140">
        <v>36.745566885485879</v>
      </c>
    </row>
    <row r="141" spans="1:31" x14ac:dyDescent="0.3">
      <c r="A141" t="s">
        <v>407</v>
      </c>
      <c r="B141" t="s">
        <v>250</v>
      </c>
      <c r="C141">
        <v>1</v>
      </c>
      <c r="D141" s="1">
        <v>44762</v>
      </c>
      <c r="E141">
        <v>2335</v>
      </c>
      <c r="F141">
        <v>23</v>
      </c>
      <c r="G141">
        <v>82</v>
      </c>
      <c r="H141">
        <v>55</v>
      </c>
      <c r="I141">
        <v>50</v>
      </c>
      <c r="J141">
        <v>0</v>
      </c>
      <c r="K141">
        <v>9</v>
      </c>
      <c r="L141">
        <v>681583126</v>
      </c>
      <c r="M141">
        <v>132</v>
      </c>
      <c r="N141" t="s">
        <v>65</v>
      </c>
      <c r="O141" t="s">
        <v>28</v>
      </c>
      <c r="P141">
        <v>56</v>
      </c>
      <c r="Q141">
        <v>20</v>
      </c>
      <c r="R141" t="str" cm="1">
        <f t="array" ref="R141">_xlfn.IFS(Q141&gt;70,"Good",Q141&lt;40,"Bad",(Q141&gt;OS179*(Q141&lt;80)),"Ok")</f>
        <v>Bad</v>
      </c>
      <c r="S141">
        <v>55</v>
      </c>
      <c r="T141" t="str" cm="1">
        <f t="array" ref="T141">_xlfn.IFS(S141&gt;50, "High", S141&lt;=50, "Low")</f>
        <v>High</v>
      </c>
      <c r="U141">
        <v>45</v>
      </c>
      <c r="V141">
        <v>1</v>
      </c>
      <c r="W141">
        <v>32</v>
      </c>
      <c r="X141">
        <v>3</v>
      </c>
      <c r="Y141">
        <f t="shared" ca="1" si="2"/>
        <v>3.2491257589716382</v>
      </c>
      <c r="AA141" s="8" t="s">
        <v>707</v>
      </c>
      <c r="AB141">
        <v>36</v>
      </c>
      <c r="AC141">
        <v>70</v>
      </c>
      <c r="AD141">
        <v>1</v>
      </c>
      <c r="AE141">
        <v>35.592275815893728</v>
      </c>
    </row>
    <row r="142" spans="1:31" x14ac:dyDescent="0.3">
      <c r="A142" t="s">
        <v>75</v>
      </c>
      <c r="B142" t="s">
        <v>333</v>
      </c>
      <c r="C142">
        <v>1</v>
      </c>
      <c r="D142" s="1">
        <v>42766</v>
      </c>
      <c r="E142">
        <v>18986</v>
      </c>
      <c r="F142">
        <v>23</v>
      </c>
      <c r="G142">
        <v>250</v>
      </c>
      <c r="H142">
        <v>121</v>
      </c>
      <c r="I142" s="2">
        <v>2969</v>
      </c>
      <c r="J142">
        <v>10</v>
      </c>
      <c r="K142">
        <v>31</v>
      </c>
      <c r="L142">
        <v>2594040133</v>
      </c>
      <c r="M142">
        <v>125</v>
      </c>
      <c r="N142" t="s">
        <v>181</v>
      </c>
      <c r="O142" t="s">
        <v>45</v>
      </c>
      <c r="P142">
        <v>77</v>
      </c>
      <c r="Q142">
        <v>74</v>
      </c>
      <c r="R142" t="str" cm="1">
        <f t="array" ref="R142">_xlfn.IFS(Q142&gt;70,"Good",Q142&lt;40,"Bad",(Q142&gt;OS180*(Q142&lt;80)),"Ok")</f>
        <v>Good</v>
      </c>
      <c r="S142">
        <v>78</v>
      </c>
      <c r="T142" t="str" cm="1">
        <f t="array" ref="T142">_xlfn.IFS(S142&gt;50, "High", S142&lt;=50, "Low")</f>
        <v>High</v>
      </c>
      <c r="U142">
        <v>4</v>
      </c>
      <c r="V142">
        <v>0</v>
      </c>
      <c r="W142">
        <v>23</v>
      </c>
      <c r="X142">
        <v>11</v>
      </c>
      <c r="Y142">
        <f t="shared" ca="1" si="2"/>
        <v>28.011267795541439</v>
      </c>
      <c r="AA142" s="8" t="s">
        <v>1167</v>
      </c>
      <c r="AB142">
        <v>32</v>
      </c>
      <c r="AC142">
        <v>80</v>
      </c>
      <c r="AD142">
        <v>0</v>
      </c>
      <c r="AE142">
        <v>35.527465000918887</v>
      </c>
    </row>
    <row r="143" spans="1:31" x14ac:dyDescent="0.3">
      <c r="A143" t="s">
        <v>410</v>
      </c>
      <c r="B143" t="s">
        <v>411</v>
      </c>
      <c r="C143">
        <v>4</v>
      </c>
      <c r="D143" s="1">
        <v>45065</v>
      </c>
      <c r="E143">
        <v>283</v>
      </c>
      <c r="F143">
        <v>7</v>
      </c>
      <c r="G143">
        <v>6</v>
      </c>
      <c r="H143">
        <v>9</v>
      </c>
      <c r="I143">
        <v>26</v>
      </c>
      <c r="J143">
        <v>1</v>
      </c>
      <c r="K143">
        <v>66</v>
      </c>
      <c r="L143">
        <v>81102253</v>
      </c>
      <c r="M143">
        <v>124</v>
      </c>
      <c r="N143" t="s">
        <v>302</v>
      </c>
      <c r="O143" t="s">
        <v>45</v>
      </c>
      <c r="P143">
        <v>84</v>
      </c>
      <c r="Q143">
        <v>65</v>
      </c>
      <c r="R143" t="str" cm="1">
        <f t="array" ref="R143">_xlfn.IFS(Q143&gt;70,"Good",Q143&lt;40,"Bad",(Q143&gt;OS181*(Q143&lt;80)),"Ok")</f>
        <v>Ok</v>
      </c>
      <c r="S143">
        <v>50</v>
      </c>
      <c r="T143" t="str" cm="1">
        <f t="array" ref="T143">_xlfn.IFS(S143&gt;50, "High", S143&lt;=50, "Low")</f>
        <v>Low</v>
      </c>
      <c r="U143">
        <v>67</v>
      </c>
      <c r="V143">
        <v>0</v>
      </c>
      <c r="W143">
        <v>13</v>
      </c>
      <c r="X143">
        <v>6</v>
      </c>
      <c r="Y143">
        <f t="shared" ca="1" si="2"/>
        <v>56.465395276144349</v>
      </c>
      <c r="AA143" s="8" t="s">
        <v>407</v>
      </c>
      <c r="AB143">
        <v>32</v>
      </c>
      <c r="AC143">
        <v>56</v>
      </c>
      <c r="AD143">
        <v>45</v>
      </c>
      <c r="AE143">
        <v>35.166582525570803</v>
      </c>
    </row>
    <row r="144" spans="1:31" x14ac:dyDescent="0.3">
      <c r="A144" t="s">
        <v>413</v>
      </c>
      <c r="B144" t="s">
        <v>414</v>
      </c>
      <c r="C144">
        <v>2</v>
      </c>
      <c r="D144" s="1">
        <v>45078</v>
      </c>
      <c r="E144">
        <v>293</v>
      </c>
      <c r="F144">
        <v>8</v>
      </c>
      <c r="G144">
        <v>5</v>
      </c>
      <c r="H144">
        <v>2</v>
      </c>
      <c r="I144">
        <v>30</v>
      </c>
      <c r="J144">
        <v>2</v>
      </c>
      <c r="K144">
        <v>66</v>
      </c>
      <c r="L144">
        <v>11956641</v>
      </c>
      <c r="M144">
        <v>133</v>
      </c>
      <c r="N144" t="s">
        <v>27</v>
      </c>
      <c r="O144" t="s">
        <v>45</v>
      </c>
      <c r="P144">
        <v>93</v>
      </c>
      <c r="Q144">
        <v>68</v>
      </c>
      <c r="R144" t="str" cm="1">
        <f t="array" ref="R144">_xlfn.IFS(Q144&gt;70,"Good",Q144&lt;40,"Bad",(Q144&gt;OS182*(Q144&lt;80)),"Ok")</f>
        <v>Ok</v>
      </c>
      <c r="S144">
        <v>65</v>
      </c>
      <c r="T144" t="str" cm="1">
        <f t="array" ref="T144">_xlfn.IFS(S144&gt;50, "High", S144&lt;=50, "Low")</f>
        <v>High</v>
      </c>
      <c r="U144">
        <v>42</v>
      </c>
      <c r="V144">
        <v>0</v>
      </c>
      <c r="W144">
        <v>12</v>
      </c>
      <c r="X144">
        <v>25</v>
      </c>
      <c r="Y144">
        <f t="shared" ca="1" si="2"/>
        <v>98.627244472587236</v>
      </c>
      <c r="AA144" s="8" t="s">
        <v>888</v>
      </c>
      <c r="AB144">
        <v>6</v>
      </c>
      <c r="AC144">
        <v>63</v>
      </c>
      <c r="AD144">
        <v>72</v>
      </c>
      <c r="AE144">
        <v>35.026007604676124</v>
      </c>
    </row>
    <row r="145" spans="1:31" x14ac:dyDescent="0.3">
      <c r="A145" t="s">
        <v>415</v>
      </c>
      <c r="B145" t="s">
        <v>321</v>
      </c>
      <c r="C145">
        <v>1</v>
      </c>
      <c r="D145" s="1">
        <v>37257</v>
      </c>
      <c r="E145">
        <v>21081</v>
      </c>
      <c r="F145">
        <v>43</v>
      </c>
      <c r="G145">
        <v>98</v>
      </c>
      <c r="H145">
        <v>76</v>
      </c>
      <c r="I145" s="2">
        <v>3889</v>
      </c>
      <c r="J145">
        <v>5</v>
      </c>
      <c r="K145">
        <v>0</v>
      </c>
      <c r="L145">
        <v>1687664027</v>
      </c>
      <c r="M145">
        <v>112</v>
      </c>
      <c r="N145" t="s">
        <v>94</v>
      </c>
      <c r="O145" t="s">
        <v>28</v>
      </c>
      <c r="P145">
        <v>92</v>
      </c>
      <c r="Q145">
        <v>67</v>
      </c>
      <c r="R145" t="str" cm="1">
        <f t="array" ref="R145">_xlfn.IFS(Q145&gt;70,"Good",Q145&lt;40,"Bad",(Q145&gt;OS183*(Q145&lt;80)),"Ok")</f>
        <v>Ok</v>
      </c>
      <c r="S145">
        <v>66</v>
      </c>
      <c r="T145" t="str" cm="1">
        <f t="array" ref="T145">_xlfn.IFS(S145&gt;50, "High", S145&lt;=50, "Low")</f>
        <v>High</v>
      </c>
      <c r="U145">
        <v>0</v>
      </c>
      <c r="V145">
        <v>0</v>
      </c>
      <c r="W145">
        <v>36</v>
      </c>
      <c r="X145">
        <v>9</v>
      </c>
      <c r="Y145">
        <f t="shared" ca="1" si="2"/>
        <v>60.831450480766804</v>
      </c>
      <c r="AA145" s="8" t="s">
        <v>1016</v>
      </c>
      <c r="AB145">
        <v>26</v>
      </c>
      <c r="AC145">
        <v>70</v>
      </c>
      <c r="AD145">
        <v>1</v>
      </c>
      <c r="AE145">
        <v>33.906015472666226</v>
      </c>
    </row>
    <row r="146" spans="1:31" x14ac:dyDescent="0.3">
      <c r="A146" t="s">
        <v>299</v>
      </c>
      <c r="B146" t="s">
        <v>417</v>
      </c>
      <c r="C146">
        <v>3</v>
      </c>
      <c r="D146" s="1">
        <v>45120</v>
      </c>
      <c r="E146">
        <v>437</v>
      </c>
      <c r="F146">
        <v>31</v>
      </c>
      <c r="G146">
        <v>17</v>
      </c>
      <c r="H146">
        <v>29</v>
      </c>
      <c r="I146">
        <v>26</v>
      </c>
      <c r="J146">
        <v>3</v>
      </c>
      <c r="K146">
        <v>208</v>
      </c>
      <c r="L146">
        <v>11599388</v>
      </c>
      <c r="M146">
        <v>97</v>
      </c>
      <c r="O146" t="s">
        <v>28</v>
      </c>
      <c r="P146">
        <v>79</v>
      </c>
      <c r="Q146">
        <v>92</v>
      </c>
      <c r="R146" t="str" cm="1">
        <f t="array" ref="R146">_xlfn.IFS(Q146&gt;70,"Good",Q146&lt;40,"Bad",(Q146&gt;OS184*(Q146&lt;80)),"Ok")</f>
        <v>Good</v>
      </c>
      <c r="S146">
        <v>89</v>
      </c>
      <c r="T146" t="str" cm="1">
        <f t="array" ref="T146">_xlfn.IFS(S146&gt;50, "High", S146&lt;=50, "Low")</f>
        <v>High</v>
      </c>
      <c r="U146">
        <v>5</v>
      </c>
      <c r="V146">
        <v>0</v>
      </c>
      <c r="W146">
        <v>6</v>
      </c>
      <c r="X146">
        <v>5</v>
      </c>
      <c r="Y146">
        <f t="shared" ca="1" si="2"/>
        <v>73.258105369428066</v>
      </c>
      <c r="AA146" s="8" t="s">
        <v>1562</v>
      </c>
      <c r="AB146">
        <v>9</v>
      </c>
      <c r="AC146">
        <v>37</v>
      </c>
      <c r="AD146">
        <v>14</v>
      </c>
      <c r="AE146">
        <v>33.005549572628979</v>
      </c>
    </row>
    <row r="147" spans="1:31" x14ac:dyDescent="0.3">
      <c r="A147" t="s">
        <v>419</v>
      </c>
      <c r="B147" t="s">
        <v>420</v>
      </c>
      <c r="C147">
        <v>2</v>
      </c>
      <c r="D147" s="1">
        <v>42698</v>
      </c>
      <c r="E147">
        <v>1275</v>
      </c>
      <c r="F147">
        <v>32</v>
      </c>
      <c r="G147">
        <v>13</v>
      </c>
      <c r="H147">
        <v>8</v>
      </c>
      <c r="I147">
        <v>5</v>
      </c>
      <c r="J147">
        <v>0</v>
      </c>
      <c r="K147">
        <v>1</v>
      </c>
      <c r="L147">
        <v>611700552</v>
      </c>
      <c r="M147">
        <v>90</v>
      </c>
      <c r="N147" t="s">
        <v>34</v>
      </c>
      <c r="O147" t="s">
        <v>45</v>
      </c>
      <c r="P147">
        <v>59</v>
      </c>
      <c r="Q147">
        <v>52</v>
      </c>
      <c r="R147" t="str" cm="1">
        <f t="array" ref="R147">_xlfn.IFS(Q147&gt;70,"Good",Q147&lt;40,"Bad",(Q147&gt;OS185*(Q147&lt;80)),"Ok")</f>
        <v>Ok</v>
      </c>
      <c r="S147">
        <v>48</v>
      </c>
      <c r="T147" t="str" cm="1">
        <f t="array" ref="T147">_xlfn.IFS(S147&gt;50, "High", S147&lt;=50, "Low")</f>
        <v>Low</v>
      </c>
      <c r="U147">
        <v>38</v>
      </c>
      <c r="V147">
        <v>5</v>
      </c>
      <c r="W147">
        <v>10</v>
      </c>
      <c r="X147">
        <v>11</v>
      </c>
      <c r="Y147">
        <f t="shared" ca="1" si="2"/>
        <v>14.978696464554552</v>
      </c>
      <c r="AA147" s="8" t="s">
        <v>1577</v>
      </c>
      <c r="AB147">
        <v>11</v>
      </c>
      <c r="AC147">
        <v>70</v>
      </c>
      <c r="AD147">
        <v>14</v>
      </c>
      <c r="AE147">
        <v>32.885153179456076</v>
      </c>
    </row>
    <row r="148" spans="1:31" x14ac:dyDescent="0.3">
      <c r="A148" t="s">
        <v>422</v>
      </c>
      <c r="B148" t="s">
        <v>423</v>
      </c>
      <c r="C148">
        <v>2</v>
      </c>
      <c r="D148" s="1">
        <v>44687</v>
      </c>
      <c r="E148">
        <v>6135</v>
      </c>
      <c r="F148">
        <v>38</v>
      </c>
      <c r="G148">
        <v>71</v>
      </c>
      <c r="H148">
        <v>113</v>
      </c>
      <c r="I148">
        <v>99</v>
      </c>
      <c r="J148">
        <v>13</v>
      </c>
      <c r="K148">
        <v>28</v>
      </c>
      <c r="L148">
        <v>1133865788</v>
      </c>
      <c r="M148">
        <v>80</v>
      </c>
      <c r="N148" t="s">
        <v>302</v>
      </c>
      <c r="O148" t="s">
        <v>45</v>
      </c>
      <c r="P148">
        <v>65</v>
      </c>
      <c r="Q148">
        <v>27</v>
      </c>
      <c r="R148" t="str" cm="1">
        <f t="array" ref="R148">_xlfn.IFS(Q148&gt;70,"Good",Q148&lt;40,"Bad",(Q148&gt;OS186*(Q148&lt;80)),"Ok")</f>
        <v>Bad</v>
      </c>
      <c r="S148">
        <v>69</v>
      </c>
      <c r="T148" t="str" cm="1">
        <f t="array" ref="T148">_xlfn.IFS(S148&gt;50, "High", S148&lt;=50, "Low")</f>
        <v>High</v>
      </c>
      <c r="U148">
        <v>8</v>
      </c>
      <c r="V148">
        <v>0</v>
      </c>
      <c r="W148">
        <v>53</v>
      </c>
      <c r="X148">
        <v>4</v>
      </c>
      <c r="Y148">
        <f t="shared" ca="1" si="2"/>
        <v>36.298573913821308</v>
      </c>
      <c r="AA148" s="8" t="s">
        <v>824</v>
      </c>
      <c r="AB148">
        <v>9</v>
      </c>
      <c r="AC148">
        <v>53</v>
      </c>
      <c r="AD148">
        <v>38</v>
      </c>
      <c r="AE148">
        <v>32.194224511516147</v>
      </c>
    </row>
    <row r="149" spans="1:31" x14ac:dyDescent="0.3">
      <c r="A149" t="s">
        <v>425</v>
      </c>
      <c r="B149" t="s">
        <v>426</v>
      </c>
      <c r="C149">
        <v>1</v>
      </c>
      <c r="D149" s="1">
        <v>37987</v>
      </c>
      <c r="E149">
        <v>20015</v>
      </c>
      <c r="F149">
        <v>16</v>
      </c>
      <c r="G149">
        <v>107</v>
      </c>
      <c r="H149">
        <v>69</v>
      </c>
      <c r="I149" s="2">
        <v>5239</v>
      </c>
      <c r="J149">
        <v>0</v>
      </c>
      <c r="K149">
        <v>558</v>
      </c>
      <c r="L149">
        <v>1089402494</v>
      </c>
      <c r="M149">
        <v>172</v>
      </c>
      <c r="N149" t="s">
        <v>37</v>
      </c>
      <c r="O149" t="s">
        <v>28</v>
      </c>
      <c r="P149">
        <v>45</v>
      </c>
      <c r="Q149">
        <v>33</v>
      </c>
      <c r="R149" t="str" cm="1">
        <f t="array" ref="R149">_xlfn.IFS(Q149&gt;70,"Good",Q149&lt;40,"Bad",(Q149&gt;OS187*(Q149&lt;80)),"Ok")</f>
        <v>Bad</v>
      </c>
      <c r="S149">
        <v>59</v>
      </c>
      <c r="T149" t="str" cm="1">
        <f t="array" ref="T149">_xlfn.IFS(S149&gt;50, "High", S149&lt;=50, "Low")</f>
        <v>High</v>
      </c>
      <c r="U149">
        <v>6</v>
      </c>
      <c r="V149">
        <v>0</v>
      </c>
      <c r="W149">
        <v>8</v>
      </c>
      <c r="X149">
        <v>3</v>
      </c>
      <c r="Y149">
        <f t="shared" ca="1" si="2"/>
        <v>64.398019643208144</v>
      </c>
      <c r="AA149" s="8" t="s">
        <v>1611</v>
      </c>
      <c r="AB149">
        <v>14</v>
      </c>
      <c r="AC149">
        <v>54</v>
      </c>
      <c r="AD149">
        <v>0</v>
      </c>
      <c r="AE149">
        <v>32.179739994634829</v>
      </c>
    </row>
    <row r="150" spans="1:31" x14ac:dyDescent="0.3">
      <c r="A150" t="s">
        <v>428</v>
      </c>
      <c r="B150" t="s">
        <v>429</v>
      </c>
      <c r="C150">
        <v>1</v>
      </c>
      <c r="D150" s="1">
        <v>43595</v>
      </c>
      <c r="E150">
        <v>1507</v>
      </c>
      <c r="F150">
        <v>14</v>
      </c>
      <c r="G150">
        <v>24</v>
      </c>
      <c r="H150">
        <v>71</v>
      </c>
      <c r="I150">
        <v>44</v>
      </c>
      <c r="J150">
        <v>1</v>
      </c>
      <c r="K150">
        <v>195</v>
      </c>
      <c r="L150">
        <v>411747614</v>
      </c>
      <c r="M150">
        <v>120</v>
      </c>
      <c r="N150" t="s">
        <v>134</v>
      </c>
      <c r="O150" t="s">
        <v>28</v>
      </c>
      <c r="P150">
        <v>60</v>
      </c>
      <c r="Q150">
        <v>24</v>
      </c>
      <c r="R150" t="str" cm="1">
        <f t="array" ref="R150">_xlfn.IFS(Q150&gt;70,"Good",Q150&lt;40,"Bad",(Q150&gt;OS188*(Q150&lt;80)),"Ok")</f>
        <v>Bad</v>
      </c>
      <c r="S150">
        <v>35</v>
      </c>
      <c r="T150" t="str" cm="1">
        <f t="array" ref="T150">_xlfn.IFS(S150&gt;50, "High", S150&lt;=50, "Low")</f>
        <v>Low</v>
      </c>
      <c r="U150">
        <v>73</v>
      </c>
      <c r="V150">
        <v>0</v>
      </c>
      <c r="W150">
        <v>31</v>
      </c>
      <c r="X150">
        <v>3</v>
      </c>
      <c r="Y150">
        <f t="shared" ca="1" si="2"/>
        <v>47.907779206469684</v>
      </c>
      <c r="AA150" s="8" t="s">
        <v>746</v>
      </c>
      <c r="AB150">
        <v>14</v>
      </c>
      <c r="AC150">
        <v>36</v>
      </c>
      <c r="AD150">
        <v>9</v>
      </c>
      <c r="AE150">
        <v>31.45571826238055</v>
      </c>
    </row>
    <row r="151" spans="1:31" x14ac:dyDescent="0.3">
      <c r="A151" t="s">
        <v>214</v>
      </c>
      <c r="B151" t="s">
        <v>431</v>
      </c>
      <c r="C151">
        <v>1</v>
      </c>
      <c r="D151" s="1">
        <v>44953</v>
      </c>
      <c r="E151">
        <v>539</v>
      </c>
      <c r="F151">
        <v>21</v>
      </c>
      <c r="G151">
        <v>7</v>
      </c>
      <c r="H151">
        <v>71</v>
      </c>
      <c r="I151">
        <v>4</v>
      </c>
      <c r="J151">
        <v>2</v>
      </c>
      <c r="K151">
        <v>13</v>
      </c>
      <c r="L151">
        <v>255932395</v>
      </c>
      <c r="M151">
        <v>140</v>
      </c>
      <c r="N151" t="s">
        <v>94</v>
      </c>
      <c r="O151" t="s">
        <v>45</v>
      </c>
      <c r="P151">
        <v>74</v>
      </c>
      <c r="Q151">
        <v>96</v>
      </c>
      <c r="R151" t="str" cm="1">
        <f t="array" ref="R151">_xlfn.IFS(Q151&gt;70,"Good",Q151&lt;40,"Bad",(Q151&gt;OS189*(Q151&lt;80)),"Ok")</f>
        <v>Good</v>
      </c>
      <c r="S151">
        <v>80</v>
      </c>
      <c r="T151" t="str" cm="1">
        <f t="array" ref="T151">_xlfn.IFS(S151&gt;50, "High", S151&lt;=50, "Low")</f>
        <v>High</v>
      </c>
      <c r="U151">
        <v>18</v>
      </c>
      <c r="V151">
        <v>0</v>
      </c>
      <c r="W151">
        <v>5</v>
      </c>
      <c r="X151">
        <v>5</v>
      </c>
      <c r="Y151">
        <f t="shared" ca="1" si="2"/>
        <v>1.3982487488768514</v>
      </c>
      <c r="AA151" s="8" t="s">
        <v>879</v>
      </c>
      <c r="AB151">
        <v>7</v>
      </c>
      <c r="AC151">
        <v>40</v>
      </c>
      <c r="AD151">
        <v>21</v>
      </c>
      <c r="AE151">
        <v>30.574831151618064</v>
      </c>
    </row>
    <row r="152" spans="1:31" x14ac:dyDescent="0.3">
      <c r="A152" t="s">
        <v>433</v>
      </c>
      <c r="B152" t="s">
        <v>434</v>
      </c>
      <c r="C152">
        <v>1</v>
      </c>
      <c r="D152" s="1">
        <v>45107</v>
      </c>
      <c r="E152">
        <v>86</v>
      </c>
      <c r="F152">
        <v>8</v>
      </c>
      <c r="G152">
        <v>7</v>
      </c>
      <c r="H152">
        <v>76</v>
      </c>
      <c r="I152">
        <v>3</v>
      </c>
      <c r="J152">
        <v>1</v>
      </c>
      <c r="K152">
        <v>93</v>
      </c>
      <c r="L152">
        <v>31873544</v>
      </c>
      <c r="M152">
        <v>128</v>
      </c>
      <c r="N152" t="s">
        <v>37</v>
      </c>
      <c r="O152" t="s">
        <v>45</v>
      </c>
      <c r="P152">
        <v>81</v>
      </c>
      <c r="Q152">
        <v>90</v>
      </c>
      <c r="R152" t="str" cm="1">
        <f t="array" ref="R152">_xlfn.IFS(Q152&gt;70,"Good",Q152&lt;40,"Bad",(Q152&gt;OS190*(Q152&lt;80)),"Ok")</f>
        <v>Good</v>
      </c>
      <c r="S152">
        <v>77</v>
      </c>
      <c r="T152" t="str" cm="1">
        <f t="array" ref="T152">_xlfn.IFS(S152&gt;50, "High", S152&lt;=50, "Low")</f>
        <v>High</v>
      </c>
      <c r="U152">
        <v>1</v>
      </c>
      <c r="V152">
        <v>0</v>
      </c>
      <c r="W152">
        <v>9</v>
      </c>
      <c r="X152">
        <v>5</v>
      </c>
      <c r="Y152">
        <f t="shared" ca="1" si="2"/>
        <v>50.970768941946218</v>
      </c>
      <c r="AA152" s="8" t="s">
        <v>1034</v>
      </c>
      <c r="AB152">
        <v>10</v>
      </c>
      <c r="AC152">
        <v>75</v>
      </c>
      <c r="AD152">
        <v>12</v>
      </c>
      <c r="AE152">
        <v>29.497441247387268</v>
      </c>
    </row>
    <row r="153" spans="1:31" x14ac:dyDescent="0.3">
      <c r="A153" t="s">
        <v>435</v>
      </c>
      <c r="B153" t="s">
        <v>373</v>
      </c>
      <c r="C153">
        <v>1</v>
      </c>
      <c r="D153" s="1">
        <v>45072</v>
      </c>
      <c r="E153">
        <v>324</v>
      </c>
      <c r="F153">
        <v>14</v>
      </c>
      <c r="G153">
        <v>13</v>
      </c>
      <c r="H153">
        <v>110</v>
      </c>
      <c r="I153">
        <v>8</v>
      </c>
      <c r="J153">
        <v>2</v>
      </c>
      <c r="K153">
        <v>60</v>
      </c>
      <c r="L153">
        <v>95053634</v>
      </c>
      <c r="M153">
        <v>122</v>
      </c>
      <c r="O153" t="s">
        <v>28</v>
      </c>
      <c r="P153">
        <v>78</v>
      </c>
      <c r="Q153">
        <v>70</v>
      </c>
      <c r="R153" t="str" cm="1">
        <f t="array" ref="R153">_xlfn.IFS(Q153&gt;70,"Good",Q153&lt;40,"Bad",(Q153&gt;OS191*(Q153&lt;80)),"Ok")</f>
        <v>Ok</v>
      </c>
      <c r="S153">
        <v>81</v>
      </c>
      <c r="T153" t="str" cm="1">
        <f t="array" ref="T153">_xlfn.IFS(S153&gt;50, "High", S153&lt;=50, "Low")</f>
        <v>High</v>
      </c>
      <c r="U153">
        <v>57</v>
      </c>
      <c r="V153">
        <v>0</v>
      </c>
      <c r="W153">
        <v>10</v>
      </c>
      <c r="X153">
        <v>5</v>
      </c>
      <c r="Y153">
        <f t="shared" ca="1" si="2"/>
        <v>81.915210466504504</v>
      </c>
      <c r="AA153" s="8" t="s">
        <v>894</v>
      </c>
      <c r="AB153">
        <v>17</v>
      </c>
      <c r="AC153">
        <v>67</v>
      </c>
      <c r="AD153">
        <v>52</v>
      </c>
      <c r="AE153">
        <v>28.888304662433629</v>
      </c>
    </row>
    <row r="154" spans="1:31" x14ac:dyDescent="0.3">
      <c r="A154" t="s">
        <v>72</v>
      </c>
      <c r="B154" t="s">
        <v>437</v>
      </c>
      <c r="C154">
        <v>2</v>
      </c>
      <c r="D154" s="1">
        <v>40179</v>
      </c>
      <c r="E154">
        <v>17138</v>
      </c>
      <c r="F154">
        <v>37</v>
      </c>
      <c r="G154">
        <v>119</v>
      </c>
      <c r="H154">
        <v>81</v>
      </c>
      <c r="I154">
        <v>974</v>
      </c>
      <c r="J154">
        <v>1</v>
      </c>
      <c r="K154">
        <v>503</v>
      </c>
      <c r="L154">
        <v>1279434863</v>
      </c>
      <c r="M154">
        <v>130</v>
      </c>
      <c r="O154" t="s">
        <v>28</v>
      </c>
      <c r="P154">
        <v>47</v>
      </c>
      <c r="Q154">
        <v>86</v>
      </c>
      <c r="R154" t="str" cm="1">
        <f t="array" ref="R154">_xlfn.IFS(Q154&gt;70,"Good",Q154&lt;40,"Bad",(Q154&gt;OS192*(Q154&lt;80)),"Ok")</f>
        <v>Good</v>
      </c>
      <c r="S154">
        <v>92</v>
      </c>
      <c r="T154" t="str" cm="1">
        <f t="array" ref="T154">_xlfn.IFS(S154&gt;50, "High", S154&lt;=50, "Low")</f>
        <v>High</v>
      </c>
      <c r="U154">
        <v>8</v>
      </c>
      <c r="V154">
        <v>0</v>
      </c>
      <c r="W154">
        <v>5</v>
      </c>
      <c r="X154">
        <v>24</v>
      </c>
      <c r="Y154">
        <f t="shared" ca="1" si="2"/>
        <v>65.819890816395187</v>
      </c>
      <c r="AA154" s="8" t="s">
        <v>617</v>
      </c>
      <c r="AB154">
        <v>16</v>
      </c>
      <c r="AC154">
        <v>78</v>
      </c>
      <c r="AD154">
        <v>1</v>
      </c>
      <c r="AE154">
        <v>28.693950372303423</v>
      </c>
    </row>
    <row r="155" spans="1:31" x14ac:dyDescent="0.3">
      <c r="A155" t="s">
        <v>439</v>
      </c>
      <c r="B155" t="s">
        <v>440</v>
      </c>
      <c r="C155">
        <v>2</v>
      </c>
      <c r="D155" s="1">
        <v>44959</v>
      </c>
      <c r="E155">
        <v>894</v>
      </c>
      <c r="F155">
        <v>9</v>
      </c>
      <c r="G155">
        <v>14</v>
      </c>
      <c r="H155">
        <v>88</v>
      </c>
      <c r="I155">
        <v>66</v>
      </c>
      <c r="J155">
        <v>3</v>
      </c>
      <c r="K155">
        <v>72</v>
      </c>
      <c r="L155">
        <v>233801632</v>
      </c>
      <c r="M155">
        <v>160</v>
      </c>
      <c r="N155" t="s">
        <v>37</v>
      </c>
      <c r="O155" t="s">
        <v>28</v>
      </c>
      <c r="P155">
        <v>69</v>
      </c>
      <c r="Q155">
        <v>61</v>
      </c>
      <c r="R155" t="str" cm="1">
        <f t="array" ref="R155">_xlfn.IFS(Q155&gt;70,"Good",Q155&lt;40,"Bad",(Q155&gt;OS193*(Q155&lt;80)),"Ok")</f>
        <v>Ok</v>
      </c>
      <c r="S155">
        <v>71</v>
      </c>
      <c r="T155" t="str" cm="1">
        <f t="array" ref="T155">_xlfn.IFS(S155&gt;50, "High", S155&lt;=50, "Low")</f>
        <v>High</v>
      </c>
      <c r="U155">
        <v>33</v>
      </c>
      <c r="V155">
        <v>0</v>
      </c>
      <c r="W155">
        <v>31</v>
      </c>
      <c r="X155">
        <v>20</v>
      </c>
      <c r="Y155">
        <f t="shared" ca="1" si="2"/>
        <v>88.506417505871539</v>
      </c>
      <c r="AA155" s="8" t="s">
        <v>1491</v>
      </c>
      <c r="AB155">
        <v>41</v>
      </c>
      <c r="AC155">
        <v>51</v>
      </c>
      <c r="AD155">
        <v>5</v>
      </c>
      <c r="AE155">
        <v>27.714002729774158</v>
      </c>
    </row>
    <row r="156" spans="1:31" x14ac:dyDescent="0.3">
      <c r="A156" t="s">
        <v>421</v>
      </c>
      <c r="B156" t="s">
        <v>442</v>
      </c>
      <c r="C156">
        <v>1</v>
      </c>
      <c r="D156" s="1">
        <v>41248</v>
      </c>
      <c r="E156">
        <v>1622</v>
      </c>
      <c r="F156">
        <v>9</v>
      </c>
      <c r="G156">
        <v>0</v>
      </c>
      <c r="H156">
        <v>0</v>
      </c>
      <c r="I156">
        <v>356</v>
      </c>
      <c r="J156">
        <v>0</v>
      </c>
      <c r="K156">
        <v>0</v>
      </c>
      <c r="L156">
        <v>1481349984</v>
      </c>
      <c r="M156">
        <v>144</v>
      </c>
      <c r="N156" t="s">
        <v>34</v>
      </c>
      <c r="O156" t="s">
        <v>28</v>
      </c>
      <c r="P156">
        <v>73</v>
      </c>
      <c r="Q156">
        <v>87</v>
      </c>
      <c r="R156" t="str" cm="1">
        <f t="array" ref="R156">_xlfn.IFS(Q156&gt;70,"Good",Q156&lt;40,"Bad",(Q156&gt;OS194*(Q156&lt;80)),"Ok")</f>
        <v>Good</v>
      </c>
      <c r="S156">
        <v>70</v>
      </c>
      <c r="T156" t="str" cm="1">
        <f t="array" ref="T156">_xlfn.IFS(S156&gt;50, "High", S156&lt;=50, "Low")</f>
        <v>High</v>
      </c>
      <c r="U156">
        <v>6</v>
      </c>
      <c r="V156">
        <v>0</v>
      </c>
      <c r="W156">
        <v>28</v>
      </c>
      <c r="X156">
        <v>5</v>
      </c>
      <c r="Y156">
        <f t="shared" ca="1" si="2"/>
        <v>18.961046284066285</v>
      </c>
      <c r="AA156" s="8" t="s">
        <v>1188</v>
      </c>
      <c r="AB156">
        <v>23</v>
      </c>
      <c r="AC156">
        <v>71</v>
      </c>
      <c r="AD156">
        <v>1</v>
      </c>
      <c r="AE156">
        <v>26.01456687249728</v>
      </c>
    </row>
    <row r="157" spans="1:31" x14ac:dyDescent="0.3">
      <c r="A157" t="s">
        <v>220</v>
      </c>
      <c r="B157" t="s">
        <v>444</v>
      </c>
      <c r="C157">
        <v>3</v>
      </c>
      <c r="D157" s="1">
        <v>45020</v>
      </c>
      <c r="E157">
        <v>561</v>
      </c>
      <c r="F157">
        <v>14</v>
      </c>
      <c r="G157">
        <v>4</v>
      </c>
      <c r="H157">
        <v>14</v>
      </c>
      <c r="I157">
        <v>12</v>
      </c>
      <c r="J157">
        <v>5</v>
      </c>
      <c r="K157">
        <v>56</v>
      </c>
      <c r="L157">
        <v>142095275</v>
      </c>
      <c r="M157">
        <v>192</v>
      </c>
      <c r="N157" t="s">
        <v>27</v>
      </c>
      <c r="O157" t="s">
        <v>28</v>
      </c>
      <c r="P157">
        <v>50</v>
      </c>
      <c r="Q157">
        <v>85</v>
      </c>
      <c r="R157" t="str" cm="1">
        <f t="array" ref="R157">_xlfn.IFS(Q157&gt;70,"Good",Q157&lt;40,"Bad",(Q157&gt;OS195*(Q157&lt;80)),"Ok")</f>
        <v>Good</v>
      </c>
      <c r="S157">
        <v>52</v>
      </c>
      <c r="T157" t="str" cm="1">
        <f t="array" ref="T157">_xlfn.IFS(S157&gt;50, "High", S157&lt;=50, "Low")</f>
        <v>High</v>
      </c>
      <c r="U157">
        <v>11</v>
      </c>
      <c r="V157">
        <v>0</v>
      </c>
      <c r="W157">
        <v>28</v>
      </c>
      <c r="X157">
        <v>6</v>
      </c>
      <c r="Y157">
        <f t="shared" ca="1" si="2"/>
        <v>20.582155113831135</v>
      </c>
      <c r="AA157" s="8" t="s">
        <v>1118</v>
      </c>
      <c r="AB157">
        <v>12</v>
      </c>
      <c r="AC157">
        <v>59</v>
      </c>
      <c r="AD157">
        <v>7</v>
      </c>
      <c r="AE157">
        <v>25.297684119639662</v>
      </c>
    </row>
    <row r="158" spans="1:31" x14ac:dyDescent="0.3">
      <c r="A158" t="s">
        <v>446</v>
      </c>
      <c r="B158" t="s">
        <v>447</v>
      </c>
      <c r="C158">
        <v>2</v>
      </c>
      <c r="D158" s="1">
        <v>44729</v>
      </c>
      <c r="E158">
        <v>5871</v>
      </c>
      <c r="F158">
        <v>27</v>
      </c>
      <c r="G158">
        <v>81</v>
      </c>
      <c r="H158">
        <v>121</v>
      </c>
      <c r="I158">
        <v>58</v>
      </c>
      <c r="J158">
        <v>1</v>
      </c>
      <c r="K158">
        <v>34</v>
      </c>
      <c r="L158">
        <v>618885532</v>
      </c>
      <c r="M158">
        <v>163</v>
      </c>
      <c r="O158" t="s">
        <v>28</v>
      </c>
      <c r="P158">
        <v>54</v>
      </c>
      <c r="Q158">
        <v>40</v>
      </c>
      <c r="R158" t="str" cm="1">
        <f t="array" ref="R158">_xlfn.IFS(Q158&gt;70,"Good",Q158&lt;40,"Bad",(Q158&gt;OS196*(Q158&lt;80)),"Ok")</f>
        <v>Ok</v>
      </c>
      <c r="S158">
        <v>67</v>
      </c>
      <c r="T158" t="str" cm="1">
        <f t="array" ref="T158">_xlfn.IFS(S158&gt;50, "High", S158&lt;=50, "Low")</f>
        <v>High</v>
      </c>
      <c r="U158">
        <v>0</v>
      </c>
      <c r="V158">
        <v>0</v>
      </c>
      <c r="W158">
        <v>9</v>
      </c>
      <c r="X158">
        <v>17</v>
      </c>
      <c r="Y158">
        <f t="shared" ca="1" si="2"/>
        <v>2.0619963613908832</v>
      </c>
      <c r="AA158" s="8" t="s">
        <v>224</v>
      </c>
      <c r="AB158">
        <v>48</v>
      </c>
      <c r="AC158">
        <v>64</v>
      </c>
      <c r="AD158">
        <v>7</v>
      </c>
      <c r="AE158">
        <v>25.132724794932592</v>
      </c>
    </row>
    <row r="159" spans="1:31" x14ac:dyDescent="0.3">
      <c r="A159" t="s">
        <v>449</v>
      </c>
      <c r="B159" t="s">
        <v>168</v>
      </c>
      <c r="C159">
        <v>1</v>
      </c>
      <c r="D159" s="1">
        <v>41275</v>
      </c>
      <c r="E159">
        <v>29215</v>
      </c>
      <c r="F159">
        <v>43</v>
      </c>
      <c r="G159">
        <v>179</v>
      </c>
      <c r="H159">
        <v>97</v>
      </c>
      <c r="I159" s="2">
        <v>3394</v>
      </c>
      <c r="J159">
        <v>11</v>
      </c>
      <c r="K159">
        <v>153</v>
      </c>
      <c r="L159">
        <v>2011464183</v>
      </c>
      <c r="M159">
        <v>122</v>
      </c>
      <c r="N159" t="s">
        <v>31</v>
      </c>
      <c r="O159" t="s">
        <v>45</v>
      </c>
      <c r="P159">
        <v>66</v>
      </c>
      <c r="Q159">
        <v>48</v>
      </c>
      <c r="R159" t="str" cm="1">
        <f t="array" ref="R159">_xlfn.IFS(Q159&gt;70,"Good",Q159&lt;40,"Bad",(Q159&gt;OS197*(Q159&lt;80)),"Ok")</f>
        <v>Ok</v>
      </c>
      <c r="S159">
        <v>71</v>
      </c>
      <c r="T159" t="str" cm="1">
        <f t="array" ref="T159">_xlfn.IFS(S159&gt;50, "High", S159&lt;=50, "Low")</f>
        <v>High</v>
      </c>
      <c r="U159">
        <v>6</v>
      </c>
      <c r="V159">
        <v>0</v>
      </c>
      <c r="W159">
        <v>12</v>
      </c>
      <c r="X159">
        <v>4</v>
      </c>
      <c r="Y159">
        <f t="shared" ca="1" si="2"/>
        <v>19.825602820429623</v>
      </c>
      <c r="AA159" s="8" t="s">
        <v>780</v>
      </c>
      <c r="AB159">
        <v>11</v>
      </c>
      <c r="AC159">
        <v>70</v>
      </c>
      <c r="AD159">
        <v>12</v>
      </c>
      <c r="AE159">
        <v>25.104402914825151</v>
      </c>
    </row>
    <row r="160" spans="1:31" x14ac:dyDescent="0.3">
      <c r="A160" t="s">
        <v>450</v>
      </c>
      <c r="B160" t="s">
        <v>451</v>
      </c>
      <c r="C160">
        <v>1</v>
      </c>
      <c r="D160" s="1">
        <v>44274</v>
      </c>
      <c r="E160">
        <v>5866</v>
      </c>
      <c r="F160">
        <v>24</v>
      </c>
      <c r="G160">
        <v>107</v>
      </c>
      <c r="H160">
        <v>38</v>
      </c>
      <c r="I160">
        <v>95</v>
      </c>
      <c r="J160">
        <v>0</v>
      </c>
      <c r="L160">
        <v>1167330737</v>
      </c>
      <c r="M160">
        <v>154</v>
      </c>
      <c r="N160" t="s">
        <v>61</v>
      </c>
      <c r="O160" t="s">
        <v>28</v>
      </c>
      <c r="P160">
        <v>61</v>
      </c>
      <c r="Q160">
        <v>41</v>
      </c>
      <c r="R160" t="str" cm="1">
        <f t="array" ref="R160">_xlfn.IFS(Q160&gt;70,"Good",Q160&lt;40,"Bad",(Q160&gt;OS198*(Q160&lt;80)),"Ok")</f>
        <v>Ok</v>
      </c>
      <c r="S160">
        <v>74</v>
      </c>
      <c r="T160" t="str" cm="1">
        <f t="array" ref="T160">_xlfn.IFS(S160&gt;50, "High", S160&lt;=50, "Low")</f>
        <v>High</v>
      </c>
      <c r="U160">
        <v>21</v>
      </c>
      <c r="V160">
        <v>0</v>
      </c>
      <c r="W160">
        <v>40</v>
      </c>
      <c r="X160">
        <v>6</v>
      </c>
      <c r="Y160">
        <f t="shared" ca="1" si="2"/>
        <v>63.225182403304444</v>
      </c>
      <c r="AA160" s="8" t="s">
        <v>899</v>
      </c>
      <c r="AB160">
        <v>9</v>
      </c>
      <c r="AC160">
        <v>58</v>
      </c>
      <c r="AD160">
        <v>0</v>
      </c>
      <c r="AE160">
        <v>24.191735987786643</v>
      </c>
    </row>
    <row r="161" spans="1:31" x14ac:dyDescent="0.3">
      <c r="A161" t="s">
        <v>452</v>
      </c>
      <c r="B161" t="s">
        <v>453</v>
      </c>
      <c r="C161">
        <v>1</v>
      </c>
      <c r="D161" s="1">
        <v>43742</v>
      </c>
      <c r="E161">
        <v>3859</v>
      </c>
      <c r="F161">
        <v>26</v>
      </c>
      <c r="G161">
        <v>133</v>
      </c>
      <c r="H161">
        <v>181</v>
      </c>
      <c r="I161">
        <v>3</v>
      </c>
      <c r="J161">
        <v>0</v>
      </c>
      <c r="L161">
        <v>929964809</v>
      </c>
      <c r="M161">
        <v>117</v>
      </c>
      <c r="N161" t="s">
        <v>37</v>
      </c>
      <c r="O161" t="s">
        <v>45</v>
      </c>
      <c r="P161">
        <v>73</v>
      </c>
      <c r="Q161">
        <v>31</v>
      </c>
      <c r="R161" t="str" cm="1">
        <f t="array" ref="R161">_xlfn.IFS(Q161&gt;70,"Good",Q161&lt;40,"Bad",(Q161&gt;OS199*(Q161&lt;80)),"Ok")</f>
        <v>Bad</v>
      </c>
      <c r="S161">
        <v>69</v>
      </c>
      <c r="T161" t="str" cm="1">
        <f t="array" ref="T161">_xlfn.IFS(S161&gt;50, "High", S161&lt;=50, "Low")</f>
        <v>High</v>
      </c>
      <c r="U161">
        <v>6</v>
      </c>
      <c r="V161">
        <v>0</v>
      </c>
      <c r="W161">
        <v>11</v>
      </c>
      <c r="X161">
        <v>4</v>
      </c>
      <c r="Y161">
        <f t="shared" ca="1" si="2"/>
        <v>48.346834223347116</v>
      </c>
      <c r="AA161" s="8" t="s">
        <v>1489</v>
      </c>
      <c r="AB161">
        <v>33</v>
      </c>
      <c r="AC161">
        <v>57</v>
      </c>
      <c r="AD161">
        <v>10</v>
      </c>
      <c r="AE161">
        <v>23.778602047991772</v>
      </c>
    </row>
    <row r="162" spans="1:31" x14ac:dyDescent="0.3">
      <c r="A162" t="s">
        <v>455</v>
      </c>
      <c r="B162" t="s">
        <v>456</v>
      </c>
      <c r="C162">
        <v>2</v>
      </c>
      <c r="D162" s="1">
        <v>44949</v>
      </c>
      <c r="E162">
        <v>961</v>
      </c>
      <c r="F162">
        <v>26</v>
      </c>
      <c r="G162">
        <v>19</v>
      </c>
      <c r="H162">
        <v>143</v>
      </c>
      <c r="I162">
        <v>10</v>
      </c>
      <c r="J162">
        <v>6</v>
      </c>
      <c r="K162">
        <v>15</v>
      </c>
      <c r="L162">
        <v>436027885</v>
      </c>
      <c r="M162">
        <v>138</v>
      </c>
      <c r="N162" t="s">
        <v>94</v>
      </c>
      <c r="O162" t="s">
        <v>45</v>
      </c>
      <c r="P162">
        <v>78</v>
      </c>
      <c r="Q162">
        <v>89</v>
      </c>
      <c r="R162" t="str" cm="1">
        <f t="array" ref="R162">_xlfn.IFS(Q162&gt;70,"Good",Q162&lt;40,"Bad",(Q162&gt;OS200*(Q162&lt;80)),"Ok")</f>
        <v>Good</v>
      </c>
      <c r="S162">
        <v>83</v>
      </c>
      <c r="T162" t="str" cm="1">
        <f t="array" ref="T162">_xlfn.IFS(S162&gt;50, "High", S162&lt;=50, "Low")</f>
        <v>High</v>
      </c>
      <c r="U162">
        <v>10</v>
      </c>
      <c r="V162">
        <v>0</v>
      </c>
      <c r="W162">
        <v>12</v>
      </c>
      <c r="X162">
        <v>5</v>
      </c>
      <c r="Y162">
        <f t="shared" ca="1" si="2"/>
        <v>79.962581171511644</v>
      </c>
      <c r="AA162" s="8" t="s">
        <v>338</v>
      </c>
      <c r="AB162">
        <v>21</v>
      </c>
      <c r="AC162">
        <v>74</v>
      </c>
      <c r="AD162">
        <v>7</v>
      </c>
      <c r="AE162">
        <v>22.931477031490331</v>
      </c>
    </row>
    <row r="163" spans="1:31" x14ac:dyDescent="0.3">
      <c r="A163" t="s">
        <v>257</v>
      </c>
      <c r="B163" t="s">
        <v>458</v>
      </c>
      <c r="C163">
        <v>1</v>
      </c>
      <c r="D163" s="1">
        <v>38181</v>
      </c>
      <c r="E163">
        <v>6457</v>
      </c>
      <c r="F163">
        <v>18</v>
      </c>
      <c r="G163">
        <v>98</v>
      </c>
      <c r="H163">
        <v>95</v>
      </c>
      <c r="I163">
        <v>453</v>
      </c>
      <c r="J163">
        <v>0</v>
      </c>
      <c r="K163">
        <v>454</v>
      </c>
      <c r="L163">
        <v>657723613</v>
      </c>
      <c r="M163">
        <v>96</v>
      </c>
      <c r="O163" t="s">
        <v>28</v>
      </c>
      <c r="P163">
        <v>86</v>
      </c>
      <c r="Q163">
        <v>74</v>
      </c>
      <c r="R163" t="str" cm="1">
        <f t="array" ref="R163">_xlfn.IFS(Q163&gt;70,"Good",Q163&lt;40,"Bad",(Q163&gt;OS201*(Q163&lt;80)),"Ok")</f>
        <v>Good</v>
      </c>
      <c r="S163">
        <v>80</v>
      </c>
      <c r="T163" t="str" cm="1">
        <f t="array" ref="T163">_xlfn.IFS(S163&gt;50, "High", S163&lt;=50, "Low")</f>
        <v>High</v>
      </c>
      <c r="U163">
        <v>33</v>
      </c>
      <c r="V163">
        <v>0</v>
      </c>
      <c r="W163">
        <v>8</v>
      </c>
      <c r="X163">
        <v>6</v>
      </c>
      <c r="Y163">
        <f t="shared" ca="1" si="2"/>
        <v>71.684373393693505</v>
      </c>
      <c r="AA163" s="8" t="s">
        <v>1432</v>
      </c>
      <c r="AB163">
        <v>10</v>
      </c>
      <c r="AC163">
        <v>61</v>
      </c>
      <c r="AD163">
        <v>25</v>
      </c>
      <c r="AE163">
        <v>21.759712812094069</v>
      </c>
    </row>
    <row r="164" spans="1:31" x14ac:dyDescent="0.3">
      <c r="A164" t="s">
        <v>460</v>
      </c>
      <c r="B164" t="s">
        <v>461</v>
      </c>
      <c r="C164">
        <v>3</v>
      </c>
      <c r="D164" s="1">
        <v>42464</v>
      </c>
      <c r="E164">
        <v>43257</v>
      </c>
      <c r="F164">
        <v>24</v>
      </c>
      <c r="G164">
        <v>433</v>
      </c>
      <c r="H164">
        <v>107</v>
      </c>
      <c r="I164" s="2">
        <v>3631</v>
      </c>
      <c r="J164">
        <v>0</v>
      </c>
      <c r="K164">
        <v>26</v>
      </c>
      <c r="L164">
        <v>2713922350</v>
      </c>
      <c r="M164">
        <v>104</v>
      </c>
      <c r="N164" t="s">
        <v>31</v>
      </c>
      <c r="O164" t="s">
        <v>28</v>
      </c>
      <c r="P164">
        <v>77</v>
      </c>
      <c r="Q164">
        <v>36</v>
      </c>
      <c r="R164" t="str" cm="1">
        <f t="array" ref="R164">_xlfn.IFS(Q164&gt;70,"Good",Q164&lt;40,"Bad",(Q164&gt;OS202*(Q164&lt;80)),"Ok")</f>
        <v>Bad</v>
      </c>
      <c r="S164">
        <v>63</v>
      </c>
      <c r="T164" t="str" cm="1">
        <f t="array" ref="T164">_xlfn.IFS(S164&gt;50, "High", S164&lt;=50, "Low")</f>
        <v>High</v>
      </c>
      <c r="U164">
        <v>1</v>
      </c>
      <c r="V164">
        <v>0</v>
      </c>
      <c r="W164">
        <v>36</v>
      </c>
      <c r="X164">
        <v>5</v>
      </c>
      <c r="Y164">
        <f t="shared" ca="1" si="2"/>
        <v>32.464629151380301</v>
      </c>
      <c r="AA164" s="8" t="s">
        <v>1377</v>
      </c>
      <c r="AB164">
        <v>6</v>
      </c>
      <c r="AC164">
        <v>68</v>
      </c>
      <c r="AD164">
        <v>44</v>
      </c>
      <c r="AE164">
        <v>21.237878393096533</v>
      </c>
    </row>
    <row r="165" spans="1:31" x14ac:dyDescent="0.3">
      <c r="A165" t="s">
        <v>463</v>
      </c>
      <c r="B165" t="s">
        <v>36</v>
      </c>
      <c r="C165">
        <v>1</v>
      </c>
      <c r="D165" s="1">
        <v>40179</v>
      </c>
      <c r="E165">
        <v>4564</v>
      </c>
      <c r="F165">
        <v>16</v>
      </c>
      <c r="G165">
        <v>24</v>
      </c>
      <c r="H165">
        <v>101</v>
      </c>
      <c r="I165">
        <v>113</v>
      </c>
      <c r="J165">
        <v>0</v>
      </c>
      <c r="K165">
        <v>40</v>
      </c>
      <c r="L165">
        <v>621660989</v>
      </c>
      <c r="M165">
        <v>164</v>
      </c>
      <c r="N165" t="s">
        <v>81</v>
      </c>
      <c r="O165" t="s">
        <v>28</v>
      </c>
      <c r="P165">
        <v>45</v>
      </c>
      <c r="Q165">
        <v>24</v>
      </c>
      <c r="R165" t="str" cm="1">
        <f t="array" ref="R165">_xlfn.IFS(Q165&gt;70,"Good",Q165&lt;40,"Bad",(Q165&gt;OS203*(Q165&lt;80)),"Ok")</f>
        <v>Bad</v>
      </c>
      <c r="S165">
        <v>62</v>
      </c>
      <c r="T165" t="str" cm="1">
        <f t="array" ref="T165">_xlfn.IFS(S165&gt;50, "High", S165&lt;=50, "Low")</f>
        <v>High</v>
      </c>
      <c r="U165">
        <v>8</v>
      </c>
      <c r="V165">
        <v>0</v>
      </c>
      <c r="W165">
        <v>16</v>
      </c>
      <c r="X165">
        <v>3</v>
      </c>
      <c r="Y165">
        <f t="shared" ca="1" si="2"/>
        <v>0.84688970083730553</v>
      </c>
      <c r="AA165" s="8" t="s">
        <v>1078</v>
      </c>
      <c r="AB165">
        <v>11</v>
      </c>
      <c r="AC165">
        <v>73</v>
      </c>
      <c r="AD165">
        <v>40</v>
      </c>
      <c r="AE165">
        <v>20.830792437975088</v>
      </c>
    </row>
    <row r="166" spans="1:31" x14ac:dyDescent="0.3">
      <c r="A166" t="s">
        <v>465</v>
      </c>
      <c r="B166" t="s">
        <v>171</v>
      </c>
      <c r="C166">
        <v>1</v>
      </c>
      <c r="D166" s="1">
        <v>43910</v>
      </c>
      <c r="E166">
        <v>12688</v>
      </c>
      <c r="F166">
        <v>13</v>
      </c>
      <c r="G166">
        <v>197</v>
      </c>
      <c r="H166">
        <v>115</v>
      </c>
      <c r="I166">
        <v>112</v>
      </c>
      <c r="J166">
        <v>0</v>
      </c>
      <c r="K166">
        <v>200</v>
      </c>
      <c r="L166">
        <v>1591223784</v>
      </c>
      <c r="M166">
        <v>118</v>
      </c>
      <c r="O166" t="s">
        <v>28</v>
      </c>
      <c r="P166">
        <v>68</v>
      </c>
      <c r="Q166">
        <v>61</v>
      </c>
      <c r="R166" t="str" cm="1">
        <f t="array" ref="R166">_xlfn.IFS(Q166&gt;70,"Good",Q166&lt;40,"Bad",(Q166&gt;OS204*(Q166&lt;80)),"Ok")</f>
        <v>Ok</v>
      </c>
      <c r="S166">
        <v>82</v>
      </c>
      <c r="T166" t="str" cm="1">
        <f t="array" ref="T166">_xlfn.IFS(S166&gt;50, "High", S166&lt;=50, "Low")</f>
        <v>High</v>
      </c>
      <c r="U166">
        <v>2</v>
      </c>
      <c r="V166">
        <v>0</v>
      </c>
      <c r="W166">
        <v>50</v>
      </c>
      <c r="X166">
        <v>3</v>
      </c>
      <c r="Y166">
        <f t="shared" ca="1" si="2"/>
        <v>43.439772588300308</v>
      </c>
      <c r="AA166" s="8" t="s">
        <v>221</v>
      </c>
      <c r="AB166">
        <v>23</v>
      </c>
      <c r="AC166">
        <v>43</v>
      </c>
      <c r="AD166">
        <v>0</v>
      </c>
      <c r="AE166">
        <v>20.709339938577287</v>
      </c>
    </row>
    <row r="167" spans="1:31" x14ac:dyDescent="0.3">
      <c r="A167" t="s">
        <v>467</v>
      </c>
      <c r="B167" t="s">
        <v>468</v>
      </c>
      <c r="C167">
        <v>1</v>
      </c>
      <c r="D167" s="1">
        <v>40323</v>
      </c>
      <c r="E167">
        <v>13801</v>
      </c>
      <c r="F167">
        <v>19</v>
      </c>
      <c r="G167">
        <v>137</v>
      </c>
      <c r="H167">
        <v>125</v>
      </c>
      <c r="I167">
        <v>435</v>
      </c>
      <c r="J167">
        <v>6</v>
      </c>
      <c r="K167">
        <v>285</v>
      </c>
      <c r="L167">
        <v>950906471</v>
      </c>
      <c r="M167">
        <v>81</v>
      </c>
      <c r="N167" t="s">
        <v>27</v>
      </c>
      <c r="O167" t="s">
        <v>45</v>
      </c>
      <c r="P167">
        <v>68</v>
      </c>
      <c r="Q167">
        <v>51</v>
      </c>
      <c r="R167" t="str" cm="1">
        <f t="array" ref="R167">_xlfn.IFS(Q167&gt;70,"Good",Q167&lt;40,"Bad",(Q167&gt;OS205*(Q167&lt;80)),"Ok")</f>
        <v>Ok</v>
      </c>
      <c r="S167">
        <v>60</v>
      </c>
      <c r="T167" t="str" cm="1">
        <f t="array" ref="T167">_xlfn.IFS(S167&gt;50, "High", S167&lt;=50, "Low")</f>
        <v>High</v>
      </c>
      <c r="U167">
        <v>3</v>
      </c>
      <c r="V167">
        <v>0</v>
      </c>
      <c r="W167">
        <v>19</v>
      </c>
      <c r="X167">
        <v>10</v>
      </c>
      <c r="Y167">
        <f t="shared" ca="1" si="2"/>
        <v>16.04297449253934</v>
      </c>
      <c r="AA167" s="8" t="s">
        <v>1466</v>
      </c>
      <c r="AB167">
        <v>11</v>
      </c>
      <c r="AC167">
        <v>72</v>
      </c>
      <c r="AD167">
        <v>26</v>
      </c>
      <c r="AE167">
        <v>19.324719486035434</v>
      </c>
    </row>
    <row r="168" spans="1:31" x14ac:dyDescent="0.3">
      <c r="A168" t="s">
        <v>470</v>
      </c>
      <c r="B168" t="s">
        <v>471</v>
      </c>
      <c r="C168">
        <v>1</v>
      </c>
      <c r="D168" s="1">
        <v>30322</v>
      </c>
      <c r="E168">
        <v>22439</v>
      </c>
      <c r="F168">
        <v>19</v>
      </c>
      <c r="G168">
        <v>211</v>
      </c>
      <c r="H168">
        <v>74</v>
      </c>
      <c r="I168">
        <v>929</v>
      </c>
      <c r="J168">
        <v>0</v>
      </c>
      <c r="K168">
        <v>129</v>
      </c>
      <c r="L168">
        <v>1593270737</v>
      </c>
      <c r="M168">
        <v>117</v>
      </c>
      <c r="N168" t="s">
        <v>31</v>
      </c>
      <c r="O168" t="s">
        <v>28</v>
      </c>
      <c r="P168">
        <v>82</v>
      </c>
      <c r="Q168">
        <v>73</v>
      </c>
      <c r="R168" t="str" cm="1">
        <f t="array" ref="R168">_xlfn.IFS(Q168&gt;70,"Good",Q168&lt;40,"Bad",(Q168&gt;OS206*(Q168&lt;80)),"Ok")</f>
        <v>Good</v>
      </c>
      <c r="S168">
        <v>45</v>
      </c>
      <c r="T168" t="str" cm="1">
        <f t="array" ref="T168">_xlfn.IFS(S168&gt;50, "High", S168&lt;=50, "Low")</f>
        <v>Low</v>
      </c>
      <c r="U168">
        <v>54</v>
      </c>
      <c r="V168">
        <v>0</v>
      </c>
      <c r="W168">
        <v>7</v>
      </c>
      <c r="X168">
        <v>3</v>
      </c>
      <c r="Y168">
        <f t="shared" ca="1" si="2"/>
        <v>64.353782309786084</v>
      </c>
      <c r="AA168" s="8" t="s">
        <v>1043</v>
      </c>
      <c r="AB168">
        <v>11</v>
      </c>
      <c r="AC168">
        <v>56</v>
      </c>
      <c r="AD168">
        <v>0</v>
      </c>
      <c r="AE168">
        <v>18.95130323565245</v>
      </c>
    </row>
    <row r="169" spans="1:31" x14ac:dyDescent="0.3">
      <c r="A169" t="s">
        <v>473</v>
      </c>
      <c r="B169" t="s">
        <v>474</v>
      </c>
      <c r="C169">
        <v>1</v>
      </c>
      <c r="D169" s="1">
        <v>42037</v>
      </c>
      <c r="E169">
        <v>18515</v>
      </c>
      <c r="F169">
        <v>35</v>
      </c>
      <c r="G169">
        <v>70</v>
      </c>
      <c r="H169">
        <v>82</v>
      </c>
      <c r="I169">
        <v>939</v>
      </c>
      <c r="J169">
        <v>1</v>
      </c>
      <c r="K169">
        <v>162</v>
      </c>
      <c r="L169">
        <v>1410088830</v>
      </c>
      <c r="M169">
        <v>174</v>
      </c>
      <c r="N169" t="s">
        <v>61</v>
      </c>
      <c r="O169" t="s">
        <v>28</v>
      </c>
      <c r="P169">
        <v>45</v>
      </c>
      <c r="Q169">
        <v>10</v>
      </c>
      <c r="R169" t="str" cm="1">
        <f t="array" ref="R169">_xlfn.IFS(Q169&gt;70,"Good",Q169&lt;40,"Bad",(Q169&gt;OS207*(Q169&lt;80)),"Ok")</f>
        <v>Bad</v>
      </c>
      <c r="S169">
        <v>37</v>
      </c>
      <c r="T169" t="str" cm="1">
        <f t="array" ref="T169">_xlfn.IFS(S169&gt;50, "High", S169&lt;=50, "Low")</f>
        <v>Low</v>
      </c>
      <c r="U169">
        <v>97</v>
      </c>
      <c r="V169">
        <v>25</v>
      </c>
      <c r="W169">
        <v>64</v>
      </c>
      <c r="X169">
        <v>4</v>
      </c>
      <c r="Y169">
        <f t="shared" ca="1" si="2"/>
        <v>60.51543484339517</v>
      </c>
      <c r="AA169" s="8" t="s">
        <v>649</v>
      </c>
      <c r="AB169">
        <v>11</v>
      </c>
      <c r="AC169">
        <v>80</v>
      </c>
      <c r="AD169">
        <v>11</v>
      </c>
      <c r="AE169">
        <v>18.577504196815752</v>
      </c>
    </row>
    <row r="170" spans="1:31" x14ac:dyDescent="0.3">
      <c r="A170" t="s">
        <v>476</v>
      </c>
      <c r="B170" t="s">
        <v>477</v>
      </c>
      <c r="C170">
        <v>2</v>
      </c>
      <c r="D170" s="1">
        <v>40544</v>
      </c>
      <c r="E170">
        <v>36843</v>
      </c>
      <c r="F170">
        <v>21</v>
      </c>
      <c r="G170">
        <v>321</v>
      </c>
      <c r="H170">
        <v>91</v>
      </c>
      <c r="I170" s="2">
        <v>4607</v>
      </c>
      <c r="J170">
        <v>1</v>
      </c>
      <c r="K170">
        <v>58</v>
      </c>
      <c r="L170">
        <v>1235005533</v>
      </c>
      <c r="M170">
        <v>128</v>
      </c>
      <c r="N170" t="s">
        <v>31</v>
      </c>
      <c r="O170" t="s">
        <v>28</v>
      </c>
      <c r="P170">
        <v>73</v>
      </c>
      <c r="Q170">
        <v>60</v>
      </c>
      <c r="R170" t="str" cm="1">
        <f t="array" ref="R170">_xlfn.IFS(Q170&gt;70,"Good",Q170&lt;40,"Bad",(Q170&gt;OS208*(Q170&lt;80)),"Ok")</f>
        <v>Ok</v>
      </c>
      <c r="S170">
        <v>77</v>
      </c>
      <c r="T170" t="str" cm="1">
        <f t="array" ref="T170">_xlfn.IFS(S170&gt;50, "High", S170&lt;=50, "Low")</f>
        <v>High</v>
      </c>
      <c r="U170">
        <v>3</v>
      </c>
      <c r="V170">
        <v>0</v>
      </c>
      <c r="W170">
        <v>11</v>
      </c>
      <c r="X170">
        <v>4</v>
      </c>
      <c r="Y170">
        <f t="shared" ca="1" si="2"/>
        <v>71.70077660924261</v>
      </c>
      <c r="AA170" s="8" t="s">
        <v>390</v>
      </c>
      <c r="AB170">
        <v>9</v>
      </c>
      <c r="AC170">
        <v>42</v>
      </c>
      <c r="AD170">
        <v>21</v>
      </c>
      <c r="AE170">
        <v>18.260109873869201</v>
      </c>
    </row>
    <row r="171" spans="1:31" x14ac:dyDescent="0.3">
      <c r="A171" t="s">
        <v>479</v>
      </c>
      <c r="B171" t="s">
        <v>442</v>
      </c>
      <c r="C171">
        <v>1</v>
      </c>
      <c r="D171" s="1">
        <v>41248</v>
      </c>
      <c r="E171">
        <v>2420</v>
      </c>
      <c r="F171">
        <v>11</v>
      </c>
      <c r="G171">
        <v>0</v>
      </c>
      <c r="H171">
        <v>0</v>
      </c>
      <c r="I171">
        <v>806</v>
      </c>
      <c r="J171">
        <v>0</v>
      </c>
      <c r="K171">
        <v>0</v>
      </c>
      <c r="L171">
        <v>1661187319</v>
      </c>
      <c r="M171">
        <v>145</v>
      </c>
      <c r="O171" t="s">
        <v>28</v>
      </c>
      <c r="P171">
        <v>60</v>
      </c>
      <c r="Q171">
        <v>43</v>
      </c>
      <c r="R171" t="str" cm="1">
        <f t="array" ref="R171">_xlfn.IFS(Q171&gt;70,"Good",Q171&lt;40,"Bad",(Q171&gt;OS209*(Q171&lt;80)),"Ok")</f>
        <v>Ok</v>
      </c>
      <c r="S171">
        <v>27</v>
      </c>
      <c r="T171" t="str" cm="1">
        <f t="array" ref="T171">_xlfn.IFS(S171&gt;50, "High", S171&lt;=50, "Low")</f>
        <v>Low</v>
      </c>
      <c r="U171">
        <v>94</v>
      </c>
      <c r="V171">
        <v>0</v>
      </c>
      <c r="W171">
        <v>14</v>
      </c>
      <c r="X171">
        <v>4</v>
      </c>
      <c r="Y171">
        <f t="shared" ca="1" si="2"/>
        <v>6.2773353574834161</v>
      </c>
      <c r="AA171" s="8" t="s">
        <v>425</v>
      </c>
      <c r="AB171">
        <v>8</v>
      </c>
      <c r="AC171">
        <v>45</v>
      </c>
      <c r="AD171">
        <v>6</v>
      </c>
      <c r="AE171">
        <v>17.370167961227835</v>
      </c>
    </row>
    <row r="172" spans="1:31" x14ac:dyDescent="0.3">
      <c r="A172" t="s">
        <v>481</v>
      </c>
      <c r="B172" t="s">
        <v>482</v>
      </c>
      <c r="C172">
        <v>1</v>
      </c>
      <c r="D172" s="1">
        <v>43245</v>
      </c>
      <c r="E172">
        <v>5897</v>
      </c>
      <c r="F172">
        <v>19</v>
      </c>
      <c r="G172">
        <v>0</v>
      </c>
      <c r="H172">
        <v>0</v>
      </c>
      <c r="I172">
        <v>885</v>
      </c>
      <c r="J172">
        <v>0</v>
      </c>
      <c r="K172">
        <v>0</v>
      </c>
      <c r="L172">
        <v>1374581173</v>
      </c>
      <c r="M172">
        <v>150</v>
      </c>
      <c r="N172" t="s">
        <v>31</v>
      </c>
      <c r="O172" t="s">
        <v>45</v>
      </c>
      <c r="P172">
        <v>65</v>
      </c>
      <c r="Q172">
        <v>51</v>
      </c>
      <c r="R172" t="str" cm="1">
        <f t="array" ref="R172">_xlfn.IFS(Q172&gt;70,"Good",Q172&lt;40,"Bad",(Q172&gt;OS210*(Q172&lt;80)),"Ok")</f>
        <v>Ok</v>
      </c>
      <c r="S172">
        <v>55</v>
      </c>
      <c r="T172" t="str" cm="1">
        <f t="array" ref="T172">_xlfn.IFS(S172&gt;50, "High", S172&lt;=50, "Low")</f>
        <v>High</v>
      </c>
      <c r="U172">
        <v>73</v>
      </c>
      <c r="V172">
        <v>0</v>
      </c>
      <c r="W172">
        <v>14</v>
      </c>
      <c r="X172">
        <v>3</v>
      </c>
      <c r="Y172">
        <f t="shared" ca="1" si="2"/>
        <v>46.93039568090542</v>
      </c>
      <c r="AA172" s="8" t="s">
        <v>460</v>
      </c>
      <c r="AB172">
        <v>36</v>
      </c>
      <c r="AC172">
        <v>77</v>
      </c>
      <c r="AD172">
        <v>1</v>
      </c>
      <c r="AE172">
        <v>17.039444825650307</v>
      </c>
    </row>
    <row r="173" spans="1:31" x14ac:dyDescent="0.3">
      <c r="A173" t="s">
        <v>484</v>
      </c>
      <c r="B173" t="s">
        <v>485</v>
      </c>
      <c r="C173">
        <v>3</v>
      </c>
      <c r="D173" s="1">
        <v>45079</v>
      </c>
      <c r="E173">
        <v>727</v>
      </c>
      <c r="F173">
        <v>16</v>
      </c>
      <c r="G173">
        <v>17</v>
      </c>
      <c r="H173">
        <v>60</v>
      </c>
      <c r="I173">
        <v>28</v>
      </c>
      <c r="J173">
        <v>1</v>
      </c>
      <c r="K173">
        <v>44</v>
      </c>
      <c r="L173">
        <v>94186466</v>
      </c>
      <c r="M173">
        <v>90</v>
      </c>
      <c r="N173" t="s">
        <v>37</v>
      </c>
      <c r="O173" t="s">
        <v>45</v>
      </c>
      <c r="P173">
        <v>60</v>
      </c>
      <c r="Q173">
        <v>13</v>
      </c>
      <c r="R173" t="str" cm="1">
        <f t="array" ref="R173">_xlfn.IFS(Q173&gt;70,"Good",Q173&lt;40,"Bad",(Q173&gt;OS211*(Q173&lt;80)),"Ok")</f>
        <v>Bad</v>
      </c>
      <c r="S173">
        <v>53</v>
      </c>
      <c r="T173" t="str" cm="1">
        <f t="array" ref="T173">_xlfn.IFS(S173&gt;50, "High", S173&lt;=50, "Low")</f>
        <v>High</v>
      </c>
      <c r="U173">
        <v>4</v>
      </c>
      <c r="V173">
        <v>0</v>
      </c>
      <c r="W173">
        <v>21</v>
      </c>
      <c r="X173">
        <v>4</v>
      </c>
      <c r="Y173">
        <f t="shared" ca="1" si="2"/>
        <v>46.697415483959716</v>
      </c>
      <c r="AA173" s="8" t="s">
        <v>32</v>
      </c>
      <c r="AB173">
        <v>31</v>
      </c>
      <c r="AC173">
        <v>51</v>
      </c>
      <c r="AD173">
        <v>17</v>
      </c>
      <c r="AE173">
        <v>15.200497663109246</v>
      </c>
    </row>
    <row r="174" spans="1:31" x14ac:dyDescent="0.3">
      <c r="A174" t="s">
        <v>487</v>
      </c>
      <c r="B174" t="s">
        <v>102</v>
      </c>
      <c r="C174">
        <v>1</v>
      </c>
      <c r="D174" s="1">
        <v>41275</v>
      </c>
      <c r="E174">
        <v>33783</v>
      </c>
      <c r="F174">
        <v>26</v>
      </c>
      <c r="G174">
        <v>133</v>
      </c>
      <c r="H174">
        <v>92</v>
      </c>
      <c r="I174" s="2">
        <v>2733</v>
      </c>
      <c r="J174">
        <v>1</v>
      </c>
      <c r="K174">
        <v>26</v>
      </c>
      <c r="L174">
        <v>1788326445</v>
      </c>
      <c r="M174">
        <v>85</v>
      </c>
      <c r="N174" t="s">
        <v>34</v>
      </c>
      <c r="O174" t="s">
        <v>28</v>
      </c>
      <c r="P174">
        <v>55</v>
      </c>
      <c r="Q174">
        <v>42</v>
      </c>
      <c r="R174" t="str" cm="1">
        <f t="array" ref="R174">_xlfn.IFS(Q174&gt;70,"Good",Q174&lt;40,"Bad",(Q174&gt;OS212*(Q174&lt;80)),"Ok")</f>
        <v>Ok</v>
      </c>
      <c r="S174">
        <v>53</v>
      </c>
      <c r="T174" t="str" cm="1">
        <f t="array" ref="T174">_xlfn.IFS(S174&gt;50, "High", S174&lt;=50, "Low")</f>
        <v>High</v>
      </c>
      <c r="U174">
        <v>17</v>
      </c>
      <c r="V174">
        <v>0</v>
      </c>
      <c r="W174">
        <v>22</v>
      </c>
      <c r="X174">
        <v>3</v>
      </c>
      <c r="Y174">
        <f t="shared" ca="1" si="2"/>
        <v>21.456377846542917</v>
      </c>
      <c r="AA174" s="8" t="s">
        <v>583</v>
      </c>
      <c r="AB174">
        <v>9</v>
      </c>
      <c r="AC174">
        <v>54</v>
      </c>
      <c r="AD174">
        <v>14</v>
      </c>
      <c r="AE174">
        <v>14.755224340740403</v>
      </c>
    </row>
    <row r="175" spans="1:31" x14ac:dyDescent="0.3">
      <c r="A175" t="s">
        <v>489</v>
      </c>
      <c r="B175" t="s">
        <v>333</v>
      </c>
      <c r="C175">
        <v>1</v>
      </c>
      <c r="D175" s="1">
        <v>40909</v>
      </c>
      <c r="E175">
        <v>26694</v>
      </c>
      <c r="F175">
        <v>13</v>
      </c>
      <c r="G175">
        <v>65</v>
      </c>
      <c r="H175">
        <v>82</v>
      </c>
      <c r="I175" s="2">
        <v>3425</v>
      </c>
      <c r="J175">
        <v>4</v>
      </c>
      <c r="K175">
        <v>13</v>
      </c>
      <c r="L175">
        <v>1840364617</v>
      </c>
      <c r="M175">
        <v>180</v>
      </c>
      <c r="N175" t="s">
        <v>302</v>
      </c>
      <c r="O175" t="s">
        <v>28</v>
      </c>
      <c r="P175">
        <v>33</v>
      </c>
      <c r="Q175">
        <v>38</v>
      </c>
      <c r="R175" t="str" cm="1">
        <f t="array" ref="R175">_xlfn.IFS(Q175&gt;70,"Good",Q175&lt;40,"Bad",(Q175&gt;OS213*(Q175&lt;80)),"Ok")</f>
        <v>Bad</v>
      </c>
      <c r="S175">
        <v>71</v>
      </c>
      <c r="T175" t="str" cm="1">
        <f t="array" ref="T175">_xlfn.IFS(S175&gt;50, "High", S175&lt;=50, "Low")</f>
        <v>High</v>
      </c>
      <c r="U175">
        <v>20</v>
      </c>
      <c r="V175">
        <v>0</v>
      </c>
      <c r="W175">
        <v>28</v>
      </c>
      <c r="X175">
        <v>5</v>
      </c>
      <c r="Y175">
        <f t="shared" ca="1" si="2"/>
        <v>42.991179801434122</v>
      </c>
      <c r="AA175" s="8" t="s">
        <v>157</v>
      </c>
      <c r="AB175">
        <v>35</v>
      </c>
      <c r="AC175">
        <v>56</v>
      </c>
      <c r="AD175">
        <v>4</v>
      </c>
      <c r="AE175">
        <v>13.792195057866518</v>
      </c>
    </row>
    <row r="176" spans="1:31" x14ac:dyDescent="0.3">
      <c r="A176" t="s">
        <v>412</v>
      </c>
      <c r="B176" t="s">
        <v>491</v>
      </c>
      <c r="C176">
        <v>1</v>
      </c>
      <c r="D176" s="1">
        <v>45028</v>
      </c>
      <c r="E176">
        <v>356</v>
      </c>
      <c r="F176">
        <v>16</v>
      </c>
      <c r="G176">
        <v>35</v>
      </c>
      <c r="H176">
        <v>102</v>
      </c>
      <c r="I176">
        <v>8</v>
      </c>
      <c r="J176">
        <v>1</v>
      </c>
      <c r="K176">
        <v>117</v>
      </c>
      <c r="L176">
        <v>143573775</v>
      </c>
      <c r="M176">
        <v>166</v>
      </c>
      <c r="N176" t="s">
        <v>31</v>
      </c>
      <c r="O176" t="s">
        <v>28</v>
      </c>
      <c r="P176">
        <v>57</v>
      </c>
      <c r="Q176">
        <v>84</v>
      </c>
      <c r="R176" t="str" cm="1">
        <f t="array" ref="R176">_xlfn.IFS(Q176&gt;70,"Good",Q176&lt;40,"Bad",(Q176&gt;OS214*(Q176&lt;80)),"Ok")</f>
        <v>Good</v>
      </c>
      <c r="S176">
        <v>94</v>
      </c>
      <c r="T176" t="str" cm="1">
        <f t="array" ref="T176">_xlfn.IFS(S176&gt;50, "High", S176&lt;=50, "Low")</f>
        <v>High</v>
      </c>
      <c r="U176">
        <v>11</v>
      </c>
      <c r="V176">
        <v>0</v>
      </c>
      <c r="W176">
        <v>37</v>
      </c>
      <c r="X176">
        <v>9</v>
      </c>
      <c r="Y176">
        <f t="shared" ca="1" si="2"/>
        <v>14.636423276126109</v>
      </c>
      <c r="AA176" s="8" t="s">
        <v>1410</v>
      </c>
      <c r="AB176">
        <v>11</v>
      </c>
      <c r="AC176">
        <v>80</v>
      </c>
      <c r="AD176">
        <v>23</v>
      </c>
      <c r="AE176">
        <v>13.581820726996519</v>
      </c>
    </row>
    <row r="177" spans="1:31" x14ac:dyDescent="0.3">
      <c r="A177" t="s">
        <v>493</v>
      </c>
      <c r="B177" t="s">
        <v>171</v>
      </c>
      <c r="C177">
        <v>1</v>
      </c>
      <c r="D177" s="1">
        <v>42699</v>
      </c>
      <c r="E177">
        <v>6518</v>
      </c>
      <c r="F177">
        <v>17</v>
      </c>
      <c r="G177">
        <v>45</v>
      </c>
      <c r="H177">
        <v>85</v>
      </c>
      <c r="I177">
        <v>238</v>
      </c>
      <c r="J177">
        <v>1</v>
      </c>
      <c r="K177">
        <v>47</v>
      </c>
      <c r="L177">
        <v>684675814</v>
      </c>
      <c r="M177">
        <v>160</v>
      </c>
      <c r="N177" t="s">
        <v>81</v>
      </c>
      <c r="O177" t="s">
        <v>28</v>
      </c>
      <c r="P177">
        <v>71</v>
      </c>
      <c r="Q177">
        <v>40</v>
      </c>
      <c r="R177" t="str" cm="1">
        <f t="array" ref="R177">_xlfn.IFS(Q177&gt;70,"Good",Q177&lt;40,"Bad",(Q177&gt;OS215*(Q177&lt;80)),"Ok")</f>
        <v>Ok</v>
      </c>
      <c r="S177">
        <v>50</v>
      </c>
      <c r="T177" t="str" cm="1">
        <f t="array" ref="T177">_xlfn.IFS(S177&gt;50, "High", S177&lt;=50, "Low")</f>
        <v>Low</v>
      </c>
      <c r="U177">
        <v>16</v>
      </c>
      <c r="V177">
        <v>0</v>
      </c>
      <c r="W177">
        <v>16</v>
      </c>
      <c r="X177">
        <v>22</v>
      </c>
      <c r="Y177">
        <f t="shared" ca="1" si="2"/>
        <v>97.613061034751354</v>
      </c>
      <c r="AA177" s="8" t="s">
        <v>318</v>
      </c>
      <c r="AB177">
        <v>12</v>
      </c>
      <c r="AC177">
        <v>50</v>
      </c>
      <c r="AD177">
        <v>0</v>
      </c>
      <c r="AE177">
        <v>13.308593235015387</v>
      </c>
    </row>
    <row r="178" spans="1:31" x14ac:dyDescent="0.3">
      <c r="A178" t="s">
        <v>486</v>
      </c>
      <c r="B178" t="s">
        <v>36</v>
      </c>
      <c r="C178">
        <v>1</v>
      </c>
      <c r="D178" s="1">
        <v>41640</v>
      </c>
      <c r="E178">
        <v>21335</v>
      </c>
      <c r="F178">
        <v>13</v>
      </c>
      <c r="G178">
        <v>328</v>
      </c>
      <c r="H178">
        <v>70</v>
      </c>
      <c r="I178" s="2">
        <v>1378</v>
      </c>
      <c r="J178">
        <v>9</v>
      </c>
      <c r="K178">
        <v>20</v>
      </c>
      <c r="L178">
        <v>1113838873</v>
      </c>
      <c r="M178">
        <v>160</v>
      </c>
      <c r="N178" t="s">
        <v>94</v>
      </c>
      <c r="O178" t="s">
        <v>28</v>
      </c>
      <c r="P178">
        <v>65</v>
      </c>
      <c r="Q178">
        <v>95</v>
      </c>
      <c r="R178" t="str" cm="1">
        <f t="array" ref="R178">_xlfn.IFS(Q178&gt;70,"Good",Q178&lt;40,"Bad",(Q178&gt;OS216*(Q178&lt;80)),"Ok")</f>
        <v>Good</v>
      </c>
      <c r="S178">
        <v>80</v>
      </c>
      <c r="T178" t="str" cm="1">
        <f t="array" ref="T178">_xlfn.IFS(S178&gt;50, "High", S178&lt;=50, "Low")</f>
        <v>High</v>
      </c>
      <c r="U178">
        <v>5</v>
      </c>
      <c r="V178">
        <v>0</v>
      </c>
      <c r="W178">
        <v>41</v>
      </c>
      <c r="X178">
        <v>16</v>
      </c>
      <c r="Y178">
        <f t="shared" ca="1" si="2"/>
        <v>0.81322003003455601</v>
      </c>
      <c r="AA178" s="8" t="s">
        <v>1423</v>
      </c>
      <c r="AB178">
        <v>12</v>
      </c>
      <c r="AC178">
        <v>83</v>
      </c>
      <c r="AD178">
        <v>14</v>
      </c>
      <c r="AE178">
        <v>13.308117815874642</v>
      </c>
    </row>
    <row r="179" spans="1:31" x14ac:dyDescent="0.3">
      <c r="A179" t="s">
        <v>240</v>
      </c>
      <c r="B179" t="s">
        <v>102</v>
      </c>
      <c r="C179">
        <v>1</v>
      </c>
      <c r="D179" s="1">
        <v>41275</v>
      </c>
      <c r="E179">
        <v>23389</v>
      </c>
      <c r="F179">
        <v>29</v>
      </c>
      <c r="G179">
        <v>54</v>
      </c>
      <c r="H179">
        <v>70</v>
      </c>
      <c r="I179" s="2">
        <v>1089</v>
      </c>
      <c r="J179">
        <v>2</v>
      </c>
      <c r="K179">
        <v>1</v>
      </c>
      <c r="L179">
        <v>1267333350</v>
      </c>
      <c r="M179">
        <v>92</v>
      </c>
      <c r="N179" t="s">
        <v>61</v>
      </c>
      <c r="O179" t="s">
        <v>28</v>
      </c>
      <c r="P179">
        <v>70</v>
      </c>
      <c r="Q179">
        <v>81</v>
      </c>
      <c r="R179" t="str" cm="1">
        <f t="array" ref="R179">_xlfn.IFS(Q179&gt;70,"Good",Q179&lt;40,"Bad",(Q179&gt;OS217*(Q179&lt;80)),"Ok")</f>
        <v>Good</v>
      </c>
      <c r="S179">
        <v>63</v>
      </c>
      <c r="T179" t="str" cm="1">
        <f t="array" ref="T179">_xlfn.IFS(S179&gt;50, "High", S179&lt;=50, "Low")</f>
        <v>High</v>
      </c>
      <c r="U179">
        <v>4</v>
      </c>
      <c r="V179">
        <v>0</v>
      </c>
      <c r="W179">
        <v>8</v>
      </c>
      <c r="X179">
        <v>4</v>
      </c>
      <c r="Y179">
        <f t="shared" ca="1" si="2"/>
        <v>66.713122366037553</v>
      </c>
      <c r="AA179" s="8" t="s">
        <v>484</v>
      </c>
      <c r="AB179">
        <v>21</v>
      </c>
      <c r="AC179">
        <v>60</v>
      </c>
      <c r="AD179">
        <v>4</v>
      </c>
      <c r="AE179">
        <v>13.103677927453495</v>
      </c>
    </row>
    <row r="180" spans="1:31" x14ac:dyDescent="0.3">
      <c r="A180" t="s">
        <v>497</v>
      </c>
      <c r="B180" t="s">
        <v>498</v>
      </c>
      <c r="C180">
        <v>1</v>
      </c>
      <c r="D180" s="1">
        <v>44639</v>
      </c>
      <c r="E180">
        <v>3202</v>
      </c>
      <c r="F180">
        <v>18</v>
      </c>
      <c r="G180">
        <v>148</v>
      </c>
      <c r="H180">
        <v>80</v>
      </c>
      <c r="I180">
        <v>226</v>
      </c>
      <c r="J180">
        <v>24</v>
      </c>
      <c r="K180">
        <v>0</v>
      </c>
      <c r="L180">
        <v>726307468</v>
      </c>
      <c r="M180">
        <v>170</v>
      </c>
      <c r="O180" t="s">
        <v>28</v>
      </c>
      <c r="P180">
        <v>56</v>
      </c>
      <c r="Q180">
        <v>53</v>
      </c>
      <c r="R180" t="str" cm="1">
        <f t="array" ref="R180">_xlfn.IFS(Q180&gt;70,"Good",Q180&lt;40,"Bad",(Q180&gt;OS218*(Q180&lt;80)),"Ok")</f>
        <v>Ok</v>
      </c>
      <c r="S180">
        <v>64</v>
      </c>
      <c r="T180" t="str" cm="1">
        <f t="array" ref="T180">_xlfn.IFS(S180&gt;50, "High", S180&lt;=50, "Low")</f>
        <v>High</v>
      </c>
      <c r="U180">
        <v>11</v>
      </c>
      <c r="V180">
        <v>0</v>
      </c>
      <c r="W180">
        <v>45</v>
      </c>
      <c r="X180">
        <v>6</v>
      </c>
      <c r="Y180">
        <f t="shared" ca="1" si="2"/>
        <v>38.125078640938405</v>
      </c>
      <c r="AA180" s="8" t="s">
        <v>503</v>
      </c>
      <c r="AB180">
        <v>9</v>
      </c>
      <c r="AC180">
        <v>70</v>
      </c>
      <c r="AD180">
        <v>6</v>
      </c>
      <c r="AE180">
        <v>13.020452128895821</v>
      </c>
    </row>
    <row r="181" spans="1:31" x14ac:dyDescent="0.3">
      <c r="A181" t="s">
        <v>296</v>
      </c>
      <c r="B181" t="s">
        <v>405</v>
      </c>
      <c r="C181">
        <v>1</v>
      </c>
      <c r="D181" s="1">
        <v>42741</v>
      </c>
      <c r="E181">
        <v>32181</v>
      </c>
      <c r="F181">
        <v>10</v>
      </c>
      <c r="G181">
        <v>33</v>
      </c>
      <c r="H181">
        <v>0</v>
      </c>
      <c r="I181" s="2">
        <v>6808</v>
      </c>
      <c r="J181">
        <v>7</v>
      </c>
      <c r="K181">
        <v>0</v>
      </c>
      <c r="L181">
        <v>3562543890</v>
      </c>
      <c r="M181">
        <v>96</v>
      </c>
      <c r="N181" t="s">
        <v>31</v>
      </c>
      <c r="O181" t="s">
        <v>45</v>
      </c>
      <c r="P181">
        <v>83</v>
      </c>
      <c r="Q181">
        <v>93</v>
      </c>
      <c r="R181" t="str" cm="1">
        <f t="array" ref="R181">_xlfn.IFS(Q181&gt;70,"Good",Q181&lt;40,"Bad",(Q181&gt;OS219*(Q181&lt;80)),"Ok")</f>
        <v>Good</v>
      </c>
      <c r="S181">
        <v>65</v>
      </c>
      <c r="T181" t="str" cm="1">
        <f t="array" ref="T181">_xlfn.IFS(S181&gt;50, "High", S181&lt;=50, "Low")</f>
        <v>High</v>
      </c>
      <c r="U181">
        <v>58</v>
      </c>
      <c r="V181">
        <v>0</v>
      </c>
      <c r="W181">
        <v>9</v>
      </c>
      <c r="X181">
        <v>8</v>
      </c>
      <c r="Y181">
        <f t="shared" ca="1" si="2"/>
        <v>8.4173524359392964</v>
      </c>
      <c r="AA181" s="8" t="s">
        <v>1469</v>
      </c>
      <c r="AB181">
        <v>8</v>
      </c>
      <c r="AC181">
        <v>88</v>
      </c>
      <c r="AD181">
        <v>1</v>
      </c>
      <c r="AE181">
        <v>12.760102047986265</v>
      </c>
    </row>
    <row r="182" spans="1:31" x14ac:dyDescent="0.3">
      <c r="A182" t="s">
        <v>500</v>
      </c>
      <c r="B182" t="s">
        <v>501</v>
      </c>
      <c r="C182">
        <v>1</v>
      </c>
      <c r="D182" s="1">
        <v>41960</v>
      </c>
      <c r="E182">
        <v>7124</v>
      </c>
      <c r="F182">
        <v>18</v>
      </c>
      <c r="G182">
        <v>60</v>
      </c>
      <c r="H182">
        <v>20</v>
      </c>
      <c r="I182">
        <v>2</v>
      </c>
      <c r="J182">
        <v>0</v>
      </c>
      <c r="L182">
        <v>1131090940</v>
      </c>
      <c r="M182">
        <v>120</v>
      </c>
      <c r="N182" t="s">
        <v>81</v>
      </c>
      <c r="O182" t="s">
        <v>28</v>
      </c>
      <c r="P182">
        <v>67</v>
      </c>
      <c r="Q182">
        <v>40</v>
      </c>
      <c r="R182" t="str" cm="1">
        <f t="array" ref="R182">_xlfn.IFS(Q182&gt;70,"Good",Q182&lt;40,"Bad",(Q182&gt;OS220*(Q182&lt;80)),"Ok")</f>
        <v>Ok</v>
      </c>
      <c r="S182">
        <v>52</v>
      </c>
      <c r="T182" t="str" cm="1">
        <f t="array" ref="T182">_xlfn.IFS(S182&gt;50, "High", S182&lt;=50, "Low")</f>
        <v>High</v>
      </c>
      <c r="U182">
        <v>86</v>
      </c>
      <c r="V182">
        <v>0</v>
      </c>
      <c r="W182">
        <v>12</v>
      </c>
      <c r="X182">
        <v>4</v>
      </c>
      <c r="Y182">
        <f t="shared" ca="1" si="2"/>
        <v>25.402421279237931</v>
      </c>
      <c r="AA182" s="8" t="s">
        <v>1443</v>
      </c>
      <c r="AB182">
        <v>11</v>
      </c>
      <c r="AC182">
        <v>71</v>
      </c>
      <c r="AD182">
        <v>62</v>
      </c>
      <c r="AE182">
        <v>12.445897783970061</v>
      </c>
    </row>
    <row r="183" spans="1:31" x14ac:dyDescent="0.3">
      <c r="A183" t="s">
        <v>503</v>
      </c>
      <c r="B183" t="s">
        <v>504</v>
      </c>
      <c r="C183">
        <v>2</v>
      </c>
      <c r="D183" s="1">
        <v>44939</v>
      </c>
      <c r="E183">
        <v>592</v>
      </c>
      <c r="F183">
        <v>14</v>
      </c>
      <c r="G183">
        <v>11</v>
      </c>
      <c r="H183">
        <v>84</v>
      </c>
      <c r="I183">
        <v>6</v>
      </c>
      <c r="J183">
        <v>1</v>
      </c>
      <c r="K183">
        <v>30</v>
      </c>
      <c r="L183">
        <v>307370144</v>
      </c>
      <c r="M183">
        <v>98</v>
      </c>
      <c r="O183" t="s">
        <v>28</v>
      </c>
      <c r="P183">
        <v>70</v>
      </c>
      <c r="Q183">
        <v>37</v>
      </c>
      <c r="R183" t="str" cm="1">
        <f t="array" ref="R183">_xlfn.IFS(Q183&gt;70,"Good",Q183&lt;40,"Bad",(Q183&gt;OS221*(Q183&lt;80)),"Ok")</f>
        <v>Bad</v>
      </c>
      <c r="S183">
        <v>54</v>
      </c>
      <c r="T183" t="str" cm="1">
        <f t="array" ref="T183">_xlfn.IFS(S183&gt;50, "High", S183&lt;=50, "Low")</f>
        <v>High</v>
      </c>
      <c r="U183">
        <v>6</v>
      </c>
      <c r="V183">
        <v>0</v>
      </c>
      <c r="W183">
        <v>9</v>
      </c>
      <c r="X183">
        <v>8</v>
      </c>
      <c r="Y183">
        <f t="shared" ca="1" si="2"/>
        <v>28.839337045852421</v>
      </c>
      <c r="AA183" s="8" t="s">
        <v>1373</v>
      </c>
      <c r="AB183">
        <v>13</v>
      </c>
      <c r="AC183">
        <v>45</v>
      </c>
      <c r="AD183">
        <v>21</v>
      </c>
      <c r="AE183">
        <v>11.674557185449464</v>
      </c>
    </row>
    <row r="184" spans="1:31" x14ac:dyDescent="0.3">
      <c r="A184" t="s">
        <v>505</v>
      </c>
      <c r="B184" t="s">
        <v>506</v>
      </c>
      <c r="C184">
        <v>1</v>
      </c>
      <c r="D184" s="1">
        <v>33868</v>
      </c>
      <c r="E184">
        <v>36724</v>
      </c>
      <c r="F184">
        <v>7</v>
      </c>
      <c r="G184">
        <v>146</v>
      </c>
      <c r="H184">
        <v>72</v>
      </c>
      <c r="I184" s="2">
        <v>6807</v>
      </c>
      <c r="J184">
        <v>5</v>
      </c>
      <c r="K184">
        <v>80</v>
      </c>
      <c r="L184">
        <v>1271293243</v>
      </c>
      <c r="M184">
        <v>92</v>
      </c>
      <c r="N184" t="s">
        <v>94</v>
      </c>
      <c r="O184" t="s">
        <v>28</v>
      </c>
      <c r="P184">
        <v>53</v>
      </c>
      <c r="Q184">
        <v>12</v>
      </c>
      <c r="R184" t="str" cm="1">
        <f t="array" ref="R184">_xlfn.IFS(Q184&gt;70,"Good",Q184&lt;40,"Bad",(Q184&gt;OS222*(Q184&lt;80)),"Ok")</f>
        <v>Bad</v>
      </c>
      <c r="S184">
        <v>34</v>
      </c>
      <c r="T184" t="str" cm="1">
        <f t="array" ref="T184">_xlfn.IFS(S184&gt;50, "High", S184&lt;=50, "Low")</f>
        <v>Low</v>
      </c>
      <c r="U184">
        <v>1</v>
      </c>
      <c r="V184">
        <v>0</v>
      </c>
      <c r="W184">
        <v>12</v>
      </c>
      <c r="X184">
        <v>4</v>
      </c>
      <c r="Y184">
        <f t="shared" ca="1" si="2"/>
        <v>15.265056030559343</v>
      </c>
      <c r="AA184" s="8" t="s">
        <v>938</v>
      </c>
      <c r="AB184">
        <v>77</v>
      </c>
      <c r="AC184">
        <v>33</v>
      </c>
      <c r="AD184">
        <v>32</v>
      </c>
      <c r="AE184">
        <v>10.082306631490068</v>
      </c>
    </row>
    <row r="185" spans="1:31" x14ac:dyDescent="0.3">
      <c r="A185" t="s">
        <v>508</v>
      </c>
      <c r="B185" t="s">
        <v>509</v>
      </c>
      <c r="C185">
        <v>1</v>
      </c>
      <c r="D185" s="1">
        <v>43756</v>
      </c>
      <c r="E185">
        <v>794</v>
      </c>
      <c r="F185">
        <v>10</v>
      </c>
      <c r="G185">
        <v>38</v>
      </c>
      <c r="H185">
        <v>25</v>
      </c>
      <c r="I185">
        <v>61</v>
      </c>
      <c r="J185">
        <v>0</v>
      </c>
      <c r="K185">
        <v>263</v>
      </c>
      <c r="L185">
        <v>265882712</v>
      </c>
      <c r="M185">
        <v>150</v>
      </c>
      <c r="N185" t="s">
        <v>37</v>
      </c>
      <c r="O185" t="s">
        <v>28</v>
      </c>
      <c r="P185">
        <v>34</v>
      </c>
      <c r="Q185">
        <v>24</v>
      </c>
      <c r="R185" t="str" cm="1">
        <f t="array" ref="R185">_xlfn.IFS(Q185&gt;70,"Good",Q185&lt;40,"Bad",(Q185&gt;OS223*(Q185&lt;80)),"Ok")</f>
        <v>Bad</v>
      </c>
      <c r="S185">
        <v>56</v>
      </c>
      <c r="T185" t="str" cm="1">
        <f t="array" ref="T185">_xlfn.IFS(S185&gt;50, "High", S185&lt;=50, "Low")</f>
        <v>High</v>
      </c>
      <c r="U185">
        <v>4</v>
      </c>
      <c r="V185">
        <v>0</v>
      </c>
      <c r="W185">
        <v>11</v>
      </c>
      <c r="X185">
        <v>3</v>
      </c>
      <c r="Y185">
        <f t="shared" ca="1" si="2"/>
        <v>58.07166604690709</v>
      </c>
      <c r="AA185" s="8" t="s">
        <v>1428</v>
      </c>
      <c r="AB185">
        <v>13</v>
      </c>
      <c r="AC185">
        <v>88</v>
      </c>
      <c r="AD185">
        <v>6</v>
      </c>
      <c r="AE185">
        <v>9.9850872821751313</v>
      </c>
    </row>
    <row r="186" spans="1:31" x14ac:dyDescent="0.3">
      <c r="A186" t="s">
        <v>511</v>
      </c>
      <c r="B186" t="s">
        <v>512</v>
      </c>
      <c r="C186">
        <v>1</v>
      </c>
      <c r="D186" s="1">
        <v>42815</v>
      </c>
      <c r="E186">
        <v>13091</v>
      </c>
      <c r="F186">
        <v>17</v>
      </c>
      <c r="G186">
        <v>61</v>
      </c>
      <c r="H186">
        <v>96</v>
      </c>
      <c r="I186">
        <v>790</v>
      </c>
      <c r="J186">
        <v>2</v>
      </c>
      <c r="K186">
        <v>116</v>
      </c>
      <c r="L186">
        <v>841749534</v>
      </c>
      <c r="M186">
        <v>94</v>
      </c>
      <c r="N186" t="s">
        <v>34</v>
      </c>
      <c r="O186" t="s">
        <v>28</v>
      </c>
      <c r="P186">
        <v>37</v>
      </c>
      <c r="Q186">
        <v>17</v>
      </c>
      <c r="R186" t="str" cm="1">
        <f t="array" ref="R186">_xlfn.IFS(Q186&gt;70,"Good",Q186&lt;40,"Bad",(Q186&gt;OS224*(Q186&lt;80)),"Ok")</f>
        <v>Bad</v>
      </c>
      <c r="S186">
        <v>47</v>
      </c>
      <c r="T186" t="str" cm="1">
        <f t="array" ref="T186">_xlfn.IFS(S186&gt;50, "High", S186&lt;=50, "Low")</f>
        <v>Low</v>
      </c>
      <c r="U186">
        <v>2</v>
      </c>
      <c r="V186">
        <v>46</v>
      </c>
      <c r="W186">
        <v>11</v>
      </c>
      <c r="X186">
        <v>3</v>
      </c>
      <c r="Y186">
        <f t="shared" ca="1" si="2"/>
        <v>42.22073888489173</v>
      </c>
      <c r="AA186" s="8" t="s">
        <v>1096</v>
      </c>
      <c r="AB186">
        <v>11</v>
      </c>
      <c r="AC186">
        <v>74</v>
      </c>
      <c r="AD186">
        <v>5</v>
      </c>
      <c r="AE186">
        <v>9.6868422218631789</v>
      </c>
    </row>
    <row r="187" spans="1:31" x14ac:dyDescent="0.3">
      <c r="A187" t="s">
        <v>514</v>
      </c>
      <c r="B187" t="s">
        <v>515</v>
      </c>
      <c r="C187">
        <v>1</v>
      </c>
      <c r="D187" s="1">
        <v>45065</v>
      </c>
      <c r="E187">
        <v>67</v>
      </c>
      <c r="F187">
        <v>8</v>
      </c>
      <c r="G187">
        <v>7</v>
      </c>
      <c r="H187">
        <v>10</v>
      </c>
      <c r="I187">
        <v>0</v>
      </c>
      <c r="J187">
        <v>0</v>
      </c>
      <c r="K187">
        <v>57</v>
      </c>
      <c r="L187">
        <v>47956378</v>
      </c>
      <c r="M187">
        <v>90</v>
      </c>
      <c r="N187" t="s">
        <v>134</v>
      </c>
      <c r="O187" t="s">
        <v>45</v>
      </c>
      <c r="P187">
        <v>74</v>
      </c>
      <c r="Q187">
        <v>36</v>
      </c>
      <c r="R187" t="str" cm="1">
        <f t="array" ref="R187">_xlfn.IFS(Q187&gt;70,"Good",Q187&lt;40,"Bad",(Q187&gt;OS225*(Q187&lt;80)),"Ok")</f>
        <v>Bad</v>
      </c>
      <c r="S187">
        <v>63</v>
      </c>
      <c r="T187" t="str" cm="1">
        <f t="array" ref="T187">_xlfn.IFS(S187&gt;50, "High", S187&lt;=50, "Low")</f>
        <v>High</v>
      </c>
      <c r="U187">
        <v>26</v>
      </c>
      <c r="V187">
        <v>0</v>
      </c>
      <c r="W187">
        <v>27</v>
      </c>
      <c r="X187">
        <v>5</v>
      </c>
      <c r="Y187">
        <f t="shared" ca="1" si="2"/>
        <v>36.780773053993364</v>
      </c>
      <c r="AA187" s="8" t="s">
        <v>848</v>
      </c>
      <c r="AB187">
        <v>44</v>
      </c>
      <c r="AC187">
        <v>71</v>
      </c>
      <c r="AD187">
        <v>16</v>
      </c>
      <c r="AE187">
        <v>9.4913402314333872</v>
      </c>
    </row>
    <row r="188" spans="1:31" x14ac:dyDescent="0.3">
      <c r="A188" t="s">
        <v>517</v>
      </c>
      <c r="B188" t="s">
        <v>518</v>
      </c>
      <c r="C188">
        <v>1</v>
      </c>
      <c r="D188" s="1">
        <v>42602</v>
      </c>
      <c r="E188">
        <v>21574</v>
      </c>
      <c r="F188">
        <v>30</v>
      </c>
      <c r="G188">
        <v>112</v>
      </c>
      <c r="H188">
        <v>68</v>
      </c>
      <c r="I188">
        <v>266</v>
      </c>
      <c r="J188">
        <v>1</v>
      </c>
      <c r="K188">
        <v>39</v>
      </c>
      <c r="L188">
        <v>806397070</v>
      </c>
      <c r="M188">
        <v>160</v>
      </c>
      <c r="N188" t="s">
        <v>37</v>
      </c>
      <c r="O188" t="s">
        <v>28</v>
      </c>
      <c r="P188">
        <v>54</v>
      </c>
      <c r="Q188">
        <v>54</v>
      </c>
      <c r="R188" t="str" cm="1">
        <f t="array" ref="R188">_xlfn.IFS(Q188&gt;70,"Good",Q188&lt;40,"Bad",(Q188&gt;OS226*(Q188&lt;80)),"Ok")</f>
        <v>Ok</v>
      </c>
      <c r="S188">
        <v>55</v>
      </c>
      <c r="T188" t="str" cm="1">
        <f t="array" ref="T188">_xlfn.IFS(S188&gt;50, "High", S188&lt;=50, "Low")</f>
        <v>High</v>
      </c>
      <c r="U188">
        <v>67</v>
      </c>
      <c r="V188">
        <v>0</v>
      </c>
      <c r="W188">
        <v>42</v>
      </c>
      <c r="X188">
        <v>11</v>
      </c>
      <c r="Y188">
        <f t="shared" ca="1" si="2"/>
        <v>26.749727749448915</v>
      </c>
      <c r="AA188" s="8" t="s">
        <v>1350</v>
      </c>
      <c r="AB188">
        <v>8</v>
      </c>
      <c r="AC188">
        <v>59</v>
      </c>
      <c r="AD188">
        <v>1</v>
      </c>
      <c r="AE188">
        <v>9.1621086821494053</v>
      </c>
    </row>
    <row r="189" spans="1:31" x14ac:dyDescent="0.3">
      <c r="A189" t="s">
        <v>520</v>
      </c>
      <c r="B189" t="s">
        <v>230</v>
      </c>
      <c r="C189">
        <v>1</v>
      </c>
      <c r="D189" s="1">
        <v>43707</v>
      </c>
      <c r="E189">
        <v>19664</v>
      </c>
      <c r="F189">
        <v>16</v>
      </c>
      <c r="G189">
        <v>391</v>
      </c>
      <c r="H189">
        <v>73</v>
      </c>
      <c r="I189">
        <v>633</v>
      </c>
      <c r="J189">
        <v>3</v>
      </c>
      <c r="K189">
        <v>37</v>
      </c>
      <c r="L189">
        <v>2132335812</v>
      </c>
      <c r="M189">
        <v>120</v>
      </c>
      <c r="O189" t="s">
        <v>28</v>
      </c>
      <c r="P189">
        <v>70</v>
      </c>
      <c r="Q189">
        <v>59</v>
      </c>
      <c r="R189" t="str" cm="1">
        <f t="array" ref="R189">_xlfn.IFS(Q189&gt;70,"Good",Q189&lt;40,"Bad",(Q189&gt;OS227*(Q189&lt;80)),"Ok")</f>
        <v>Ok</v>
      </c>
      <c r="S189">
        <v>75</v>
      </c>
      <c r="T189" t="str" cm="1">
        <f t="array" ref="T189">_xlfn.IFS(S189&gt;50, "High", S189&lt;=50, "Low")</f>
        <v>High</v>
      </c>
      <c r="U189">
        <v>24</v>
      </c>
      <c r="V189">
        <v>0</v>
      </c>
      <c r="W189">
        <v>9</v>
      </c>
      <c r="X189">
        <v>4</v>
      </c>
      <c r="Y189">
        <f t="shared" ca="1" si="2"/>
        <v>10.15730223039446</v>
      </c>
      <c r="AA189" s="8" t="s">
        <v>170</v>
      </c>
      <c r="AB189">
        <v>29</v>
      </c>
      <c r="AC189">
        <v>47</v>
      </c>
      <c r="AD189">
        <v>38</v>
      </c>
      <c r="AE189">
        <v>9.1095481756431553</v>
      </c>
    </row>
    <row r="190" spans="1:31" x14ac:dyDescent="0.3">
      <c r="A190" t="s">
        <v>521</v>
      </c>
      <c r="B190" t="s">
        <v>442</v>
      </c>
      <c r="C190">
        <v>1</v>
      </c>
      <c r="D190" s="1">
        <v>40179</v>
      </c>
      <c r="E190">
        <v>21106</v>
      </c>
      <c r="F190">
        <v>13</v>
      </c>
      <c r="G190">
        <v>82</v>
      </c>
      <c r="H190">
        <v>0</v>
      </c>
      <c r="I190" s="2">
        <v>2946</v>
      </c>
      <c r="J190">
        <v>0</v>
      </c>
      <c r="K190">
        <v>0</v>
      </c>
      <c r="L190">
        <v>1641426668</v>
      </c>
      <c r="M190">
        <v>109</v>
      </c>
      <c r="N190" t="s">
        <v>34</v>
      </c>
      <c r="O190" t="s">
        <v>28</v>
      </c>
      <c r="P190">
        <v>63</v>
      </c>
      <c r="Q190">
        <v>46</v>
      </c>
      <c r="R190" t="str" cm="1">
        <f t="array" ref="R190">_xlfn.IFS(Q190&gt;70,"Good",Q190&lt;40,"Bad",(Q190&gt;OS228*(Q190&lt;80)),"Ok")</f>
        <v>Ok</v>
      </c>
      <c r="S190">
        <v>85</v>
      </c>
      <c r="T190" t="str" cm="1">
        <f t="array" ref="T190">_xlfn.IFS(S190&gt;50, "High", S190&lt;=50, "Low")</f>
        <v>High</v>
      </c>
      <c r="U190">
        <v>1</v>
      </c>
      <c r="V190">
        <v>0</v>
      </c>
      <c r="W190">
        <v>9</v>
      </c>
      <c r="X190">
        <v>5</v>
      </c>
      <c r="Y190">
        <f t="shared" ca="1" si="2"/>
        <v>37.777189299926064</v>
      </c>
      <c r="AA190" s="8" t="s">
        <v>1141</v>
      </c>
      <c r="AB190">
        <v>11</v>
      </c>
      <c r="AC190">
        <v>80</v>
      </c>
      <c r="AD190">
        <v>41</v>
      </c>
      <c r="AE190">
        <v>8.9022326236920524</v>
      </c>
    </row>
    <row r="191" spans="1:31" x14ac:dyDescent="0.3">
      <c r="A191" t="s">
        <v>523</v>
      </c>
      <c r="B191" t="s">
        <v>524</v>
      </c>
      <c r="C191">
        <v>1</v>
      </c>
      <c r="D191" s="1">
        <v>41530</v>
      </c>
      <c r="E191">
        <v>23804</v>
      </c>
      <c r="F191">
        <v>31</v>
      </c>
      <c r="G191">
        <v>187</v>
      </c>
      <c r="H191">
        <v>99</v>
      </c>
      <c r="I191" s="2">
        <v>4623</v>
      </c>
      <c r="J191">
        <v>1</v>
      </c>
      <c r="K191">
        <v>0</v>
      </c>
      <c r="L191">
        <v>2135158446</v>
      </c>
      <c r="M191">
        <v>129</v>
      </c>
      <c r="N191" t="s">
        <v>134</v>
      </c>
      <c r="O191" t="s">
        <v>45</v>
      </c>
      <c r="P191">
        <v>57</v>
      </c>
      <c r="Q191">
        <v>41</v>
      </c>
      <c r="R191" t="str" cm="1">
        <f t="array" ref="R191">_xlfn.IFS(Q191&gt;70,"Good",Q191&lt;40,"Bad",(Q191&gt;OS229*(Q191&lt;80)),"Ok")</f>
        <v>Ok</v>
      </c>
      <c r="S191">
        <v>66</v>
      </c>
      <c r="T191" t="str" cm="1">
        <f t="array" ref="T191">_xlfn.IFS(S191&gt;50, "High", S191&lt;=50, "Low")</f>
        <v>High</v>
      </c>
      <c r="U191">
        <v>63</v>
      </c>
      <c r="V191">
        <v>0</v>
      </c>
      <c r="W191">
        <v>12</v>
      </c>
      <c r="X191">
        <v>5</v>
      </c>
      <c r="Y191">
        <f t="shared" ca="1" si="2"/>
        <v>28.011177613636729</v>
      </c>
      <c r="AA191" s="8" t="s">
        <v>1461</v>
      </c>
      <c r="AB191">
        <v>13</v>
      </c>
      <c r="AC191">
        <v>37</v>
      </c>
      <c r="AD191">
        <v>8</v>
      </c>
      <c r="AE191">
        <v>8.6671821508194746</v>
      </c>
    </row>
    <row r="192" spans="1:31" x14ac:dyDescent="0.3">
      <c r="A192" t="s">
        <v>430</v>
      </c>
      <c r="B192" t="s">
        <v>526</v>
      </c>
      <c r="C192">
        <v>2</v>
      </c>
      <c r="D192" s="1">
        <v>44911</v>
      </c>
      <c r="E192">
        <v>849</v>
      </c>
      <c r="F192">
        <v>22</v>
      </c>
      <c r="G192">
        <v>27</v>
      </c>
      <c r="H192">
        <v>129</v>
      </c>
      <c r="I192">
        <v>21</v>
      </c>
      <c r="J192">
        <v>7</v>
      </c>
      <c r="K192">
        <v>111</v>
      </c>
      <c r="L192">
        <v>367316268</v>
      </c>
      <c r="M192">
        <v>157</v>
      </c>
      <c r="N192" t="s">
        <v>94</v>
      </c>
      <c r="O192" t="s">
        <v>28</v>
      </c>
      <c r="P192">
        <v>54</v>
      </c>
      <c r="Q192">
        <v>75</v>
      </c>
      <c r="R192" t="str" cm="1">
        <f t="array" ref="R192">_xlfn.IFS(Q192&gt;70,"Good",Q192&lt;40,"Bad",(Q192&gt;OS230*(Q192&lt;80)),"Ok")</f>
        <v>Good</v>
      </c>
      <c r="S192">
        <v>60</v>
      </c>
      <c r="T192" t="str" cm="1">
        <f t="array" ref="T192">_xlfn.IFS(S192&gt;50, "High", S192&lt;=50, "Low")</f>
        <v>High</v>
      </c>
      <c r="U192">
        <v>30</v>
      </c>
      <c r="V192">
        <v>0</v>
      </c>
      <c r="W192">
        <v>7</v>
      </c>
      <c r="X192">
        <v>5</v>
      </c>
      <c r="Y192">
        <f t="shared" ca="1" si="2"/>
        <v>59.850573790013009</v>
      </c>
      <c r="AA192" s="8" t="s">
        <v>307</v>
      </c>
      <c r="AB192">
        <v>11</v>
      </c>
      <c r="AC192">
        <v>56</v>
      </c>
      <c r="AD192">
        <v>14</v>
      </c>
      <c r="AE192">
        <v>8.6180696482721189</v>
      </c>
    </row>
    <row r="193" spans="1:31" x14ac:dyDescent="0.3">
      <c r="A193" t="s">
        <v>528</v>
      </c>
      <c r="B193" t="s">
        <v>36</v>
      </c>
      <c r="C193">
        <v>1</v>
      </c>
      <c r="D193" s="1">
        <v>44295</v>
      </c>
      <c r="E193">
        <v>2619</v>
      </c>
      <c r="F193">
        <v>12</v>
      </c>
      <c r="G193">
        <v>47</v>
      </c>
      <c r="H193">
        <v>90</v>
      </c>
      <c r="I193">
        <v>1</v>
      </c>
      <c r="J193">
        <v>0</v>
      </c>
      <c r="K193">
        <v>7</v>
      </c>
      <c r="L193">
        <v>350381515</v>
      </c>
      <c r="M193">
        <v>130</v>
      </c>
      <c r="N193" t="s">
        <v>65</v>
      </c>
      <c r="O193" t="s">
        <v>28</v>
      </c>
      <c r="P193">
        <v>63</v>
      </c>
      <c r="Q193">
        <v>49</v>
      </c>
      <c r="R193" t="str" cm="1">
        <f t="array" ref="R193">_xlfn.IFS(Q193&gt;70,"Good",Q193&lt;40,"Bad",(Q193&gt;OS231*(Q193&lt;80)),"Ok")</f>
        <v>Ok</v>
      </c>
      <c r="S193">
        <v>73</v>
      </c>
      <c r="T193" t="str" cm="1">
        <f t="array" ref="T193">_xlfn.IFS(S193&gt;50, "High", S193&lt;=50, "Low")</f>
        <v>High</v>
      </c>
      <c r="U193">
        <v>5</v>
      </c>
      <c r="V193">
        <v>0</v>
      </c>
      <c r="W193">
        <v>9</v>
      </c>
      <c r="X193">
        <v>3</v>
      </c>
      <c r="Y193">
        <f t="shared" ca="1" si="2"/>
        <v>31.870789616561691</v>
      </c>
      <c r="AA193" s="8" t="s">
        <v>1322</v>
      </c>
      <c r="AB193">
        <v>10</v>
      </c>
      <c r="AC193">
        <v>69</v>
      </c>
      <c r="AD193">
        <v>12</v>
      </c>
      <c r="AE193">
        <v>7.5241817514540958</v>
      </c>
    </row>
    <row r="194" spans="1:31" x14ac:dyDescent="0.3">
      <c r="A194" t="s">
        <v>530</v>
      </c>
      <c r="B194" t="s">
        <v>44</v>
      </c>
      <c r="C194">
        <v>1</v>
      </c>
      <c r="D194" s="1">
        <v>44687</v>
      </c>
      <c r="E194">
        <v>9037</v>
      </c>
      <c r="F194">
        <v>42</v>
      </c>
      <c r="G194">
        <v>124</v>
      </c>
      <c r="H194">
        <v>133</v>
      </c>
      <c r="I194">
        <v>139</v>
      </c>
      <c r="J194">
        <v>14</v>
      </c>
      <c r="K194">
        <v>166</v>
      </c>
      <c r="L194">
        <v>1264310836</v>
      </c>
      <c r="M194">
        <v>107</v>
      </c>
      <c r="N194" t="s">
        <v>34</v>
      </c>
      <c r="O194" t="s">
        <v>45</v>
      </c>
      <c r="P194">
        <v>65</v>
      </c>
      <c r="Q194">
        <v>19</v>
      </c>
      <c r="R194" t="str" cm="1">
        <f t="array" ref="R194">_xlfn.IFS(Q194&gt;70,"Good",Q194&lt;40,"Bad",(Q194&gt;OS232*(Q194&lt;80)),"Ok")</f>
        <v>Bad</v>
      </c>
      <c r="S194">
        <v>72</v>
      </c>
      <c r="T194" t="str" cm="1">
        <f t="array" ref="T194">_xlfn.IFS(S194&gt;50, "High", S194&lt;=50, "Low")</f>
        <v>High</v>
      </c>
      <c r="U194">
        <v>10</v>
      </c>
      <c r="V194">
        <v>0</v>
      </c>
      <c r="W194">
        <v>13</v>
      </c>
      <c r="X194">
        <v>25</v>
      </c>
      <c r="Y194">
        <f t="shared" ref="Y194:Y257" ca="1" si="3">RAND()*100</f>
        <v>8.4997432779556075</v>
      </c>
      <c r="AA194" s="8" t="s">
        <v>637</v>
      </c>
      <c r="AB194">
        <v>23</v>
      </c>
      <c r="AC194">
        <v>83</v>
      </c>
      <c r="AD194">
        <v>4</v>
      </c>
      <c r="AE194">
        <v>7.4329345504487225</v>
      </c>
    </row>
    <row r="195" spans="1:31" x14ac:dyDescent="0.3">
      <c r="A195" t="s">
        <v>532</v>
      </c>
      <c r="B195" t="s">
        <v>36</v>
      </c>
      <c r="C195">
        <v>1</v>
      </c>
      <c r="D195" s="1">
        <v>45114</v>
      </c>
      <c r="E195">
        <v>86</v>
      </c>
      <c r="F195">
        <v>11</v>
      </c>
      <c r="G195">
        <v>3</v>
      </c>
      <c r="H195">
        <v>33</v>
      </c>
      <c r="I195">
        <v>3</v>
      </c>
      <c r="J195">
        <v>0</v>
      </c>
      <c r="K195">
        <v>1</v>
      </c>
      <c r="L195">
        <v>30343206</v>
      </c>
      <c r="M195">
        <v>146</v>
      </c>
      <c r="N195" t="s">
        <v>27</v>
      </c>
      <c r="O195" t="s">
        <v>45</v>
      </c>
      <c r="P195">
        <v>50</v>
      </c>
      <c r="Q195">
        <v>67</v>
      </c>
      <c r="R195" t="str" cm="1">
        <f t="array" ref="R195">_xlfn.IFS(Q195&gt;70,"Good",Q195&lt;40,"Bad",(Q195&gt;OS233*(Q195&lt;80)),"Ok")</f>
        <v>Ok</v>
      </c>
      <c r="S195">
        <v>89</v>
      </c>
      <c r="T195" t="str" cm="1">
        <f t="array" ref="T195">_xlfn.IFS(S195&gt;50, "High", S195&lt;=50, "Low")</f>
        <v>High</v>
      </c>
      <c r="U195">
        <v>0</v>
      </c>
      <c r="V195">
        <v>0</v>
      </c>
      <c r="W195">
        <v>19</v>
      </c>
      <c r="X195">
        <v>8</v>
      </c>
      <c r="Y195">
        <f t="shared" ca="1" si="3"/>
        <v>20.902561281854194</v>
      </c>
      <c r="AA195" s="8" t="s">
        <v>587</v>
      </c>
      <c r="AB195">
        <v>58</v>
      </c>
      <c r="AC195">
        <v>62</v>
      </c>
      <c r="AD195">
        <v>6</v>
      </c>
      <c r="AE195">
        <v>7.43121037198331</v>
      </c>
    </row>
    <row r="196" spans="1:31" x14ac:dyDescent="0.3">
      <c r="A196" t="s">
        <v>534</v>
      </c>
      <c r="B196" t="s">
        <v>535</v>
      </c>
      <c r="C196">
        <v>1</v>
      </c>
      <c r="D196" s="1">
        <v>43871</v>
      </c>
      <c r="E196">
        <v>1788</v>
      </c>
      <c r="F196">
        <v>14</v>
      </c>
      <c r="G196">
        <v>1</v>
      </c>
      <c r="H196">
        <v>50</v>
      </c>
      <c r="I196">
        <v>19</v>
      </c>
      <c r="J196">
        <v>0</v>
      </c>
      <c r="K196">
        <v>19</v>
      </c>
      <c r="L196">
        <v>405136812</v>
      </c>
      <c r="M196">
        <v>139</v>
      </c>
      <c r="N196" t="s">
        <v>37</v>
      </c>
      <c r="O196" t="s">
        <v>45</v>
      </c>
      <c r="P196">
        <v>48</v>
      </c>
      <c r="Q196">
        <v>37</v>
      </c>
      <c r="R196" t="str" cm="1">
        <f t="array" ref="R196">_xlfn.IFS(Q196&gt;70,"Good",Q196&lt;40,"Bad",(Q196&gt;OS234*(Q196&lt;80)),"Ok")</f>
        <v>Bad</v>
      </c>
      <c r="S196">
        <v>41</v>
      </c>
      <c r="T196" t="str" cm="1">
        <f t="array" ref="T196">_xlfn.IFS(S196&gt;50, "High", S196&lt;=50, "Low")</f>
        <v>Low</v>
      </c>
      <c r="U196">
        <v>32</v>
      </c>
      <c r="V196">
        <v>0</v>
      </c>
      <c r="W196">
        <v>10</v>
      </c>
      <c r="X196">
        <v>10</v>
      </c>
      <c r="Y196">
        <f t="shared" ca="1" si="3"/>
        <v>84.71789719861151</v>
      </c>
      <c r="AA196" s="8" t="s">
        <v>142</v>
      </c>
      <c r="AB196">
        <v>11</v>
      </c>
      <c r="AC196">
        <v>61</v>
      </c>
      <c r="AD196">
        <v>37</v>
      </c>
      <c r="AE196">
        <v>7.0711800560295686</v>
      </c>
    </row>
    <row r="197" spans="1:31" x14ac:dyDescent="0.3">
      <c r="A197" t="s">
        <v>191</v>
      </c>
      <c r="B197" t="s">
        <v>536</v>
      </c>
      <c r="C197">
        <v>1</v>
      </c>
      <c r="D197" s="1">
        <v>25020</v>
      </c>
      <c r="E197">
        <v>15890</v>
      </c>
      <c r="F197">
        <v>14</v>
      </c>
      <c r="G197">
        <v>71</v>
      </c>
      <c r="H197">
        <v>37</v>
      </c>
      <c r="I197">
        <v>653</v>
      </c>
      <c r="J197">
        <v>0</v>
      </c>
      <c r="K197">
        <v>167</v>
      </c>
      <c r="L197">
        <v>1145727611</v>
      </c>
      <c r="M197">
        <v>116</v>
      </c>
      <c r="O197" t="s">
        <v>28</v>
      </c>
      <c r="P197">
        <v>74</v>
      </c>
      <c r="Q197">
        <v>76</v>
      </c>
      <c r="R197" t="str" cm="1">
        <f t="array" ref="R197">_xlfn.IFS(Q197&gt;70,"Good",Q197&lt;40,"Bad",(Q197&gt;OS235*(Q197&lt;80)),"Ok")</f>
        <v>Good</v>
      </c>
      <c r="S197">
        <v>70</v>
      </c>
      <c r="T197" t="str" cm="1">
        <f t="array" ref="T197">_xlfn.IFS(S197&gt;50, "High", S197&lt;=50, "Low")</f>
        <v>High</v>
      </c>
      <c r="U197">
        <v>7</v>
      </c>
      <c r="V197">
        <v>0</v>
      </c>
      <c r="W197">
        <v>13</v>
      </c>
      <c r="X197">
        <v>3</v>
      </c>
      <c r="Y197">
        <f t="shared" ca="1" si="3"/>
        <v>13.034788567647515</v>
      </c>
      <c r="AA197" s="8" t="s">
        <v>1579</v>
      </c>
      <c r="AB197">
        <v>8</v>
      </c>
      <c r="AC197">
        <v>52</v>
      </c>
      <c r="AD197">
        <v>0</v>
      </c>
      <c r="AE197">
        <v>6.5830768507889603</v>
      </c>
    </row>
    <row r="198" spans="1:31" x14ac:dyDescent="0.3">
      <c r="A198" t="s">
        <v>537</v>
      </c>
      <c r="B198" t="s">
        <v>538</v>
      </c>
      <c r="C198">
        <v>1</v>
      </c>
      <c r="D198" s="1">
        <v>40379</v>
      </c>
      <c r="E198">
        <v>492</v>
      </c>
      <c r="F198">
        <v>36</v>
      </c>
      <c r="G198">
        <v>4</v>
      </c>
      <c r="H198">
        <v>3</v>
      </c>
      <c r="I198">
        <v>19</v>
      </c>
      <c r="J198">
        <v>0</v>
      </c>
      <c r="K198">
        <v>0</v>
      </c>
      <c r="L198">
        <v>540654286</v>
      </c>
      <c r="M198">
        <v>95</v>
      </c>
      <c r="N198" t="s">
        <v>65</v>
      </c>
      <c r="O198" t="s">
        <v>45</v>
      </c>
      <c r="P198">
        <v>84</v>
      </c>
      <c r="Q198">
        <v>52</v>
      </c>
      <c r="R198" t="str" cm="1">
        <f t="array" ref="R198">_xlfn.IFS(Q198&gt;70,"Good",Q198&lt;40,"Bad",(Q198&gt;OS236*(Q198&lt;80)),"Ok")</f>
        <v>Ok</v>
      </c>
      <c r="S198">
        <v>77</v>
      </c>
      <c r="T198" t="str" cm="1">
        <f t="array" ref="T198">_xlfn.IFS(S198&gt;50, "High", S198&lt;=50, "Low")</f>
        <v>High</v>
      </c>
      <c r="U198">
        <v>12</v>
      </c>
      <c r="V198">
        <v>0</v>
      </c>
      <c r="W198">
        <v>7</v>
      </c>
      <c r="X198">
        <v>4</v>
      </c>
      <c r="Y198">
        <f t="shared" ca="1" si="3"/>
        <v>84.243682597880792</v>
      </c>
      <c r="AA198" s="8" t="s">
        <v>705</v>
      </c>
      <c r="AB198">
        <v>39</v>
      </c>
      <c r="AC198">
        <v>62</v>
      </c>
      <c r="AD198">
        <v>0</v>
      </c>
      <c r="AE198">
        <v>6.4379780737251036</v>
      </c>
    </row>
    <row r="199" spans="1:31" x14ac:dyDescent="0.3">
      <c r="A199" t="s">
        <v>540</v>
      </c>
      <c r="B199" t="s">
        <v>541</v>
      </c>
      <c r="C199">
        <v>4</v>
      </c>
      <c r="D199" s="1">
        <v>45085</v>
      </c>
      <c r="E199">
        <v>773</v>
      </c>
      <c r="F199">
        <v>33</v>
      </c>
      <c r="G199">
        <v>20</v>
      </c>
      <c r="H199">
        <v>46</v>
      </c>
      <c r="I199">
        <v>21</v>
      </c>
      <c r="J199">
        <v>8</v>
      </c>
      <c r="K199">
        <v>99</v>
      </c>
      <c r="L199">
        <v>57312735</v>
      </c>
      <c r="M199">
        <v>170</v>
      </c>
      <c r="N199" t="s">
        <v>81</v>
      </c>
      <c r="O199" t="s">
        <v>45</v>
      </c>
      <c r="P199">
        <v>62</v>
      </c>
      <c r="Q199">
        <v>55</v>
      </c>
      <c r="R199" t="str" cm="1">
        <f t="array" ref="R199">_xlfn.IFS(Q199&gt;70,"Good",Q199&lt;40,"Bad",(Q199&gt;OS237*(Q199&lt;80)),"Ok")</f>
        <v>Ok</v>
      </c>
      <c r="S199">
        <v>80</v>
      </c>
      <c r="T199" t="str" cm="1">
        <f t="array" ref="T199">_xlfn.IFS(S199&gt;50, "High", S199&lt;=50, "Low")</f>
        <v>High</v>
      </c>
      <c r="U199">
        <v>15</v>
      </c>
      <c r="V199">
        <v>0</v>
      </c>
      <c r="W199">
        <v>37</v>
      </c>
      <c r="X199">
        <v>7</v>
      </c>
      <c r="Y199">
        <f t="shared" ca="1" si="3"/>
        <v>21.257027089946089</v>
      </c>
      <c r="AA199" s="8" t="s">
        <v>1511</v>
      </c>
      <c r="AB199">
        <v>15</v>
      </c>
      <c r="AC199">
        <v>51</v>
      </c>
      <c r="AD199">
        <v>12</v>
      </c>
      <c r="AE199">
        <v>4.4428012725891586</v>
      </c>
    </row>
    <row r="200" spans="1:31" x14ac:dyDescent="0.3">
      <c r="A200" t="s">
        <v>543</v>
      </c>
      <c r="B200" t="s">
        <v>68</v>
      </c>
      <c r="C200">
        <v>1</v>
      </c>
      <c r="D200" s="1">
        <v>44914</v>
      </c>
      <c r="E200">
        <v>1154</v>
      </c>
      <c r="F200">
        <v>22</v>
      </c>
      <c r="G200">
        <v>28</v>
      </c>
      <c r="H200">
        <v>125</v>
      </c>
      <c r="I200">
        <v>11</v>
      </c>
      <c r="J200">
        <v>1</v>
      </c>
      <c r="K200">
        <v>51</v>
      </c>
      <c r="L200">
        <v>397582059</v>
      </c>
      <c r="M200">
        <v>134</v>
      </c>
      <c r="N200" t="s">
        <v>65</v>
      </c>
      <c r="O200" t="s">
        <v>45</v>
      </c>
      <c r="P200">
        <v>81</v>
      </c>
      <c r="Q200">
        <v>18</v>
      </c>
      <c r="R200" t="str" cm="1">
        <f t="array" ref="R200">_xlfn.IFS(Q200&gt;70,"Good",Q200&lt;40,"Bad",(Q200&gt;OS238*(Q200&lt;80)),"Ok")</f>
        <v>Bad</v>
      </c>
      <c r="S200">
        <v>64</v>
      </c>
      <c r="T200" t="str" cm="1">
        <f t="array" ref="T200">_xlfn.IFS(S200&gt;50, "High", S200&lt;=50, "Low")</f>
        <v>High</v>
      </c>
      <c r="U200">
        <v>3</v>
      </c>
      <c r="V200">
        <v>0</v>
      </c>
      <c r="W200">
        <v>10</v>
      </c>
      <c r="X200">
        <v>11</v>
      </c>
      <c r="Y200">
        <f t="shared" ca="1" si="3"/>
        <v>44.105655123281764</v>
      </c>
      <c r="AA200" s="8" t="s">
        <v>682</v>
      </c>
      <c r="AB200">
        <v>15</v>
      </c>
      <c r="AC200">
        <v>69</v>
      </c>
      <c r="AD200">
        <v>1</v>
      </c>
      <c r="AE200">
        <v>4.2609988368261575</v>
      </c>
    </row>
    <row r="201" spans="1:31" x14ac:dyDescent="0.3">
      <c r="A201" t="s">
        <v>363</v>
      </c>
      <c r="B201" t="s">
        <v>545</v>
      </c>
      <c r="C201">
        <v>1</v>
      </c>
      <c r="D201" s="1">
        <v>30974</v>
      </c>
      <c r="E201">
        <v>44927</v>
      </c>
      <c r="F201">
        <v>17</v>
      </c>
      <c r="G201">
        <v>34</v>
      </c>
      <c r="H201">
        <v>0</v>
      </c>
      <c r="I201" s="2">
        <v>5108</v>
      </c>
      <c r="J201">
        <v>6</v>
      </c>
      <c r="K201">
        <v>0</v>
      </c>
      <c r="L201">
        <v>1479115056</v>
      </c>
      <c r="M201">
        <v>84</v>
      </c>
      <c r="N201" t="s">
        <v>65</v>
      </c>
      <c r="O201" t="s">
        <v>45</v>
      </c>
      <c r="P201">
        <v>57</v>
      </c>
      <c r="Q201">
        <v>86</v>
      </c>
      <c r="R201" t="str" cm="1">
        <f t="array" ref="R201">_xlfn.IFS(Q201&gt;70,"Good",Q201&lt;40,"Bad",(Q201&gt;OS239*(Q201&lt;80)),"Ok")</f>
        <v>Good</v>
      </c>
      <c r="S201">
        <v>90</v>
      </c>
      <c r="T201" t="str" cm="1">
        <f t="array" ref="T201">_xlfn.IFS(S201&gt;50, "High", S201&lt;=50, "Low")</f>
        <v>High</v>
      </c>
      <c r="U201">
        <v>2</v>
      </c>
      <c r="V201">
        <v>0</v>
      </c>
      <c r="W201">
        <v>9</v>
      </c>
      <c r="X201">
        <v>5</v>
      </c>
      <c r="Y201">
        <f t="shared" ca="1" si="3"/>
        <v>90.394407424725799</v>
      </c>
      <c r="AA201" s="8" t="s">
        <v>1027</v>
      </c>
      <c r="AB201">
        <v>4</v>
      </c>
      <c r="AC201">
        <v>65</v>
      </c>
      <c r="AD201">
        <v>2</v>
      </c>
      <c r="AE201">
        <v>2.3293742352738622</v>
      </c>
    </row>
    <row r="202" spans="1:31" x14ac:dyDescent="0.3">
      <c r="A202" t="s">
        <v>546</v>
      </c>
      <c r="B202" t="s">
        <v>547</v>
      </c>
      <c r="C202">
        <v>4</v>
      </c>
      <c r="D202" s="1">
        <v>45079</v>
      </c>
      <c r="E202">
        <v>551</v>
      </c>
      <c r="F202">
        <v>4</v>
      </c>
      <c r="G202">
        <v>13</v>
      </c>
      <c r="H202">
        <v>46</v>
      </c>
      <c r="I202">
        <v>20</v>
      </c>
      <c r="J202">
        <v>1</v>
      </c>
      <c r="K202">
        <v>10</v>
      </c>
      <c r="L202">
        <v>86773632</v>
      </c>
      <c r="M202">
        <v>146</v>
      </c>
      <c r="N202" t="s">
        <v>27</v>
      </c>
      <c r="O202" t="s">
        <v>45</v>
      </c>
      <c r="P202">
        <v>61</v>
      </c>
      <c r="Q202">
        <v>20</v>
      </c>
      <c r="R202" t="str" cm="1">
        <f t="array" ref="R202">_xlfn.IFS(Q202&gt;70,"Good",Q202&lt;40,"Bad",(Q202&gt;OS240*(Q202&lt;80)),"Ok")</f>
        <v>Bad</v>
      </c>
      <c r="S202">
        <v>48</v>
      </c>
      <c r="T202" t="str" cm="1">
        <f t="array" ref="T202">_xlfn.IFS(S202&gt;50, "High", S202&lt;=50, "Low")</f>
        <v>Low</v>
      </c>
      <c r="U202">
        <v>21</v>
      </c>
      <c r="V202">
        <v>0</v>
      </c>
      <c r="W202">
        <v>12</v>
      </c>
      <c r="X202">
        <v>6</v>
      </c>
      <c r="Y202">
        <f t="shared" ca="1" si="3"/>
        <v>34.959367979464886</v>
      </c>
      <c r="AA202" s="8" t="s">
        <v>354</v>
      </c>
      <c r="AB202">
        <v>12</v>
      </c>
      <c r="AC202">
        <v>55</v>
      </c>
      <c r="AD202">
        <v>24</v>
      </c>
      <c r="AE202">
        <v>1.496437892629221</v>
      </c>
    </row>
    <row r="203" spans="1:31" x14ac:dyDescent="0.3">
      <c r="A203" t="s">
        <v>549</v>
      </c>
      <c r="B203" t="s">
        <v>550</v>
      </c>
      <c r="C203">
        <v>5</v>
      </c>
      <c r="D203" s="1">
        <v>45047</v>
      </c>
      <c r="E203">
        <v>577</v>
      </c>
      <c r="F203">
        <v>14</v>
      </c>
      <c r="G203">
        <v>22</v>
      </c>
      <c r="H203">
        <v>18</v>
      </c>
      <c r="I203">
        <v>15</v>
      </c>
      <c r="J203">
        <v>1</v>
      </c>
      <c r="K203">
        <v>0</v>
      </c>
      <c r="L203">
        <v>133753727</v>
      </c>
      <c r="M203">
        <v>74</v>
      </c>
      <c r="N203" t="s">
        <v>181</v>
      </c>
      <c r="O203" t="s">
        <v>45</v>
      </c>
      <c r="P203">
        <v>53</v>
      </c>
      <c r="Q203">
        <v>24</v>
      </c>
      <c r="R203" t="str" cm="1">
        <f t="array" ref="R203">_xlfn.IFS(Q203&gt;70,"Good",Q203&lt;40,"Bad",(Q203&gt;OS241*(Q203&lt;80)),"Ok")</f>
        <v>Bad</v>
      </c>
      <c r="S203">
        <v>67</v>
      </c>
      <c r="T203" t="str" cm="1">
        <f t="array" ref="T203">_xlfn.IFS(S203&gt;50, "High", S203&lt;=50, "Low")</f>
        <v>High</v>
      </c>
      <c r="U203">
        <v>11</v>
      </c>
      <c r="V203">
        <v>0</v>
      </c>
      <c r="W203">
        <v>10</v>
      </c>
      <c r="X203">
        <v>28</v>
      </c>
      <c r="Y203">
        <f t="shared" ca="1" si="3"/>
        <v>10.252150321536725</v>
      </c>
      <c r="AA203" s="8" t="s">
        <v>603</v>
      </c>
      <c r="AB203">
        <v>25</v>
      </c>
      <c r="AC203">
        <v>59</v>
      </c>
      <c r="AD203">
        <v>46</v>
      </c>
      <c r="AE203">
        <v>0.72199690633539815</v>
      </c>
    </row>
    <row r="204" spans="1:31" x14ac:dyDescent="0.3">
      <c r="A204" t="s">
        <v>552</v>
      </c>
      <c r="B204" t="s">
        <v>553</v>
      </c>
      <c r="C204">
        <v>1</v>
      </c>
      <c r="D204" s="1">
        <v>45057</v>
      </c>
      <c r="E204">
        <v>955</v>
      </c>
      <c r="F204">
        <v>29</v>
      </c>
      <c r="G204">
        <v>37</v>
      </c>
      <c r="H204">
        <v>50</v>
      </c>
      <c r="I204">
        <v>79</v>
      </c>
      <c r="J204">
        <v>11</v>
      </c>
      <c r="K204">
        <v>31</v>
      </c>
      <c r="L204">
        <v>123124076</v>
      </c>
      <c r="M204">
        <v>144</v>
      </c>
      <c r="N204" t="s">
        <v>27</v>
      </c>
      <c r="O204" t="s">
        <v>28</v>
      </c>
      <c r="P204">
        <v>75</v>
      </c>
      <c r="Q204">
        <v>35</v>
      </c>
      <c r="R204" t="str" cm="1">
        <f t="array" ref="R204">_xlfn.IFS(Q204&gt;70,"Good",Q204&lt;40,"Bad",(Q204&gt;OS242*(Q204&lt;80)),"Ok")</f>
        <v>Bad</v>
      </c>
      <c r="S204">
        <v>48</v>
      </c>
      <c r="T204" t="str" cm="1">
        <f t="array" ref="T204">_xlfn.IFS(S204&gt;50, "High", S204&lt;=50, "Low")</f>
        <v>Low</v>
      </c>
      <c r="U204">
        <v>84</v>
      </c>
      <c r="V204">
        <v>0</v>
      </c>
      <c r="W204">
        <v>10</v>
      </c>
      <c r="X204">
        <v>12</v>
      </c>
      <c r="Y204">
        <f t="shared" ca="1" si="3"/>
        <v>91.756389069430014</v>
      </c>
      <c r="AA204" s="8">
        <v>505</v>
      </c>
      <c r="AB204">
        <v>7</v>
      </c>
      <c r="AC204">
        <v>52</v>
      </c>
      <c r="AD204">
        <v>0</v>
      </c>
      <c r="AE204">
        <v>0.37048753437667337</v>
      </c>
    </row>
    <row r="205" spans="1:31" x14ac:dyDescent="0.3">
      <c r="A205" t="s">
        <v>231</v>
      </c>
      <c r="B205" t="s">
        <v>555</v>
      </c>
      <c r="C205">
        <v>3</v>
      </c>
      <c r="D205" s="1">
        <v>44889</v>
      </c>
      <c r="E205">
        <v>995</v>
      </c>
      <c r="F205">
        <v>19</v>
      </c>
      <c r="G205">
        <v>12</v>
      </c>
      <c r="H205">
        <v>117</v>
      </c>
      <c r="I205">
        <v>9</v>
      </c>
      <c r="J205">
        <v>5</v>
      </c>
      <c r="K205">
        <v>3</v>
      </c>
      <c r="L205">
        <v>463564958</v>
      </c>
      <c r="M205">
        <v>136</v>
      </c>
      <c r="N205" t="s">
        <v>27</v>
      </c>
      <c r="O205" t="s">
        <v>45</v>
      </c>
      <c r="P205">
        <v>77</v>
      </c>
      <c r="Q205">
        <v>79</v>
      </c>
      <c r="R205" t="str" cm="1">
        <f t="array" ref="R205">_xlfn.IFS(Q205&gt;70,"Good",Q205&lt;40,"Bad",(Q205&gt;OS243*(Q205&lt;80)),"Ok")</f>
        <v>Good</v>
      </c>
      <c r="S205">
        <v>73</v>
      </c>
      <c r="T205" t="str" cm="1">
        <f t="array" ref="T205">_xlfn.IFS(S205&gt;50, "High", S205&lt;=50, "Low")</f>
        <v>High</v>
      </c>
      <c r="U205">
        <v>15</v>
      </c>
      <c r="V205">
        <v>0</v>
      </c>
      <c r="W205">
        <v>27</v>
      </c>
      <c r="X205">
        <v>10</v>
      </c>
      <c r="Y205">
        <f t="shared" ca="1" si="3"/>
        <v>88.710465347117676</v>
      </c>
      <c r="AA205" s="8" t="s">
        <v>1162</v>
      </c>
      <c r="AB205">
        <v>11</v>
      </c>
      <c r="AC205">
        <v>52</v>
      </c>
      <c r="AD205">
        <v>51</v>
      </c>
      <c r="AE205">
        <v>0.16364643768389531</v>
      </c>
    </row>
    <row r="206" spans="1:31" x14ac:dyDescent="0.3">
      <c r="A206" t="s">
        <v>556</v>
      </c>
      <c r="B206" t="s">
        <v>557</v>
      </c>
      <c r="C206">
        <v>3</v>
      </c>
      <c r="D206" s="1">
        <v>45061</v>
      </c>
      <c r="E206">
        <v>178</v>
      </c>
      <c r="F206">
        <v>6</v>
      </c>
      <c r="G206">
        <v>6</v>
      </c>
      <c r="H206">
        <v>71</v>
      </c>
      <c r="I206">
        <v>1</v>
      </c>
      <c r="J206">
        <v>0</v>
      </c>
      <c r="K206">
        <v>31</v>
      </c>
      <c r="L206">
        <v>64533040</v>
      </c>
      <c r="M206">
        <v>100</v>
      </c>
      <c r="N206" t="s">
        <v>134</v>
      </c>
      <c r="O206" t="s">
        <v>28</v>
      </c>
      <c r="P206">
        <v>56</v>
      </c>
      <c r="Q206">
        <v>53</v>
      </c>
      <c r="R206" t="str" cm="1">
        <f t="array" ref="R206">_xlfn.IFS(Q206&gt;70,"Good",Q206&lt;40,"Bad",(Q206&gt;OS244*(Q206&lt;80)),"Ok")</f>
        <v>Ok</v>
      </c>
      <c r="S206">
        <v>55</v>
      </c>
      <c r="T206" t="str" cm="1">
        <f t="array" ref="T206">_xlfn.IFS(S206&gt;50, "High", S206&lt;=50, "Low")</f>
        <v>High</v>
      </c>
      <c r="U206">
        <v>53</v>
      </c>
      <c r="V206">
        <v>0</v>
      </c>
      <c r="W206">
        <v>12</v>
      </c>
      <c r="X206">
        <v>4</v>
      </c>
      <c r="Y206">
        <f t="shared" ca="1" si="3"/>
        <v>90.344943893351243</v>
      </c>
    </row>
    <row r="207" spans="1:31" x14ac:dyDescent="0.3">
      <c r="A207" t="s">
        <v>559</v>
      </c>
      <c r="B207" t="s">
        <v>560</v>
      </c>
      <c r="C207">
        <v>1</v>
      </c>
      <c r="D207" s="1">
        <v>45079</v>
      </c>
      <c r="E207">
        <v>290</v>
      </c>
      <c r="F207">
        <v>19</v>
      </c>
      <c r="G207">
        <v>9</v>
      </c>
      <c r="H207">
        <v>101</v>
      </c>
      <c r="I207">
        <v>5</v>
      </c>
      <c r="J207">
        <v>0</v>
      </c>
      <c r="K207">
        <v>73</v>
      </c>
      <c r="L207">
        <v>65496046</v>
      </c>
      <c r="M207">
        <v>105</v>
      </c>
      <c r="N207" t="s">
        <v>34</v>
      </c>
      <c r="O207" t="s">
        <v>45</v>
      </c>
      <c r="P207">
        <v>89</v>
      </c>
      <c r="Q207">
        <v>67</v>
      </c>
      <c r="R207" t="str" cm="1">
        <f t="array" ref="R207">_xlfn.IFS(Q207&gt;70,"Good",Q207&lt;40,"Bad",(Q207&gt;OS245*(Q207&lt;80)),"Ok")</f>
        <v>Ok</v>
      </c>
      <c r="S207">
        <v>78</v>
      </c>
      <c r="T207" t="str" cm="1">
        <f t="array" ref="T207">_xlfn.IFS(S207&gt;50, "High", S207&lt;=50, "Low")</f>
        <v>High</v>
      </c>
      <c r="U207">
        <v>9</v>
      </c>
      <c r="V207">
        <v>0</v>
      </c>
      <c r="W207">
        <v>7</v>
      </c>
      <c r="X207">
        <v>33</v>
      </c>
      <c r="Y207">
        <f t="shared" ca="1" si="3"/>
        <v>41.915341601956101</v>
      </c>
    </row>
    <row r="208" spans="1:31" x14ac:dyDescent="0.3">
      <c r="A208" t="s">
        <v>561</v>
      </c>
      <c r="B208" t="s">
        <v>36</v>
      </c>
      <c r="C208">
        <v>1</v>
      </c>
      <c r="D208" s="1">
        <v>45072</v>
      </c>
      <c r="E208">
        <v>547</v>
      </c>
      <c r="F208">
        <v>0</v>
      </c>
      <c r="G208">
        <v>15</v>
      </c>
      <c r="H208">
        <v>15</v>
      </c>
      <c r="I208">
        <v>6</v>
      </c>
      <c r="J208">
        <v>0</v>
      </c>
      <c r="K208">
        <v>0</v>
      </c>
      <c r="L208">
        <v>68616963</v>
      </c>
      <c r="M208">
        <v>106</v>
      </c>
      <c r="N208" t="s">
        <v>34</v>
      </c>
      <c r="O208" t="s">
        <v>28</v>
      </c>
      <c r="P208">
        <v>67</v>
      </c>
      <c r="Q208">
        <v>24</v>
      </c>
      <c r="R208" t="str" cm="1">
        <f t="array" ref="R208">_xlfn.IFS(Q208&gt;70,"Good",Q208&lt;40,"Bad",(Q208&gt;OS246*(Q208&lt;80)),"Ok")</f>
        <v>Bad</v>
      </c>
      <c r="S208">
        <v>78</v>
      </c>
      <c r="T208" t="str" cm="1">
        <f t="array" ref="T208">_xlfn.IFS(S208&gt;50, "High", S208&lt;=50, "Low")</f>
        <v>High</v>
      </c>
      <c r="U208">
        <v>15</v>
      </c>
      <c r="V208">
        <v>0</v>
      </c>
      <c r="W208">
        <v>30</v>
      </c>
      <c r="X208">
        <v>4</v>
      </c>
      <c r="Y208">
        <f t="shared" ca="1" si="3"/>
        <v>87.425744659295574</v>
      </c>
    </row>
    <row r="209" spans="1:25" x14ac:dyDescent="0.3">
      <c r="A209" t="s">
        <v>563</v>
      </c>
      <c r="B209" t="s">
        <v>564</v>
      </c>
      <c r="C209">
        <v>2</v>
      </c>
      <c r="D209" s="1">
        <v>45015</v>
      </c>
      <c r="E209">
        <v>681</v>
      </c>
      <c r="F209">
        <v>10</v>
      </c>
      <c r="G209">
        <v>15</v>
      </c>
      <c r="H209">
        <v>92</v>
      </c>
      <c r="I209">
        <v>21</v>
      </c>
      <c r="J209">
        <v>2</v>
      </c>
      <c r="K209">
        <v>26</v>
      </c>
      <c r="L209">
        <v>161460990</v>
      </c>
      <c r="M209">
        <v>132</v>
      </c>
      <c r="N209" t="s">
        <v>61</v>
      </c>
      <c r="O209" t="s">
        <v>28</v>
      </c>
      <c r="P209">
        <v>85</v>
      </c>
      <c r="Q209">
        <v>53</v>
      </c>
      <c r="R209" t="str" cm="1">
        <f t="array" ref="R209">_xlfn.IFS(Q209&gt;70,"Good",Q209&lt;40,"Bad",(Q209&gt;OS247*(Q209&lt;80)),"Ok")</f>
        <v>Ok</v>
      </c>
      <c r="S209">
        <v>68</v>
      </c>
      <c r="T209" t="str" cm="1">
        <f t="array" ref="T209">_xlfn.IFS(S209&gt;50, "High", S209&lt;=50, "Low")</f>
        <v>High</v>
      </c>
      <c r="U209">
        <v>40</v>
      </c>
      <c r="V209">
        <v>0</v>
      </c>
      <c r="W209">
        <v>9</v>
      </c>
      <c r="X209">
        <v>4</v>
      </c>
      <c r="Y209">
        <f t="shared" ca="1" si="3"/>
        <v>52.628392830766778</v>
      </c>
    </row>
    <row r="210" spans="1:25" x14ac:dyDescent="0.3">
      <c r="A210" t="s">
        <v>566</v>
      </c>
      <c r="B210" t="s">
        <v>567</v>
      </c>
      <c r="C210">
        <v>2</v>
      </c>
      <c r="D210" s="1">
        <v>45079</v>
      </c>
      <c r="E210">
        <v>332</v>
      </c>
      <c r="F210">
        <v>5</v>
      </c>
      <c r="G210">
        <v>18</v>
      </c>
      <c r="H210">
        <v>41</v>
      </c>
      <c r="I210">
        <v>5</v>
      </c>
      <c r="J210">
        <v>0</v>
      </c>
      <c r="K210">
        <v>19</v>
      </c>
      <c r="L210">
        <v>70106975</v>
      </c>
      <c r="M210">
        <v>120</v>
      </c>
      <c r="N210" t="s">
        <v>37</v>
      </c>
      <c r="O210" t="s">
        <v>28</v>
      </c>
      <c r="P210">
        <v>78</v>
      </c>
      <c r="Q210">
        <v>5</v>
      </c>
      <c r="R210" t="str" cm="1">
        <f t="array" ref="R210">_xlfn.IFS(Q210&gt;70,"Good",Q210&lt;40,"Bad",(Q210&gt;OS248*(Q210&lt;80)),"Ok")</f>
        <v>Bad</v>
      </c>
      <c r="S210">
        <v>30</v>
      </c>
      <c r="T210" t="str" cm="1">
        <f t="array" ref="T210">_xlfn.IFS(S210&gt;50, "High", S210&lt;=50, "Low")</f>
        <v>Low</v>
      </c>
      <c r="U210">
        <v>21</v>
      </c>
      <c r="V210">
        <v>0</v>
      </c>
      <c r="W210">
        <v>13</v>
      </c>
      <c r="X210">
        <v>5</v>
      </c>
      <c r="Y210">
        <f t="shared" ca="1" si="3"/>
        <v>51.252548975104439</v>
      </c>
    </row>
    <row r="211" spans="1:25" x14ac:dyDescent="0.3">
      <c r="A211" t="s">
        <v>569</v>
      </c>
      <c r="B211" t="s">
        <v>570</v>
      </c>
      <c r="C211">
        <v>2</v>
      </c>
      <c r="D211" s="1">
        <v>45002</v>
      </c>
      <c r="E211">
        <v>1197</v>
      </c>
      <c r="F211">
        <v>13</v>
      </c>
      <c r="G211">
        <v>44</v>
      </c>
      <c r="H211">
        <v>34</v>
      </c>
      <c r="I211">
        <v>25</v>
      </c>
      <c r="J211">
        <v>1</v>
      </c>
      <c r="K211">
        <v>171</v>
      </c>
      <c r="L211">
        <v>113509496</v>
      </c>
      <c r="M211">
        <v>155</v>
      </c>
      <c r="N211" t="s">
        <v>31</v>
      </c>
      <c r="O211" t="s">
        <v>28</v>
      </c>
      <c r="P211">
        <v>82</v>
      </c>
      <c r="Q211">
        <v>51</v>
      </c>
      <c r="R211" t="str" cm="1">
        <f t="array" ref="R211">_xlfn.IFS(Q211&gt;70,"Good",Q211&lt;40,"Bad",(Q211&gt;OS249*(Q211&lt;80)),"Ok")</f>
        <v>Ok</v>
      </c>
      <c r="S211">
        <v>39</v>
      </c>
      <c r="T211" t="str" cm="1">
        <f t="array" ref="T211">_xlfn.IFS(S211&gt;50, "High", S211&lt;=50, "Low")</f>
        <v>Low</v>
      </c>
      <c r="U211">
        <v>2</v>
      </c>
      <c r="V211">
        <v>0</v>
      </c>
      <c r="W211">
        <v>9</v>
      </c>
      <c r="X211">
        <v>49</v>
      </c>
      <c r="Y211">
        <f t="shared" ca="1" si="3"/>
        <v>56.243799785202789</v>
      </c>
    </row>
    <row r="212" spans="1:25" x14ac:dyDescent="0.3">
      <c r="A212" t="s">
        <v>572</v>
      </c>
      <c r="B212" t="s">
        <v>573</v>
      </c>
      <c r="C212">
        <v>2</v>
      </c>
      <c r="D212" s="1">
        <v>45059</v>
      </c>
      <c r="E212">
        <v>262</v>
      </c>
      <c r="F212">
        <v>5</v>
      </c>
      <c r="G212">
        <v>8</v>
      </c>
      <c r="H212">
        <v>60</v>
      </c>
      <c r="I212">
        <v>4</v>
      </c>
      <c r="J212">
        <v>1</v>
      </c>
      <c r="K212">
        <v>109</v>
      </c>
      <c r="L212">
        <v>89933133</v>
      </c>
      <c r="M212">
        <v>129</v>
      </c>
      <c r="N212" t="s">
        <v>81</v>
      </c>
      <c r="O212" t="s">
        <v>28</v>
      </c>
      <c r="P212">
        <v>70</v>
      </c>
      <c r="Q212">
        <v>42</v>
      </c>
      <c r="R212" t="str" cm="1">
        <f t="array" ref="R212">_xlfn.IFS(Q212&gt;70,"Good",Q212&lt;40,"Bad",(Q212&gt;OS250*(Q212&lt;80)),"Ok")</f>
        <v>Ok</v>
      </c>
      <c r="S212">
        <v>43</v>
      </c>
      <c r="T212" t="str" cm="1">
        <f t="array" ref="T212">_xlfn.IFS(S212&gt;50, "High", S212&lt;=50, "Low")</f>
        <v>Low</v>
      </c>
      <c r="U212">
        <v>78</v>
      </c>
      <c r="V212">
        <v>0</v>
      </c>
      <c r="W212">
        <v>11</v>
      </c>
      <c r="X212">
        <v>3</v>
      </c>
      <c r="Y212">
        <f t="shared" ca="1" si="3"/>
        <v>53.477814490631417</v>
      </c>
    </row>
    <row r="213" spans="1:25" x14ac:dyDescent="0.3">
      <c r="A213" t="s">
        <v>66</v>
      </c>
      <c r="B213" t="s">
        <v>575</v>
      </c>
      <c r="C213">
        <v>2</v>
      </c>
      <c r="D213" s="1">
        <v>44833</v>
      </c>
      <c r="E213">
        <v>161</v>
      </c>
      <c r="F213">
        <v>6</v>
      </c>
      <c r="G213">
        <v>10</v>
      </c>
      <c r="H213">
        <v>79</v>
      </c>
      <c r="I213">
        <v>2</v>
      </c>
      <c r="J213">
        <v>0</v>
      </c>
      <c r="K213">
        <v>42</v>
      </c>
      <c r="L213">
        <v>71007139</v>
      </c>
      <c r="M213">
        <v>135</v>
      </c>
      <c r="N213" t="s">
        <v>34</v>
      </c>
      <c r="O213" t="s">
        <v>45</v>
      </c>
      <c r="P213">
        <v>80</v>
      </c>
      <c r="Q213">
        <v>85</v>
      </c>
      <c r="R213" t="str" cm="1">
        <f t="array" ref="R213">_xlfn.IFS(Q213&gt;70,"Good",Q213&lt;40,"Bad",(Q213&gt;OS251*(Q213&lt;80)),"Ok")</f>
        <v>Good</v>
      </c>
      <c r="S213">
        <v>74</v>
      </c>
      <c r="T213" t="str" cm="1">
        <f t="array" ref="T213">_xlfn.IFS(S213&gt;50, "High", S213&lt;=50, "Low")</f>
        <v>High</v>
      </c>
      <c r="U213">
        <v>62</v>
      </c>
      <c r="V213">
        <v>0</v>
      </c>
      <c r="W213">
        <v>8</v>
      </c>
      <c r="X213">
        <v>9</v>
      </c>
      <c r="Y213">
        <f t="shared" ca="1" si="3"/>
        <v>37.492966112704387</v>
      </c>
    </row>
    <row r="214" spans="1:25" x14ac:dyDescent="0.3">
      <c r="A214" t="s">
        <v>576</v>
      </c>
      <c r="B214" t="s">
        <v>577</v>
      </c>
      <c r="C214">
        <v>2</v>
      </c>
      <c r="D214" s="1">
        <v>45079</v>
      </c>
      <c r="E214">
        <v>185</v>
      </c>
      <c r="F214">
        <v>3</v>
      </c>
      <c r="G214">
        <v>5</v>
      </c>
      <c r="H214">
        <v>6</v>
      </c>
      <c r="I214">
        <v>4</v>
      </c>
      <c r="J214">
        <v>1</v>
      </c>
      <c r="K214">
        <v>33</v>
      </c>
      <c r="L214">
        <v>43522589</v>
      </c>
      <c r="M214">
        <v>98</v>
      </c>
      <c r="N214" t="s">
        <v>181</v>
      </c>
      <c r="O214" t="s">
        <v>45</v>
      </c>
      <c r="P214">
        <v>73</v>
      </c>
      <c r="Q214">
        <v>45</v>
      </c>
      <c r="R214" t="str" cm="1">
        <f t="array" ref="R214">_xlfn.IFS(Q214&gt;70,"Good",Q214&lt;40,"Bad",(Q214&gt;OS252*(Q214&lt;80)),"Ok")</f>
        <v>Ok</v>
      </c>
      <c r="S214">
        <v>62</v>
      </c>
      <c r="T214" t="str" cm="1">
        <f t="array" ref="T214">_xlfn.IFS(S214&gt;50, "High", S214&lt;=50, "Low")</f>
        <v>High</v>
      </c>
      <c r="U214">
        <v>28</v>
      </c>
      <c r="V214">
        <v>0</v>
      </c>
      <c r="W214">
        <v>13</v>
      </c>
      <c r="X214">
        <v>13</v>
      </c>
      <c r="Y214">
        <f t="shared" ca="1" si="3"/>
        <v>78.883902032725558</v>
      </c>
    </row>
    <row r="215" spans="1:25" x14ac:dyDescent="0.3">
      <c r="A215" t="s">
        <v>578</v>
      </c>
      <c r="B215" t="s">
        <v>579</v>
      </c>
      <c r="C215">
        <v>1</v>
      </c>
      <c r="D215" s="1">
        <v>45016</v>
      </c>
      <c r="E215">
        <v>839</v>
      </c>
      <c r="F215">
        <v>18</v>
      </c>
      <c r="G215">
        <v>20</v>
      </c>
      <c r="H215">
        <v>110</v>
      </c>
      <c r="I215">
        <v>20</v>
      </c>
      <c r="J215">
        <v>0</v>
      </c>
      <c r="K215">
        <v>69</v>
      </c>
      <c r="L215">
        <v>232896922</v>
      </c>
      <c r="M215">
        <v>124</v>
      </c>
      <c r="N215" t="s">
        <v>37</v>
      </c>
      <c r="O215" t="s">
        <v>45</v>
      </c>
      <c r="P215">
        <v>84</v>
      </c>
      <c r="Q215">
        <v>64</v>
      </c>
      <c r="R215" t="str" cm="1">
        <f t="array" ref="R215">_xlfn.IFS(Q215&gt;70,"Good",Q215&lt;40,"Bad",(Q215&gt;OS253*(Q215&lt;80)),"Ok")</f>
        <v>Ok</v>
      </c>
      <c r="S215">
        <v>39</v>
      </c>
      <c r="T215" t="str" cm="1">
        <f t="array" ref="T215">_xlfn.IFS(S215&gt;50, "High", S215&lt;=50, "Low")</f>
        <v>Low</v>
      </c>
      <c r="U215">
        <v>3</v>
      </c>
      <c r="V215">
        <v>0</v>
      </c>
      <c r="W215">
        <v>11</v>
      </c>
      <c r="X215">
        <v>4</v>
      </c>
      <c r="Y215">
        <f t="shared" ca="1" si="3"/>
        <v>33.774542607791311</v>
      </c>
    </row>
    <row r="216" spans="1:25" x14ac:dyDescent="0.3">
      <c r="A216" t="s">
        <v>580</v>
      </c>
      <c r="B216" t="s">
        <v>581</v>
      </c>
      <c r="C216">
        <v>3</v>
      </c>
      <c r="D216" s="1">
        <v>45079</v>
      </c>
      <c r="E216">
        <v>259</v>
      </c>
      <c r="F216">
        <v>0</v>
      </c>
      <c r="G216">
        <v>5</v>
      </c>
      <c r="H216">
        <v>17</v>
      </c>
      <c r="I216">
        <v>5</v>
      </c>
      <c r="J216">
        <v>0</v>
      </c>
      <c r="K216">
        <v>0</v>
      </c>
      <c r="L216">
        <v>37126685</v>
      </c>
      <c r="M216">
        <v>135</v>
      </c>
      <c r="N216" t="s">
        <v>37</v>
      </c>
      <c r="O216" t="s">
        <v>45</v>
      </c>
      <c r="P216">
        <v>77</v>
      </c>
      <c r="Q216">
        <v>28</v>
      </c>
      <c r="R216" t="str" cm="1">
        <f t="array" ref="R216">_xlfn.IFS(Q216&gt;70,"Good",Q216&lt;40,"Bad",(Q216&gt;OS254*(Q216&lt;80)),"Ok")</f>
        <v>Bad</v>
      </c>
      <c r="S216">
        <v>55</v>
      </c>
      <c r="T216" t="str" cm="1">
        <f t="array" ref="T216">_xlfn.IFS(S216&gt;50, "High", S216&lt;=50, "Low")</f>
        <v>High</v>
      </c>
      <c r="U216">
        <v>18</v>
      </c>
      <c r="V216">
        <v>0</v>
      </c>
      <c r="W216">
        <v>22</v>
      </c>
      <c r="X216">
        <v>15</v>
      </c>
      <c r="Y216">
        <f t="shared" ca="1" si="3"/>
        <v>94.591832032306883</v>
      </c>
    </row>
    <row r="217" spans="1:25" x14ac:dyDescent="0.3">
      <c r="A217" t="s">
        <v>582</v>
      </c>
      <c r="B217" t="s">
        <v>405</v>
      </c>
      <c r="C217">
        <v>1</v>
      </c>
      <c r="D217" s="1">
        <v>45008</v>
      </c>
      <c r="E217">
        <v>2915</v>
      </c>
      <c r="F217">
        <v>30</v>
      </c>
      <c r="G217">
        <v>116</v>
      </c>
      <c r="H217">
        <v>69</v>
      </c>
      <c r="I217">
        <v>107</v>
      </c>
      <c r="J217">
        <v>3</v>
      </c>
      <c r="K217">
        <v>675</v>
      </c>
      <c r="L217">
        <v>195576623</v>
      </c>
      <c r="M217">
        <v>107</v>
      </c>
      <c r="N217" t="s">
        <v>61</v>
      </c>
      <c r="O217" t="s">
        <v>28</v>
      </c>
      <c r="P217">
        <v>78</v>
      </c>
      <c r="Q217">
        <v>39</v>
      </c>
      <c r="R217" t="str" cm="1">
        <f t="array" ref="R217">_xlfn.IFS(Q217&gt;70,"Good",Q217&lt;40,"Bad",(Q217&gt;OS255*(Q217&lt;80)),"Ok")</f>
        <v>Bad</v>
      </c>
      <c r="S217">
        <v>53</v>
      </c>
      <c r="T217" t="str" cm="1">
        <f t="array" ref="T217">_xlfn.IFS(S217&gt;50, "High", S217&lt;=50, "Low")</f>
        <v>High</v>
      </c>
      <c r="U217">
        <v>30</v>
      </c>
      <c r="V217">
        <v>0</v>
      </c>
      <c r="W217">
        <v>11</v>
      </c>
      <c r="X217">
        <v>6</v>
      </c>
      <c r="Y217">
        <f t="shared" ca="1" si="3"/>
        <v>9.387418975610462</v>
      </c>
    </row>
    <row r="218" spans="1:25" x14ac:dyDescent="0.3">
      <c r="A218" t="s">
        <v>583</v>
      </c>
      <c r="B218" t="s">
        <v>584</v>
      </c>
      <c r="C218">
        <v>2</v>
      </c>
      <c r="D218" s="1">
        <v>44846</v>
      </c>
      <c r="E218">
        <v>5129</v>
      </c>
      <c r="F218">
        <v>25</v>
      </c>
      <c r="G218">
        <v>116</v>
      </c>
      <c r="H218">
        <v>84</v>
      </c>
      <c r="I218">
        <v>114</v>
      </c>
      <c r="J218">
        <v>18</v>
      </c>
      <c r="K218">
        <v>348</v>
      </c>
      <c r="L218">
        <v>532336353</v>
      </c>
      <c r="M218">
        <v>96</v>
      </c>
      <c r="N218" t="s">
        <v>61</v>
      </c>
      <c r="O218" t="s">
        <v>28</v>
      </c>
      <c r="P218">
        <v>54</v>
      </c>
      <c r="Q218">
        <v>25</v>
      </c>
      <c r="R218" t="str" cm="1">
        <f t="array" ref="R218">_xlfn.IFS(Q218&gt;70,"Good",Q218&lt;40,"Bad",(Q218&gt;OS256*(Q218&lt;80)),"Ok")</f>
        <v>Bad</v>
      </c>
      <c r="S218">
        <v>74</v>
      </c>
      <c r="T218" t="str" cm="1">
        <f t="array" ref="T218">_xlfn.IFS(S218&gt;50, "High", S218&lt;=50, "Low")</f>
        <v>High</v>
      </c>
      <c r="U218">
        <v>14</v>
      </c>
      <c r="V218">
        <v>0</v>
      </c>
      <c r="W218">
        <v>9</v>
      </c>
      <c r="X218">
        <v>11</v>
      </c>
      <c r="Y218">
        <f t="shared" ca="1" si="3"/>
        <v>45.325364325945785</v>
      </c>
    </row>
    <row r="219" spans="1:25" x14ac:dyDescent="0.3">
      <c r="A219" t="s">
        <v>585</v>
      </c>
      <c r="B219" t="s">
        <v>586</v>
      </c>
      <c r="C219">
        <v>2</v>
      </c>
      <c r="D219" s="1">
        <v>44895</v>
      </c>
      <c r="E219">
        <v>3794</v>
      </c>
      <c r="F219">
        <v>34</v>
      </c>
      <c r="G219">
        <v>47</v>
      </c>
      <c r="H219">
        <v>77</v>
      </c>
      <c r="I219">
        <v>53</v>
      </c>
      <c r="J219">
        <v>10</v>
      </c>
      <c r="K219">
        <v>8</v>
      </c>
      <c r="L219">
        <v>538115192</v>
      </c>
      <c r="M219">
        <v>123</v>
      </c>
      <c r="N219" t="s">
        <v>81</v>
      </c>
      <c r="O219" t="s">
        <v>28</v>
      </c>
      <c r="P219">
        <v>71</v>
      </c>
      <c r="Q219">
        <v>58</v>
      </c>
      <c r="R219" t="str" cm="1">
        <f t="array" ref="R219">_xlfn.IFS(Q219&gt;70,"Good",Q219&lt;40,"Bad",(Q219&gt;OS257*(Q219&lt;80)),"Ok")</f>
        <v>Ok</v>
      </c>
      <c r="S219">
        <v>70</v>
      </c>
      <c r="T219" t="str" cm="1">
        <f t="array" ref="T219">_xlfn.IFS(S219&gt;50, "High", S219&lt;=50, "Low")</f>
        <v>High</v>
      </c>
      <c r="U219">
        <v>30</v>
      </c>
      <c r="V219">
        <v>0</v>
      </c>
      <c r="W219">
        <v>32</v>
      </c>
      <c r="X219">
        <v>19</v>
      </c>
      <c r="Y219">
        <f t="shared" ca="1" si="3"/>
        <v>16.908733600592608</v>
      </c>
    </row>
    <row r="220" spans="1:25" x14ac:dyDescent="0.3">
      <c r="A220" t="s">
        <v>587</v>
      </c>
      <c r="B220" t="s">
        <v>588</v>
      </c>
      <c r="C220">
        <v>2</v>
      </c>
      <c r="D220" s="1">
        <v>45072</v>
      </c>
      <c r="E220">
        <v>588</v>
      </c>
      <c r="F220">
        <v>0</v>
      </c>
      <c r="G220">
        <v>23</v>
      </c>
      <c r="H220">
        <v>21</v>
      </c>
      <c r="I220">
        <v>31</v>
      </c>
      <c r="J220">
        <v>0</v>
      </c>
      <c r="K220">
        <v>0</v>
      </c>
      <c r="L220">
        <v>46142772</v>
      </c>
      <c r="M220">
        <v>90</v>
      </c>
      <c r="N220" t="s">
        <v>81</v>
      </c>
      <c r="O220" t="s">
        <v>28</v>
      </c>
      <c r="P220">
        <v>62</v>
      </c>
      <c r="Q220">
        <v>7</v>
      </c>
      <c r="R220" t="str" cm="1">
        <f t="array" ref="R220">_xlfn.IFS(Q220&gt;70,"Good",Q220&lt;40,"Bad",(Q220&gt;OS258*(Q220&lt;80)),"Ok")</f>
        <v>Bad</v>
      </c>
      <c r="S220">
        <v>62</v>
      </c>
      <c r="T220" t="str" cm="1">
        <f t="array" ref="T220">_xlfn.IFS(S220&gt;50, "High", S220&lt;=50, "Low")</f>
        <v>High</v>
      </c>
      <c r="U220">
        <v>6</v>
      </c>
      <c r="V220">
        <v>0</v>
      </c>
      <c r="W220">
        <v>58</v>
      </c>
      <c r="X220">
        <v>6</v>
      </c>
      <c r="Y220">
        <f t="shared" ca="1" si="3"/>
        <v>73.904242940160785</v>
      </c>
    </row>
    <row r="221" spans="1:25" x14ac:dyDescent="0.3">
      <c r="A221" t="s">
        <v>589</v>
      </c>
      <c r="B221" t="s">
        <v>590</v>
      </c>
      <c r="C221">
        <v>3</v>
      </c>
      <c r="D221" s="1">
        <v>44897</v>
      </c>
      <c r="E221">
        <v>2959</v>
      </c>
      <c r="F221">
        <v>16</v>
      </c>
      <c r="G221">
        <v>41</v>
      </c>
      <c r="H221">
        <v>69</v>
      </c>
      <c r="I221">
        <v>38</v>
      </c>
      <c r="J221">
        <v>0</v>
      </c>
      <c r="K221">
        <v>36</v>
      </c>
      <c r="L221">
        <v>401036314</v>
      </c>
      <c r="M221">
        <v>117</v>
      </c>
      <c r="N221" t="s">
        <v>34</v>
      </c>
      <c r="O221" t="s">
        <v>45</v>
      </c>
      <c r="P221">
        <v>72</v>
      </c>
      <c r="Q221">
        <v>45</v>
      </c>
      <c r="R221" t="str" cm="1">
        <f t="array" ref="R221">_xlfn.IFS(Q221&gt;70,"Good",Q221&lt;40,"Bad",(Q221&gt;OS259*(Q221&lt;80)),"Ok")</f>
        <v>Ok</v>
      </c>
      <c r="S221">
        <v>59</v>
      </c>
      <c r="T221" t="str" cm="1">
        <f t="array" ref="T221">_xlfn.IFS(S221&gt;50, "High", S221&lt;=50, "Low")</f>
        <v>High</v>
      </c>
      <c r="U221">
        <v>14</v>
      </c>
      <c r="V221">
        <v>0</v>
      </c>
      <c r="W221">
        <v>20</v>
      </c>
      <c r="X221">
        <v>21</v>
      </c>
      <c r="Y221">
        <f t="shared" ca="1" si="3"/>
        <v>67.906715069007063</v>
      </c>
    </row>
    <row r="222" spans="1:25" x14ac:dyDescent="0.3">
      <c r="A222" t="s">
        <v>319</v>
      </c>
      <c r="B222" t="s">
        <v>591</v>
      </c>
      <c r="C222">
        <v>2</v>
      </c>
      <c r="D222" s="1">
        <v>45020</v>
      </c>
      <c r="E222">
        <v>291</v>
      </c>
      <c r="F222">
        <v>8</v>
      </c>
      <c r="G222">
        <v>8</v>
      </c>
      <c r="H222">
        <v>78</v>
      </c>
      <c r="I222">
        <v>4</v>
      </c>
      <c r="J222">
        <v>1</v>
      </c>
      <c r="K222">
        <v>1</v>
      </c>
      <c r="L222">
        <v>127026613</v>
      </c>
      <c r="M222">
        <v>133</v>
      </c>
      <c r="N222" t="s">
        <v>37</v>
      </c>
      <c r="O222" t="s">
        <v>45</v>
      </c>
      <c r="P222">
        <v>78</v>
      </c>
      <c r="Q222">
        <v>90</v>
      </c>
      <c r="R222" t="str" cm="1">
        <f t="array" ref="R222">_xlfn.IFS(Q222&gt;70,"Good",Q222&lt;40,"Bad",(Q222&gt;OS260*(Q222&lt;80)),"Ok")</f>
        <v>Good</v>
      </c>
      <c r="S222">
        <v>84</v>
      </c>
      <c r="T222" t="str" cm="1">
        <f t="array" ref="T222">_xlfn.IFS(S222&gt;50, "High", S222&lt;=50, "Low")</f>
        <v>High</v>
      </c>
      <c r="U222">
        <v>31</v>
      </c>
      <c r="V222">
        <v>0</v>
      </c>
      <c r="W222">
        <v>7</v>
      </c>
      <c r="X222">
        <v>4</v>
      </c>
      <c r="Y222">
        <f t="shared" ca="1" si="3"/>
        <v>56.580851690213485</v>
      </c>
    </row>
    <row r="223" spans="1:25" x14ac:dyDescent="0.3">
      <c r="A223" t="s">
        <v>592</v>
      </c>
      <c r="B223" t="s">
        <v>376</v>
      </c>
      <c r="C223">
        <v>1</v>
      </c>
      <c r="D223" s="1">
        <v>44897</v>
      </c>
      <c r="E223">
        <v>2321</v>
      </c>
      <c r="F223">
        <v>36</v>
      </c>
      <c r="G223">
        <v>29</v>
      </c>
      <c r="H223">
        <v>65</v>
      </c>
      <c r="I223">
        <v>34</v>
      </c>
      <c r="J223">
        <v>5</v>
      </c>
      <c r="K223">
        <v>3</v>
      </c>
      <c r="L223">
        <v>345031710</v>
      </c>
      <c r="M223">
        <v>96</v>
      </c>
      <c r="N223" t="s">
        <v>81</v>
      </c>
      <c r="O223" t="s">
        <v>45</v>
      </c>
      <c r="P223">
        <v>74</v>
      </c>
      <c r="Q223">
        <v>61</v>
      </c>
      <c r="R223" t="str" cm="1">
        <f t="array" ref="R223">_xlfn.IFS(Q223&gt;70,"Good",Q223&lt;40,"Bad",(Q223&gt;OS261*(Q223&lt;80)),"Ok")</f>
        <v>Ok</v>
      </c>
      <c r="S223">
        <v>83</v>
      </c>
      <c r="T223" t="str" cm="1">
        <f t="array" ref="T223">_xlfn.IFS(S223&gt;50, "High", S223&lt;=50, "Low")</f>
        <v>High</v>
      </c>
      <c r="U223">
        <v>11</v>
      </c>
      <c r="V223">
        <v>0</v>
      </c>
      <c r="W223">
        <v>35</v>
      </c>
      <c r="X223">
        <v>6</v>
      </c>
      <c r="Y223">
        <f t="shared" ca="1" si="3"/>
        <v>27.998252367164799</v>
      </c>
    </row>
    <row r="224" spans="1:25" x14ac:dyDescent="0.3">
      <c r="A224" t="s">
        <v>85</v>
      </c>
      <c r="B224" t="s">
        <v>593</v>
      </c>
      <c r="C224">
        <v>2</v>
      </c>
      <c r="D224" s="1">
        <v>44896</v>
      </c>
      <c r="E224">
        <v>536</v>
      </c>
      <c r="F224">
        <v>10</v>
      </c>
      <c r="G224">
        <v>10</v>
      </c>
      <c r="H224">
        <v>72</v>
      </c>
      <c r="I224">
        <v>8</v>
      </c>
      <c r="J224">
        <v>3</v>
      </c>
      <c r="K224">
        <v>14</v>
      </c>
      <c r="L224">
        <v>288101651</v>
      </c>
      <c r="M224">
        <v>149</v>
      </c>
      <c r="N224" t="s">
        <v>81</v>
      </c>
      <c r="O224" t="s">
        <v>28</v>
      </c>
      <c r="P224">
        <v>66</v>
      </c>
      <c r="Q224">
        <v>85</v>
      </c>
      <c r="R224" t="str" cm="1">
        <f t="array" ref="R224">_xlfn.IFS(Q224&gt;70,"Good",Q224&lt;40,"Bad",(Q224&gt;OS262*(Q224&lt;80)),"Ok")</f>
        <v>Good</v>
      </c>
      <c r="S224">
        <v>60</v>
      </c>
      <c r="T224" t="str" cm="1">
        <f t="array" ref="T224">_xlfn.IFS(S224&gt;50, "High", S224&lt;=50, "Low")</f>
        <v>High</v>
      </c>
      <c r="U224">
        <v>40</v>
      </c>
      <c r="V224">
        <v>0</v>
      </c>
      <c r="W224">
        <v>14</v>
      </c>
      <c r="X224">
        <v>13</v>
      </c>
      <c r="Y224">
        <f t="shared" ca="1" si="3"/>
        <v>10.077754625750668</v>
      </c>
    </row>
    <row r="225" spans="1:25" x14ac:dyDescent="0.3">
      <c r="A225" t="s">
        <v>594</v>
      </c>
      <c r="B225" t="s">
        <v>595</v>
      </c>
      <c r="C225">
        <v>2</v>
      </c>
      <c r="D225" s="1">
        <v>45072</v>
      </c>
      <c r="E225">
        <v>359</v>
      </c>
      <c r="F225">
        <v>2</v>
      </c>
      <c r="G225">
        <v>1</v>
      </c>
      <c r="H225">
        <v>0</v>
      </c>
      <c r="I225">
        <v>9</v>
      </c>
      <c r="J225">
        <v>0</v>
      </c>
      <c r="K225">
        <v>0</v>
      </c>
      <c r="L225">
        <v>60350538</v>
      </c>
      <c r="M225">
        <v>110</v>
      </c>
      <c r="N225" t="s">
        <v>65</v>
      </c>
      <c r="O225" t="s">
        <v>45</v>
      </c>
      <c r="P225">
        <v>66</v>
      </c>
      <c r="Q225">
        <v>32</v>
      </c>
      <c r="R225" t="str" cm="1">
        <f t="array" ref="R225">_xlfn.IFS(Q225&gt;70,"Good",Q225&lt;40,"Bad",(Q225&gt;OS263*(Q225&lt;80)),"Ok")</f>
        <v>Bad</v>
      </c>
      <c r="S225">
        <v>40</v>
      </c>
      <c r="T225" t="str" cm="1">
        <f t="array" ref="T225">_xlfn.IFS(S225&gt;50, "High", S225&lt;=50, "Low")</f>
        <v>Low</v>
      </c>
      <c r="U225">
        <v>81</v>
      </c>
      <c r="V225">
        <v>0</v>
      </c>
      <c r="W225">
        <v>11</v>
      </c>
      <c r="X225">
        <v>3</v>
      </c>
      <c r="Y225">
        <f t="shared" ca="1" si="3"/>
        <v>73.483224418872382</v>
      </c>
    </row>
    <row r="226" spans="1:25" x14ac:dyDescent="0.3">
      <c r="A226" t="s">
        <v>596</v>
      </c>
      <c r="B226" t="s">
        <v>597</v>
      </c>
      <c r="C226">
        <v>1</v>
      </c>
      <c r="D226" s="1">
        <v>44895</v>
      </c>
      <c r="E226">
        <v>4096</v>
      </c>
      <c r="F226">
        <v>6</v>
      </c>
      <c r="G226">
        <v>118</v>
      </c>
      <c r="H226">
        <v>48</v>
      </c>
      <c r="I226">
        <v>143</v>
      </c>
      <c r="J226">
        <v>0</v>
      </c>
      <c r="K226">
        <v>240</v>
      </c>
      <c r="L226">
        <v>335074782</v>
      </c>
      <c r="M226">
        <v>105</v>
      </c>
      <c r="N226" t="s">
        <v>65</v>
      </c>
      <c r="O226" t="s">
        <v>28</v>
      </c>
      <c r="P226">
        <v>95</v>
      </c>
      <c r="Q226">
        <v>62</v>
      </c>
      <c r="R226" t="str" cm="1">
        <f t="array" ref="R226">_xlfn.IFS(Q226&gt;70,"Good",Q226&lt;40,"Bad",(Q226&gt;OS264*(Q226&lt;80)),"Ok")</f>
        <v>Ok</v>
      </c>
      <c r="S226">
        <v>52</v>
      </c>
      <c r="T226" t="str" cm="1">
        <f t="array" ref="T226">_xlfn.IFS(S226&gt;50, "High", S226&lt;=50, "Low")</f>
        <v>High</v>
      </c>
      <c r="U226">
        <v>3</v>
      </c>
      <c r="V226">
        <v>0</v>
      </c>
      <c r="W226">
        <v>5</v>
      </c>
      <c r="X226">
        <v>16</v>
      </c>
      <c r="Y226">
        <f t="shared" ca="1" si="3"/>
        <v>89.249655328223668</v>
      </c>
    </row>
    <row r="227" spans="1:25" x14ac:dyDescent="0.3">
      <c r="A227" t="s">
        <v>598</v>
      </c>
      <c r="B227" t="s">
        <v>599</v>
      </c>
      <c r="C227">
        <v>1</v>
      </c>
      <c r="D227" s="1">
        <v>45068</v>
      </c>
      <c r="E227">
        <v>349</v>
      </c>
      <c r="F227">
        <v>69</v>
      </c>
      <c r="G227">
        <v>8</v>
      </c>
      <c r="H227">
        <v>96</v>
      </c>
      <c r="I227">
        <v>5</v>
      </c>
      <c r="J227">
        <v>0</v>
      </c>
      <c r="K227">
        <v>56</v>
      </c>
      <c r="L227">
        <v>76767396</v>
      </c>
      <c r="M227">
        <v>105</v>
      </c>
      <c r="N227" t="s">
        <v>31</v>
      </c>
      <c r="O227" t="s">
        <v>28</v>
      </c>
      <c r="P227">
        <v>80</v>
      </c>
      <c r="Q227">
        <v>69</v>
      </c>
      <c r="R227" t="str" cm="1">
        <f t="array" ref="R227">_xlfn.IFS(Q227&gt;70,"Good",Q227&lt;40,"Bad",(Q227&gt;OS265*(Q227&lt;80)),"Ok")</f>
        <v>Ok</v>
      </c>
      <c r="S227">
        <v>78</v>
      </c>
      <c r="T227" t="str" cm="1">
        <f t="array" ref="T227">_xlfn.IFS(S227&gt;50, "High", S227&lt;=50, "Low")</f>
        <v>High</v>
      </c>
      <c r="U227">
        <v>28</v>
      </c>
      <c r="V227">
        <v>0</v>
      </c>
      <c r="W227">
        <v>11</v>
      </c>
      <c r="X227">
        <v>14</v>
      </c>
      <c r="Y227">
        <f t="shared" ca="1" si="3"/>
        <v>72.230028535067575</v>
      </c>
    </row>
    <row r="228" spans="1:25" x14ac:dyDescent="0.3">
      <c r="A228" t="s">
        <v>600</v>
      </c>
      <c r="B228" t="s">
        <v>601</v>
      </c>
      <c r="C228">
        <v>2</v>
      </c>
      <c r="D228" s="1">
        <v>45072</v>
      </c>
      <c r="E228">
        <v>381</v>
      </c>
      <c r="F228">
        <v>5</v>
      </c>
      <c r="G228">
        <v>23</v>
      </c>
      <c r="H228">
        <v>82</v>
      </c>
      <c r="I228">
        <v>6</v>
      </c>
      <c r="J228">
        <v>0</v>
      </c>
      <c r="K228">
        <v>113</v>
      </c>
      <c r="L228">
        <v>46065667</v>
      </c>
      <c r="M228">
        <v>134</v>
      </c>
      <c r="N228" t="s">
        <v>27</v>
      </c>
      <c r="O228" t="s">
        <v>28</v>
      </c>
      <c r="P228">
        <v>76</v>
      </c>
      <c r="Q228">
        <v>61</v>
      </c>
      <c r="R228" t="str" cm="1">
        <f t="array" ref="R228">_xlfn.IFS(Q228&gt;70,"Good",Q228&lt;40,"Bad",(Q228&gt;OS266*(Q228&lt;80)),"Ok")</f>
        <v>Ok</v>
      </c>
      <c r="S228">
        <v>58</v>
      </c>
      <c r="T228" t="str" cm="1">
        <f t="array" ref="T228">_xlfn.IFS(S228&gt;50, "High", S228&lt;=50, "Low")</f>
        <v>High</v>
      </c>
      <c r="U228">
        <v>6</v>
      </c>
      <c r="V228">
        <v>0</v>
      </c>
      <c r="W228">
        <v>16</v>
      </c>
      <c r="X228">
        <v>3</v>
      </c>
      <c r="Y228">
        <f t="shared" ca="1" si="3"/>
        <v>79.174936441714195</v>
      </c>
    </row>
    <row r="229" spans="1:25" x14ac:dyDescent="0.3">
      <c r="A229" t="s">
        <v>602</v>
      </c>
      <c r="B229" t="s">
        <v>376</v>
      </c>
      <c r="C229">
        <v>1</v>
      </c>
      <c r="D229" s="1">
        <v>44750</v>
      </c>
      <c r="E229">
        <v>2461</v>
      </c>
      <c r="F229">
        <v>36</v>
      </c>
      <c r="G229">
        <v>47</v>
      </c>
      <c r="H229">
        <v>66</v>
      </c>
      <c r="I229">
        <v>45</v>
      </c>
      <c r="J229">
        <v>5</v>
      </c>
      <c r="K229">
        <v>6</v>
      </c>
      <c r="L229">
        <v>459276435</v>
      </c>
      <c r="M229">
        <v>170</v>
      </c>
      <c r="N229" t="s">
        <v>134</v>
      </c>
      <c r="O229" t="s">
        <v>45</v>
      </c>
      <c r="P229">
        <v>71</v>
      </c>
      <c r="Q229">
        <v>59</v>
      </c>
      <c r="R229" t="str" cm="1">
        <f t="array" ref="R229">_xlfn.IFS(Q229&gt;70,"Good",Q229&lt;40,"Bad",(Q229&gt;OS267*(Q229&lt;80)),"Ok")</f>
        <v>Ok</v>
      </c>
      <c r="S229">
        <v>56</v>
      </c>
      <c r="T229" t="str" cm="1">
        <f t="array" ref="T229">_xlfn.IFS(S229&gt;50, "High", S229&lt;=50, "Low")</f>
        <v>High</v>
      </c>
      <c r="U229">
        <v>4</v>
      </c>
      <c r="V229">
        <v>0</v>
      </c>
      <c r="W229">
        <v>27</v>
      </c>
      <c r="X229">
        <v>12</v>
      </c>
      <c r="Y229">
        <f t="shared" ca="1" si="3"/>
        <v>7.8458418832433878</v>
      </c>
    </row>
    <row r="230" spans="1:25" x14ac:dyDescent="0.3">
      <c r="A230" t="s">
        <v>603</v>
      </c>
      <c r="B230" t="s">
        <v>604</v>
      </c>
      <c r="C230">
        <v>2</v>
      </c>
      <c r="D230" s="1">
        <v>45079</v>
      </c>
      <c r="E230">
        <v>277</v>
      </c>
      <c r="F230">
        <v>1</v>
      </c>
      <c r="G230">
        <v>1</v>
      </c>
      <c r="H230">
        <v>20</v>
      </c>
      <c r="I230">
        <v>5</v>
      </c>
      <c r="J230">
        <v>0</v>
      </c>
      <c r="K230">
        <v>1</v>
      </c>
      <c r="L230">
        <v>39666245</v>
      </c>
      <c r="M230">
        <v>81</v>
      </c>
      <c r="N230" t="s">
        <v>65</v>
      </c>
      <c r="O230" t="s">
        <v>28</v>
      </c>
      <c r="P230">
        <v>59</v>
      </c>
      <c r="Q230">
        <v>26</v>
      </c>
      <c r="R230" t="str" cm="1">
        <f t="array" ref="R230">_xlfn.IFS(Q230&gt;70,"Good",Q230&lt;40,"Bad",(Q230&gt;OS268*(Q230&lt;80)),"Ok")</f>
        <v>Bad</v>
      </c>
      <c r="S230">
        <v>60</v>
      </c>
      <c r="T230" t="str" cm="1">
        <f t="array" ref="T230">_xlfn.IFS(S230&gt;50, "High", S230&lt;=50, "Low")</f>
        <v>High</v>
      </c>
      <c r="U230">
        <v>46</v>
      </c>
      <c r="V230">
        <v>1</v>
      </c>
      <c r="W230">
        <v>25</v>
      </c>
      <c r="X230">
        <v>13</v>
      </c>
      <c r="Y230">
        <f t="shared" ca="1" si="3"/>
        <v>40.701731044806444</v>
      </c>
    </row>
    <row r="231" spans="1:25" x14ac:dyDescent="0.3">
      <c r="A231" t="s">
        <v>571</v>
      </c>
      <c r="B231" t="s">
        <v>605</v>
      </c>
      <c r="C231">
        <v>2</v>
      </c>
      <c r="D231" s="1">
        <v>44986</v>
      </c>
      <c r="E231">
        <v>967</v>
      </c>
      <c r="F231">
        <v>5</v>
      </c>
      <c r="G231">
        <v>7</v>
      </c>
      <c r="H231">
        <v>29</v>
      </c>
      <c r="I231">
        <v>51</v>
      </c>
      <c r="J231">
        <v>1</v>
      </c>
      <c r="K231">
        <v>29</v>
      </c>
      <c r="L231">
        <v>138517666</v>
      </c>
      <c r="M231">
        <v>154</v>
      </c>
      <c r="N231" t="s">
        <v>65</v>
      </c>
      <c r="O231" t="s">
        <v>28</v>
      </c>
      <c r="P231">
        <v>63</v>
      </c>
      <c r="Q231">
        <v>75</v>
      </c>
      <c r="R231" t="str" cm="1">
        <f t="array" ref="R231">_xlfn.IFS(Q231&gt;70,"Good",Q231&lt;40,"Bad",(Q231&gt;OS269*(Q231&lt;80)),"Ok")</f>
        <v>Good</v>
      </c>
      <c r="S231">
        <v>92</v>
      </c>
      <c r="T231" t="str" cm="1">
        <f t="array" ref="T231">_xlfn.IFS(S231&gt;50, "High", S231&lt;=50, "Low")</f>
        <v>High</v>
      </c>
      <c r="U231">
        <v>31</v>
      </c>
      <c r="V231">
        <v>0</v>
      </c>
      <c r="W231">
        <v>91</v>
      </c>
      <c r="X231">
        <v>5</v>
      </c>
      <c r="Y231">
        <f t="shared" ca="1" si="3"/>
        <v>82.416916323298111</v>
      </c>
    </row>
    <row r="232" spans="1:25" x14ac:dyDescent="0.3">
      <c r="A232" t="s">
        <v>606</v>
      </c>
      <c r="B232" t="s">
        <v>607</v>
      </c>
      <c r="C232">
        <v>1</v>
      </c>
      <c r="D232" s="1">
        <v>44741</v>
      </c>
      <c r="E232">
        <v>8186</v>
      </c>
      <c r="F232">
        <v>12</v>
      </c>
      <c r="G232">
        <v>155</v>
      </c>
      <c r="H232">
        <v>72</v>
      </c>
      <c r="I232">
        <v>131</v>
      </c>
      <c r="J232">
        <v>16</v>
      </c>
      <c r="K232">
        <v>29</v>
      </c>
      <c r="L232">
        <v>822633917</v>
      </c>
      <c r="M232">
        <v>169</v>
      </c>
      <c r="N232" t="s">
        <v>31</v>
      </c>
      <c r="O232" t="s">
        <v>28</v>
      </c>
      <c r="P232">
        <v>69</v>
      </c>
      <c r="Q232">
        <v>69</v>
      </c>
      <c r="R232" t="str" cm="1">
        <f t="array" ref="R232">_xlfn.IFS(Q232&gt;70,"Good",Q232&lt;40,"Bad",(Q232&gt;OS270*(Q232&lt;80)),"Ok")</f>
        <v>Ok</v>
      </c>
      <c r="S232">
        <v>51</v>
      </c>
      <c r="T232" t="str" cm="1">
        <f t="array" ref="T232">_xlfn.IFS(S232&gt;50, "High", S232&lt;=50, "Low")</f>
        <v>High</v>
      </c>
      <c r="U232">
        <v>63</v>
      </c>
      <c r="V232">
        <v>0</v>
      </c>
      <c r="W232">
        <v>38</v>
      </c>
      <c r="X232">
        <v>4</v>
      </c>
      <c r="Y232">
        <f t="shared" ca="1" si="3"/>
        <v>64.529686710593097</v>
      </c>
    </row>
    <row r="233" spans="1:25" x14ac:dyDescent="0.3">
      <c r="A233" t="s">
        <v>608</v>
      </c>
      <c r="B233" t="s">
        <v>609</v>
      </c>
      <c r="C233">
        <v>1</v>
      </c>
      <c r="D233" s="1">
        <v>44771</v>
      </c>
      <c r="E233">
        <v>7842</v>
      </c>
      <c r="F233">
        <v>10</v>
      </c>
      <c r="G233">
        <v>215</v>
      </c>
      <c r="H233">
        <v>88</v>
      </c>
      <c r="I233">
        <v>330</v>
      </c>
      <c r="J233">
        <v>26</v>
      </c>
      <c r="K233">
        <v>23</v>
      </c>
      <c r="L233">
        <v>595900742</v>
      </c>
      <c r="M233">
        <v>115</v>
      </c>
      <c r="N233" t="s">
        <v>94</v>
      </c>
      <c r="O233" t="s">
        <v>28</v>
      </c>
      <c r="P233">
        <v>78</v>
      </c>
      <c r="Q233">
        <v>64</v>
      </c>
      <c r="R233" t="str" cm="1">
        <f t="array" ref="R233">_xlfn.IFS(Q233&gt;70,"Good",Q233&lt;40,"Bad",(Q233&gt;OS271*(Q233&lt;80)),"Ok")</f>
        <v>Ok</v>
      </c>
      <c r="S233">
        <v>69</v>
      </c>
      <c r="T233" t="str" cm="1">
        <f t="array" ref="T233">_xlfn.IFS(S233&gt;50, "High", S233&lt;=50, "Low")</f>
        <v>High</v>
      </c>
      <c r="U233">
        <v>4</v>
      </c>
      <c r="V233">
        <v>0</v>
      </c>
      <c r="W233">
        <v>7</v>
      </c>
      <c r="X233">
        <v>14</v>
      </c>
      <c r="Y233">
        <f t="shared" ca="1" si="3"/>
        <v>70.228897577631457</v>
      </c>
    </row>
    <row r="234" spans="1:25" x14ac:dyDescent="0.3">
      <c r="A234" t="s">
        <v>610</v>
      </c>
      <c r="B234" t="s">
        <v>611</v>
      </c>
      <c r="C234">
        <v>2</v>
      </c>
      <c r="D234" s="1">
        <v>45082</v>
      </c>
      <c r="E234">
        <v>215</v>
      </c>
      <c r="F234">
        <v>6</v>
      </c>
      <c r="G234">
        <v>6</v>
      </c>
      <c r="H234">
        <v>14</v>
      </c>
      <c r="I234">
        <v>8</v>
      </c>
      <c r="J234">
        <v>2</v>
      </c>
      <c r="K234">
        <v>4</v>
      </c>
      <c r="L234">
        <v>51985779</v>
      </c>
      <c r="M234">
        <v>84</v>
      </c>
      <c r="N234" t="s">
        <v>37</v>
      </c>
      <c r="O234" t="s">
        <v>45</v>
      </c>
      <c r="P234">
        <v>43</v>
      </c>
      <c r="Q234">
        <v>14</v>
      </c>
      <c r="R234" t="str" cm="1">
        <f t="array" ref="R234">_xlfn.IFS(Q234&gt;70,"Good",Q234&lt;40,"Bad",(Q234&gt;OS272*(Q234&lt;80)),"Ok")</f>
        <v>Bad</v>
      </c>
      <c r="S234">
        <v>74</v>
      </c>
      <c r="T234" t="str" cm="1">
        <f t="array" ref="T234">_xlfn.IFS(S234&gt;50, "High", S234&lt;=50, "Low")</f>
        <v>High</v>
      </c>
      <c r="U234">
        <v>1</v>
      </c>
      <c r="V234">
        <v>0</v>
      </c>
      <c r="W234">
        <v>19</v>
      </c>
      <c r="X234">
        <v>8</v>
      </c>
      <c r="Y234">
        <f t="shared" ca="1" si="3"/>
        <v>88.590936711460472</v>
      </c>
    </row>
    <row r="235" spans="1:25" x14ac:dyDescent="0.3">
      <c r="A235">
        <v>69</v>
      </c>
      <c r="B235" t="s">
        <v>612</v>
      </c>
      <c r="C235">
        <v>2</v>
      </c>
      <c r="D235" s="1">
        <v>45064</v>
      </c>
      <c r="E235">
        <v>1134</v>
      </c>
      <c r="F235">
        <v>22</v>
      </c>
      <c r="G235">
        <v>39</v>
      </c>
      <c r="H235">
        <v>14</v>
      </c>
      <c r="I235">
        <v>48</v>
      </c>
      <c r="J235">
        <v>2</v>
      </c>
      <c r="K235">
        <v>3</v>
      </c>
      <c r="L235">
        <v>57945987</v>
      </c>
      <c r="M235">
        <v>93</v>
      </c>
      <c r="N235" t="s">
        <v>81</v>
      </c>
      <c r="O235" t="s">
        <v>28</v>
      </c>
      <c r="P235">
        <v>79</v>
      </c>
      <c r="Q235">
        <v>58</v>
      </c>
      <c r="R235" t="str" cm="1">
        <f t="array" ref="R235">_xlfn.IFS(Q235&gt;70,"Good",Q235&lt;40,"Bad",(Q235&gt;OS273*(Q235&lt;80)),"Ok")</f>
        <v>Ok</v>
      </c>
      <c r="S235">
        <v>62</v>
      </c>
      <c r="T235" t="str" cm="1">
        <f t="array" ref="T235">_xlfn.IFS(S235&gt;50, "High", S235&lt;=50, "Low")</f>
        <v>High</v>
      </c>
      <c r="U235">
        <v>11</v>
      </c>
      <c r="V235">
        <v>0</v>
      </c>
      <c r="W235">
        <v>11</v>
      </c>
      <c r="X235">
        <v>23</v>
      </c>
      <c r="Y235">
        <f t="shared" ca="1" si="3"/>
        <v>96.507969061574869</v>
      </c>
    </row>
    <row r="236" spans="1:25" x14ac:dyDescent="0.3">
      <c r="A236" t="s">
        <v>613</v>
      </c>
      <c r="B236" t="s">
        <v>614</v>
      </c>
      <c r="C236">
        <v>2</v>
      </c>
      <c r="D236" s="1">
        <v>45037</v>
      </c>
      <c r="E236">
        <v>1305</v>
      </c>
      <c r="F236">
        <v>34</v>
      </c>
      <c r="G236">
        <v>29</v>
      </c>
      <c r="H236">
        <v>26</v>
      </c>
      <c r="I236">
        <v>43</v>
      </c>
      <c r="J236">
        <v>5</v>
      </c>
      <c r="K236">
        <v>44</v>
      </c>
      <c r="L236">
        <v>115010040</v>
      </c>
      <c r="M236">
        <v>91</v>
      </c>
      <c r="N236" t="s">
        <v>94</v>
      </c>
      <c r="O236" t="s">
        <v>28</v>
      </c>
      <c r="P236">
        <v>82</v>
      </c>
      <c r="Q236">
        <v>47</v>
      </c>
      <c r="R236" t="str" cm="1">
        <f t="array" ref="R236">_xlfn.IFS(Q236&gt;70,"Good",Q236&lt;40,"Bad",(Q236&gt;OS274*(Q236&lt;80)),"Ok")</f>
        <v>Ok</v>
      </c>
      <c r="S236">
        <v>62</v>
      </c>
      <c r="T236" t="str" cm="1">
        <f t="array" ref="T236">_xlfn.IFS(S236&gt;50, "High", S236&lt;=50, "Low")</f>
        <v>High</v>
      </c>
      <c r="U236">
        <v>10</v>
      </c>
      <c r="V236">
        <v>0</v>
      </c>
      <c r="W236">
        <v>10</v>
      </c>
      <c r="X236">
        <v>15</v>
      </c>
      <c r="Y236">
        <f t="shared" ca="1" si="3"/>
        <v>52.494607887606691</v>
      </c>
    </row>
    <row r="237" spans="1:25" x14ac:dyDescent="0.3">
      <c r="A237" t="s">
        <v>615</v>
      </c>
      <c r="B237" t="s">
        <v>616</v>
      </c>
      <c r="C237">
        <v>1</v>
      </c>
      <c r="D237" s="1">
        <v>45023</v>
      </c>
      <c r="E237">
        <v>2066</v>
      </c>
      <c r="F237">
        <v>6</v>
      </c>
      <c r="G237">
        <v>58</v>
      </c>
      <c r="H237">
        <v>70</v>
      </c>
      <c r="I237">
        <v>43</v>
      </c>
      <c r="J237">
        <v>0</v>
      </c>
      <c r="K237">
        <v>182</v>
      </c>
      <c r="L237">
        <v>175097833</v>
      </c>
      <c r="M237">
        <v>142</v>
      </c>
      <c r="N237" t="s">
        <v>181</v>
      </c>
      <c r="O237" t="s">
        <v>45</v>
      </c>
      <c r="P237">
        <v>82</v>
      </c>
      <c r="Q237">
        <v>54</v>
      </c>
      <c r="R237" t="str" cm="1">
        <f t="array" ref="R237">_xlfn.IFS(Q237&gt;70,"Good",Q237&lt;40,"Bad",(Q237&gt;OS275*(Q237&lt;80)),"Ok")</f>
        <v>Ok</v>
      </c>
      <c r="S237">
        <v>44</v>
      </c>
      <c r="T237" t="str" cm="1">
        <f t="array" ref="T237">_xlfn.IFS(S237&gt;50, "High", S237&lt;=50, "Low")</f>
        <v>Low</v>
      </c>
      <c r="U237">
        <v>6</v>
      </c>
      <c r="V237">
        <v>0</v>
      </c>
      <c r="W237">
        <v>33</v>
      </c>
      <c r="X237">
        <v>7</v>
      </c>
      <c r="Y237">
        <f t="shared" ca="1" si="3"/>
        <v>21.807994870786462</v>
      </c>
    </row>
    <row r="238" spans="1:25" x14ac:dyDescent="0.3">
      <c r="A238" t="s">
        <v>617</v>
      </c>
      <c r="B238" t="s">
        <v>618</v>
      </c>
      <c r="C238">
        <v>2</v>
      </c>
      <c r="D238" s="1">
        <v>45065</v>
      </c>
      <c r="E238">
        <v>896</v>
      </c>
      <c r="F238">
        <v>0</v>
      </c>
      <c r="G238">
        <v>34</v>
      </c>
      <c r="H238">
        <v>2</v>
      </c>
      <c r="I238">
        <v>33</v>
      </c>
      <c r="J238">
        <v>0</v>
      </c>
      <c r="K238">
        <v>1</v>
      </c>
      <c r="L238">
        <v>57089066</v>
      </c>
      <c r="M238">
        <v>126</v>
      </c>
      <c r="N238" t="s">
        <v>31</v>
      </c>
      <c r="O238" t="s">
        <v>28</v>
      </c>
      <c r="P238">
        <v>78</v>
      </c>
      <c r="Q238">
        <v>20</v>
      </c>
      <c r="R238" t="str" cm="1">
        <f t="array" ref="R238">_xlfn.IFS(Q238&gt;70,"Good",Q238&lt;40,"Bad",(Q238&gt;OS276*(Q238&lt;80)),"Ok")</f>
        <v>Bad</v>
      </c>
      <c r="S238">
        <v>70</v>
      </c>
      <c r="T238" t="str" cm="1">
        <f t="array" ref="T238">_xlfn.IFS(S238&gt;50, "High", S238&lt;=50, "Low")</f>
        <v>High</v>
      </c>
      <c r="U238">
        <v>1</v>
      </c>
      <c r="V238">
        <v>0</v>
      </c>
      <c r="W238">
        <v>16</v>
      </c>
      <c r="X238">
        <v>4</v>
      </c>
      <c r="Y238">
        <f t="shared" ca="1" si="3"/>
        <v>91.394677526443587</v>
      </c>
    </row>
    <row r="239" spans="1:25" x14ac:dyDescent="0.3">
      <c r="A239" t="s">
        <v>619</v>
      </c>
      <c r="B239" t="s">
        <v>36</v>
      </c>
      <c r="C239">
        <v>1</v>
      </c>
      <c r="D239" s="1">
        <v>44855</v>
      </c>
      <c r="E239">
        <v>3763</v>
      </c>
      <c r="F239">
        <v>8</v>
      </c>
      <c r="G239">
        <v>51</v>
      </c>
      <c r="H239">
        <v>43</v>
      </c>
      <c r="I239">
        <v>38</v>
      </c>
      <c r="J239">
        <v>10</v>
      </c>
      <c r="K239">
        <v>1</v>
      </c>
      <c r="L239">
        <v>488386797</v>
      </c>
      <c r="M239">
        <v>97</v>
      </c>
      <c r="N239" t="s">
        <v>181</v>
      </c>
      <c r="O239" t="s">
        <v>28</v>
      </c>
      <c r="P239">
        <v>73</v>
      </c>
      <c r="Q239">
        <v>10</v>
      </c>
      <c r="R239" t="str" cm="1">
        <f t="array" ref="R239">_xlfn.IFS(Q239&gt;70,"Good",Q239&lt;40,"Bad",(Q239&gt;OS277*(Q239&lt;80)),"Ok")</f>
        <v>Bad</v>
      </c>
      <c r="S239">
        <v>44</v>
      </c>
      <c r="T239" t="str" cm="1">
        <f t="array" ref="T239">_xlfn.IFS(S239&gt;50, "High", S239&lt;=50, "Low")</f>
        <v>Low</v>
      </c>
      <c r="U239">
        <v>26</v>
      </c>
      <c r="V239">
        <v>0</v>
      </c>
      <c r="W239">
        <v>16</v>
      </c>
      <c r="X239">
        <v>8</v>
      </c>
      <c r="Y239">
        <f t="shared" ca="1" si="3"/>
        <v>66.987590699660899</v>
      </c>
    </row>
    <row r="240" spans="1:25" x14ac:dyDescent="0.3">
      <c r="A240" t="s">
        <v>620</v>
      </c>
      <c r="B240" t="s">
        <v>621</v>
      </c>
      <c r="C240">
        <v>5</v>
      </c>
      <c r="D240" s="1">
        <v>45079</v>
      </c>
      <c r="E240">
        <v>197</v>
      </c>
      <c r="F240">
        <v>0</v>
      </c>
      <c r="G240">
        <v>3</v>
      </c>
      <c r="H240">
        <v>10</v>
      </c>
      <c r="I240">
        <v>3</v>
      </c>
      <c r="J240">
        <v>0</v>
      </c>
      <c r="K240">
        <v>0</v>
      </c>
      <c r="L240">
        <v>32761689</v>
      </c>
      <c r="M240">
        <v>101</v>
      </c>
      <c r="N240" t="s">
        <v>34</v>
      </c>
      <c r="O240" t="s">
        <v>28</v>
      </c>
      <c r="P240">
        <v>92</v>
      </c>
      <c r="Q240">
        <v>59</v>
      </c>
      <c r="R240" t="str" cm="1">
        <f t="array" ref="R240">_xlfn.IFS(Q240&gt;70,"Good",Q240&lt;40,"Bad",(Q240&gt;OS278*(Q240&lt;80)),"Ok")</f>
        <v>Ok</v>
      </c>
      <c r="S240">
        <v>51</v>
      </c>
      <c r="T240" t="str" cm="1">
        <f t="array" ref="T240">_xlfn.IFS(S240&gt;50, "High", S240&lt;=50, "Low")</f>
        <v>High</v>
      </c>
      <c r="U240">
        <v>41</v>
      </c>
      <c r="V240">
        <v>51</v>
      </c>
      <c r="W240">
        <v>26</v>
      </c>
      <c r="X240">
        <v>8</v>
      </c>
      <c r="Y240">
        <f t="shared" ca="1" si="3"/>
        <v>82.505865942783046</v>
      </c>
    </row>
    <row r="241" spans="1:25" x14ac:dyDescent="0.3">
      <c r="A241" t="s">
        <v>622</v>
      </c>
      <c r="B241" t="s">
        <v>44</v>
      </c>
      <c r="C241">
        <v>1</v>
      </c>
      <c r="D241" s="1">
        <v>44687</v>
      </c>
      <c r="E241">
        <v>4004</v>
      </c>
      <c r="F241">
        <v>33</v>
      </c>
      <c r="G241">
        <v>34</v>
      </c>
      <c r="H241">
        <v>65</v>
      </c>
      <c r="I241">
        <v>43</v>
      </c>
      <c r="J241">
        <v>6</v>
      </c>
      <c r="K241">
        <v>2</v>
      </c>
      <c r="L241">
        <v>1047480053</v>
      </c>
      <c r="M241">
        <v>98</v>
      </c>
      <c r="N241" t="s">
        <v>94</v>
      </c>
      <c r="O241" t="s">
        <v>45</v>
      </c>
      <c r="P241">
        <v>80</v>
      </c>
      <c r="Q241">
        <v>23</v>
      </c>
      <c r="R241" t="str" cm="1">
        <f t="array" ref="R241">_xlfn.IFS(Q241&gt;70,"Good",Q241&lt;40,"Bad",(Q241&gt;OS279*(Q241&lt;80)),"Ok")</f>
        <v>Bad</v>
      </c>
      <c r="S241">
        <v>48</v>
      </c>
      <c r="T241" t="str" cm="1">
        <f t="array" ref="T241">_xlfn.IFS(S241&gt;50, "High", S241&lt;=50, "Low")</f>
        <v>Low</v>
      </c>
      <c r="U241">
        <v>14</v>
      </c>
      <c r="V241">
        <v>0</v>
      </c>
      <c r="W241">
        <v>6</v>
      </c>
      <c r="X241">
        <v>5</v>
      </c>
      <c r="Y241">
        <f t="shared" ca="1" si="3"/>
        <v>2.6184105287894388</v>
      </c>
    </row>
    <row r="242" spans="1:25" x14ac:dyDescent="0.3">
      <c r="A242" t="s">
        <v>623</v>
      </c>
      <c r="B242" t="s">
        <v>624</v>
      </c>
      <c r="C242">
        <v>1</v>
      </c>
      <c r="D242" s="1">
        <v>44953</v>
      </c>
      <c r="E242">
        <v>984</v>
      </c>
      <c r="F242">
        <v>5</v>
      </c>
      <c r="G242">
        <v>8</v>
      </c>
      <c r="H242">
        <v>57</v>
      </c>
      <c r="I242">
        <v>76</v>
      </c>
      <c r="J242">
        <v>2</v>
      </c>
      <c r="K242">
        <v>49</v>
      </c>
      <c r="L242">
        <v>153454328</v>
      </c>
      <c r="M242">
        <v>154</v>
      </c>
      <c r="N242" t="s">
        <v>65</v>
      </c>
      <c r="O242" t="s">
        <v>28</v>
      </c>
      <c r="P242">
        <v>59</v>
      </c>
      <c r="Q242">
        <v>63</v>
      </c>
      <c r="R242" t="str" cm="1">
        <f t="array" ref="R242">_xlfn.IFS(Q242&gt;70,"Good",Q242&lt;40,"Bad",(Q242&gt;OS280*(Q242&lt;80)),"Ok")</f>
        <v>Ok</v>
      </c>
      <c r="S242">
        <v>89</v>
      </c>
      <c r="T242" t="str" cm="1">
        <f t="array" ref="T242">_xlfn.IFS(S242&gt;50, "High", S242&lt;=50, "Low")</f>
        <v>High</v>
      </c>
      <c r="U242">
        <v>18</v>
      </c>
      <c r="V242">
        <v>0</v>
      </c>
      <c r="W242">
        <v>80</v>
      </c>
      <c r="X242">
        <v>9</v>
      </c>
      <c r="Y242">
        <f t="shared" ca="1" si="3"/>
        <v>25.514566562015982</v>
      </c>
    </row>
    <row r="243" spans="1:25" x14ac:dyDescent="0.3">
      <c r="A243" t="s">
        <v>625</v>
      </c>
      <c r="B243" t="s">
        <v>626</v>
      </c>
      <c r="C243">
        <v>1</v>
      </c>
      <c r="D243" s="1">
        <v>44971</v>
      </c>
      <c r="E243">
        <v>1240</v>
      </c>
      <c r="F243">
        <v>24</v>
      </c>
      <c r="G243">
        <v>51</v>
      </c>
      <c r="H243">
        <v>29</v>
      </c>
      <c r="I243">
        <v>63</v>
      </c>
      <c r="J243">
        <v>4</v>
      </c>
      <c r="K243">
        <v>54</v>
      </c>
      <c r="L243">
        <v>217672943</v>
      </c>
      <c r="M243">
        <v>120</v>
      </c>
      <c r="N243" t="s">
        <v>37</v>
      </c>
      <c r="O243" t="s">
        <v>28</v>
      </c>
      <c r="P243">
        <v>91</v>
      </c>
      <c r="Q243">
        <v>63</v>
      </c>
      <c r="R243" t="str" cm="1">
        <f t="array" ref="R243">_xlfn.IFS(Q243&gt;70,"Good",Q243&lt;40,"Bad",(Q243&gt;OS281*(Q243&lt;80)),"Ok")</f>
        <v>Ok</v>
      </c>
      <c r="S243">
        <v>58</v>
      </c>
      <c r="T243" t="str" cm="1">
        <f t="array" ref="T243">_xlfn.IFS(S243&gt;50, "High", S243&lt;=50, "Low")</f>
        <v>High</v>
      </c>
      <c r="U243">
        <v>52</v>
      </c>
      <c r="V243">
        <v>0</v>
      </c>
      <c r="W243">
        <v>31</v>
      </c>
      <c r="X243">
        <v>22</v>
      </c>
      <c r="Y243">
        <f t="shared" ca="1" si="3"/>
        <v>48.945306986039803</v>
      </c>
    </row>
    <row r="244" spans="1:25" x14ac:dyDescent="0.3">
      <c r="A244" t="s">
        <v>627</v>
      </c>
      <c r="B244" t="s">
        <v>628</v>
      </c>
      <c r="C244">
        <v>1</v>
      </c>
      <c r="D244" s="1">
        <v>44851</v>
      </c>
      <c r="E244">
        <v>3995</v>
      </c>
      <c r="F244">
        <v>13</v>
      </c>
      <c r="G244">
        <v>72</v>
      </c>
      <c r="H244">
        <v>27</v>
      </c>
      <c r="I244">
        <v>47</v>
      </c>
      <c r="J244">
        <v>0</v>
      </c>
      <c r="K244">
        <v>0</v>
      </c>
      <c r="L244">
        <v>457184829</v>
      </c>
      <c r="M244">
        <v>150</v>
      </c>
      <c r="N244" t="s">
        <v>27</v>
      </c>
      <c r="O244" t="s">
        <v>28</v>
      </c>
      <c r="P244">
        <v>49</v>
      </c>
      <c r="Q244">
        <v>4</v>
      </c>
      <c r="R244" t="str" cm="1">
        <f t="array" ref="R244">_xlfn.IFS(Q244&gt;70,"Good",Q244&lt;40,"Bad",(Q244&gt;OS282*(Q244&lt;80)),"Ok")</f>
        <v>Bad</v>
      </c>
      <c r="S244">
        <v>55</v>
      </c>
      <c r="T244" t="str" cm="1">
        <f t="array" ref="T244">_xlfn.IFS(S244&gt;50, "High", S244&lt;=50, "Low")</f>
        <v>High</v>
      </c>
      <c r="U244">
        <v>7</v>
      </c>
      <c r="V244">
        <v>0</v>
      </c>
      <c r="W244">
        <v>6</v>
      </c>
      <c r="X244">
        <v>3</v>
      </c>
      <c r="Y244">
        <f t="shared" ca="1" si="3"/>
        <v>64.83402141122815</v>
      </c>
    </row>
    <row r="245" spans="1:25" x14ac:dyDescent="0.3">
      <c r="A245" t="s">
        <v>629</v>
      </c>
      <c r="B245" t="s">
        <v>630</v>
      </c>
      <c r="C245">
        <v>1</v>
      </c>
      <c r="D245" s="1">
        <v>42390</v>
      </c>
      <c r="E245">
        <v>7681</v>
      </c>
      <c r="F245">
        <v>13</v>
      </c>
      <c r="G245">
        <v>119</v>
      </c>
      <c r="H245">
        <v>66</v>
      </c>
      <c r="I245" s="2">
        <v>1145</v>
      </c>
      <c r="J245">
        <v>2</v>
      </c>
      <c r="L245">
        <v>939844851</v>
      </c>
      <c r="M245">
        <v>174</v>
      </c>
      <c r="N245" t="s">
        <v>37</v>
      </c>
      <c r="O245" t="s">
        <v>28</v>
      </c>
      <c r="P245">
        <v>47</v>
      </c>
      <c r="Q245">
        <v>27</v>
      </c>
      <c r="R245" t="str" cm="1">
        <f t="array" ref="R245">_xlfn.IFS(Q245&gt;70,"Good",Q245&lt;40,"Bad",(Q245&gt;OS283*(Q245&lt;80)),"Ok")</f>
        <v>Bad</v>
      </c>
      <c r="S245">
        <v>78</v>
      </c>
      <c r="T245" t="str" cm="1">
        <f t="array" ref="T245">_xlfn.IFS(S245&gt;50, "High", S245&lt;=50, "Low")</f>
        <v>High</v>
      </c>
      <c r="U245">
        <v>11</v>
      </c>
      <c r="V245">
        <v>0</v>
      </c>
      <c r="W245">
        <v>10</v>
      </c>
      <c r="X245">
        <v>8</v>
      </c>
      <c r="Y245">
        <f t="shared" ca="1" si="3"/>
        <v>87.765730856215825</v>
      </c>
    </row>
    <row r="246" spans="1:25" x14ac:dyDescent="0.3">
      <c r="A246" t="s">
        <v>631</v>
      </c>
      <c r="B246" t="s">
        <v>632</v>
      </c>
      <c r="C246">
        <v>1</v>
      </c>
      <c r="D246" s="1">
        <v>44440</v>
      </c>
      <c r="E246">
        <v>4427</v>
      </c>
      <c r="F246">
        <v>4</v>
      </c>
      <c r="G246">
        <v>69</v>
      </c>
      <c r="H246">
        <v>100</v>
      </c>
      <c r="I246">
        <v>154</v>
      </c>
      <c r="J246">
        <v>20</v>
      </c>
      <c r="K246">
        <v>438</v>
      </c>
      <c r="L246">
        <v>726434358</v>
      </c>
      <c r="M246">
        <v>202</v>
      </c>
      <c r="N246" t="s">
        <v>181</v>
      </c>
      <c r="O246" t="s">
        <v>28</v>
      </c>
      <c r="P246">
        <v>34</v>
      </c>
      <c r="Q246">
        <v>25</v>
      </c>
      <c r="R246" t="str" cm="1">
        <f t="array" ref="R246">_xlfn.IFS(Q246&gt;70,"Good",Q246&lt;40,"Bad",(Q246&gt;OS284*(Q246&lt;80)),"Ok")</f>
        <v>Bad</v>
      </c>
      <c r="S246">
        <v>51</v>
      </c>
      <c r="T246" t="str" cm="1">
        <f t="array" ref="T246">_xlfn.IFS(S246&gt;50, "High", S246&lt;=50, "Low")</f>
        <v>High</v>
      </c>
      <c r="U246">
        <v>69</v>
      </c>
      <c r="V246">
        <v>0</v>
      </c>
      <c r="W246">
        <v>18</v>
      </c>
      <c r="X246">
        <v>4</v>
      </c>
      <c r="Y246">
        <f t="shared" ca="1" si="3"/>
        <v>89.955425182576803</v>
      </c>
    </row>
    <row r="247" spans="1:25" x14ac:dyDescent="0.3">
      <c r="A247" t="s">
        <v>633</v>
      </c>
      <c r="B247" t="s">
        <v>447</v>
      </c>
      <c r="C247">
        <v>2</v>
      </c>
      <c r="D247" s="1">
        <v>44869</v>
      </c>
      <c r="E247">
        <v>4657</v>
      </c>
      <c r="F247">
        <v>18</v>
      </c>
      <c r="G247">
        <v>84</v>
      </c>
      <c r="H247">
        <v>84</v>
      </c>
      <c r="I247">
        <v>42</v>
      </c>
      <c r="J247">
        <v>0</v>
      </c>
      <c r="K247">
        <v>23</v>
      </c>
      <c r="L247">
        <v>573633020</v>
      </c>
      <c r="M247">
        <v>153</v>
      </c>
      <c r="N247" t="s">
        <v>27</v>
      </c>
      <c r="O247" t="s">
        <v>45</v>
      </c>
      <c r="P247">
        <v>56</v>
      </c>
      <c r="Q247">
        <v>42</v>
      </c>
      <c r="R247" t="str" cm="1">
        <f t="array" ref="R247">_xlfn.IFS(Q247&gt;70,"Good",Q247&lt;40,"Bad",(Q247&gt;OS285*(Q247&lt;80)),"Ok")</f>
        <v>Ok</v>
      </c>
      <c r="S247">
        <v>52</v>
      </c>
      <c r="T247" t="str" cm="1">
        <f t="array" ref="T247">_xlfn.IFS(S247&gt;50, "High", S247&lt;=50, "Low")</f>
        <v>High</v>
      </c>
      <c r="U247">
        <v>5</v>
      </c>
      <c r="V247">
        <v>0</v>
      </c>
      <c r="W247">
        <v>36</v>
      </c>
      <c r="X247">
        <v>24</v>
      </c>
      <c r="Y247">
        <f t="shared" ca="1" si="3"/>
        <v>91.908770547307626</v>
      </c>
    </row>
    <row r="248" spans="1:25" x14ac:dyDescent="0.3">
      <c r="A248" t="s">
        <v>634</v>
      </c>
      <c r="B248" t="s">
        <v>336</v>
      </c>
      <c r="C248">
        <v>1</v>
      </c>
      <c r="D248" s="1">
        <v>44483</v>
      </c>
      <c r="E248">
        <v>10195</v>
      </c>
      <c r="F248">
        <v>20</v>
      </c>
      <c r="G248">
        <v>258</v>
      </c>
      <c r="H248">
        <v>87</v>
      </c>
      <c r="I248">
        <v>657</v>
      </c>
      <c r="J248">
        <v>22</v>
      </c>
      <c r="K248">
        <v>9</v>
      </c>
      <c r="L248">
        <v>1406111294</v>
      </c>
      <c r="M248">
        <v>142</v>
      </c>
      <c r="N248" t="s">
        <v>34</v>
      </c>
      <c r="O248" t="s">
        <v>28</v>
      </c>
      <c r="P248">
        <v>60</v>
      </c>
      <c r="Q248">
        <v>13</v>
      </c>
      <c r="R248" t="str" cm="1">
        <f t="array" ref="R248">_xlfn.IFS(Q248&gt;70,"Good",Q248&lt;40,"Bad",(Q248&gt;OS286*(Q248&lt;80)),"Ok")</f>
        <v>Bad</v>
      </c>
      <c r="S248">
        <v>37</v>
      </c>
      <c r="T248" t="str" cm="1">
        <f t="array" ref="T248">_xlfn.IFS(S248&gt;50, "High", S248&lt;=50, "Low")</f>
        <v>Low</v>
      </c>
      <c r="U248">
        <v>58</v>
      </c>
      <c r="V248">
        <v>0</v>
      </c>
      <c r="W248">
        <v>13</v>
      </c>
      <c r="X248">
        <v>3</v>
      </c>
      <c r="Y248">
        <f t="shared" ca="1" si="3"/>
        <v>52.85917183088479</v>
      </c>
    </row>
    <row r="249" spans="1:25" x14ac:dyDescent="0.3">
      <c r="A249" t="s">
        <v>635</v>
      </c>
      <c r="B249" t="s">
        <v>636</v>
      </c>
      <c r="C249">
        <v>2</v>
      </c>
      <c r="D249" s="1">
        <v>45057</v>
      </c>
      <c r="E249">
        <v>269</v>
      </c>
      <c r="F249">
        <v>4</v>
      </c>
      <c r="G249">
        <v>7</v>
      </c>
      <c r="H249">
        <v>2</v>
      </c>
      <c r="I249">
        <v>30</v>
      </c>
      <c r="J249">
        <v>1</v>
      </c>
      <c r="K249">
        <v>11</v>
      </c>
      <c r="L249">
        <v>71573339</v>
      </c>
      <c r="M249">
        <v>108</v>
      </c>
      <c r="N249" t="s">
        <v>37</v>
      </c>
      <c r="O249" t="s">
        <v>45</v>
      </c>
      <c r="P249">
        <v>84</v>
      </c>
      <c r="Q249">
        <v>55</v>
      </c>
      <c r="R249" t="str" cm="1">
        <f t="array" ref="R249">_xlfn.IFS(Q249&gt;70,"Good",Q249&lt;40,"Bad",(Q249&gt;OS287*(Q249&lt;80)),"Ok")</f>
        <v>Ok</v>
      </c>
      <c r="S249">
        <v>47</v>
      </c>
      <c r="T249" t="str" cm="1">
        <f t="array" ref="T249">_xlfn.IFS(S249&gt;50, "High", S249&lt;=50, "Low")</f>
        <v>Low</v>
      </c>
      <c r="U249">
        <v>26</v>
      </c>
      <c r="V249">
        <v>0</v>
      </c>
      <c r="W249">
        <v>20</v>
      </c>
      <c r="X249">
        <v>64</v>
      </c>
      <c r="Y249">
        <f t="shared" ca="1" si="3"/>
        <v>79.084369635488855</v>
      </c>
    </row>
    <row r="250" spans="1:25" x14ac:dyDescent="0.3">
      <c r="A250" t="s">
        <v>637</v>
      </c>
      <c r="B250" t="s">
        <v>638</v>
      </c>
      <c r="C250">
        <v>2</v>
      </c>
      <c r="D250" s="1">
        <v>45079</v>
      </c>
      <c r="E250">
        <v>214</v>
      </c>
      <c r="F250">
        <v>0</v>
      </c>
      <c r="G250">
        <v>3</v>
      </c>
      <c r="H250">
        <v>3</v>
      </c>
      <c r="I250">
        <v>6</v>
      </c>
      <c r="J250">
        <v>0</v>
      </c>
      <c r="K250">
        <v>0</v>
      </c>
      <c r="L250">
        <v>24975653</v>
      </c>
      <c r="M250">
        <v>143</v>
      </c>
      <c r="N250" t="s">
        <v>27</v>
      </c>
      <c r="O250" t="s">
        <v>28</v>
      </c>
      <c r="P250">
        <v>83</v>
      </c>
      <c r="Q250">
        <v>25</v>
      </c>
      <c r="R250" t="str" cm="1">
        <f t="array" ref="R250">_xlfn.IFS(Q250&gt;70,"Good",Q250&lt;40,"Bad",(Q250&gt;OS288*(Q250&lt;80)),"Ok")</f>
        <v>Bad</v>
      </c>
      <c r="S250">
        <v>69</v>
      </c>
      <c r="T250" t="str" cm="1">
        <f t="array" ref="T250">_xlfn.IFS(S250&gt;50, "High", S250&lt;=50, "Low")</f>
        <v>High</v>
      </c>
      <c r="U250">
        <v>4</v>
      </c>
      <c r="V250">
        <v>0</v>
      </c>
      <c r="W250">
        <v>23</v>
      </c>
      <c r="X250">
        <v>12</v>
      </c>
      <c r="Y250">
        <f t="shared" ca="1" si="3"/>
        <v>25.700600614606962</v>
      </c>
    </row>
    <row r="251" spans="1:25" x14ac:dyDescent="0.3">
      <c r="A251" t="s">
        <v>639</v>
      </c>
      <c r="B251" t="s">
        <v>640</v>
      </c>
      <c r="C251">
        <v>1</v>
      </c>
      <c r="D251" s="1">
        <v>44971</v>
      </c>
      <c r="E251">
        <v>845</v>
      </c>
      <c r="F251">
        <v>2</v>
      </c>
      <c r="G251">
        <v>12</v>
      </c>
      <c r="H251">
        <v>57</v>
      </c>
      <c r="I251">
        <v>47</v>
      </c>
      <c r="J251">
        <v>1</v>
      </c>
      <c r="K251">
        <v>33</v>
      </c>
      <c r="L251">
        <v>145458418</v>
      </c>
      <c r="M251">
        <v>108</v>
      </c>
      <c r="N251" t="s">
        <v>61</v>
      </c>
      <c r="O251" t="s">
        <v>28</v>
      </c>
      <c r="P251">
        <v>67</v>
      </c>
      <c r="Q251">
        <v>55</v>
      </c>
      <c r="R251" t="str" cm="1">
        <f t="array" ref="R251">_xlfn.IFS(Q251&gt;70,"Good",Q251&lt;40,"Bad",(Q251&gt;OS289*(Q251&lt;80)),"Ok")</f>
        <v>Ok</v>
      </c>
      <c r="S251">
        <v>67</v>
      </c>
      <c r="T251" t="str" cm="1">
        <f t="array" ref="T251">_xlfn.IFS(S251&gt;50, "High", S251&lt;=50, "Low")</f>
        <v>High</v>
      </c>
      <c r="U251">
        <v>60</v>
      </c>
      <c r="V251">
        <v>0</v>
      </c>
      <c r="W251">
        <v>80</v>
      </c>
      <c r="X251">
        <v>5</v>
      </c>
      <c r="Y251">
        <f t="shared" ca="1" si="3"/>
        <v>43.551170740452584</v>
      </c>
    </row>
    <row r="252" spans="1:25" x14ac:dyDescent="0.3">
      <c r="A252" t="s">
        <v>225</v>
      </c>
      <c r="B252" t="s">
        <v>321</v>
      </c>
      <c r="C252">
        <v>1</v>
      </c>
      <c r="D252" s="1">
        <v>36526</v>
      </c>
      <c r="E252">
        <v>20763</v>
      </c>
      <c r="F252">
        <v>27</v>
      </c>
      <c r="G252">
        <v>81</v>
      </c>
      <c r="H252">
        <v>53</v>
      </c>
      <c r="I252" s="2">
        <v>3271</v>
      </c>
      <c r="J252">
        <v>1</v>
      </c>
      <c r="K252">
        <v>17</v>
      </c>
      <c r="L252">
        <v>1424589568</v>
      </c>
      <c r="M252">
        <v>104</v>
      </c>
      <c r="N252" t="s">
        <v>34</v>
      </c>
      <c r="O252" t="s">
        <v>45</v>
      </c>
      <c r="P252">
        <v>95</v>
      </c>
      <c r="Q252">
        <v>78</v>
      </c>
      <c r="R252" t="str" cm="1">
        <f t="array" ref="R252">_xlfn.IFS(Q252&gt;70,"Good",Q252&lt;40,"Bad",(Q252&gt;OS290*(Q252&lt;80)),"Ok")</f>
        <v>Good</v>
      </c>
      <c r="S252">
        <v>66</v>
      </c>
      <c r="T252" t="str" cm="1">
        <f t="array" ref="T252">_xlfn.IFS(S252&gt;50, "High", S252&lt;=50, "Low")</f>
        <v>High</v>
      </c>
      <c r="U252">
        <v>3</v>
      </c>
      <c r="V252">
        <v>0</v>
      </c>
      <c r="W252">
        <v>4</v>
      </c>
      <c r="X252">
        <v>6</v>
      </c>
      <c r="Y252">
        <f t="shared" ca="1" si="3"/>
        <v>94.869484465859259</v>
      </c>
    </row>
    <row r="253" spans="1:25" x14ac:dyDescent="0.3">
      <c r="A253" t="s">
        <v>141</v>
      </c>
      <c r="B253" t="s">
        <v>641</v>
      </c>
      <c r="C253">
        <v>3</v>
      </c>
      <c r="D253" s="1">
        <v>44911</v>
      </c>
      <c r="E253">
        <v>1267</v>
      </c>
      <c r="F253">
        <v>20</v>
      </c>
      <c r="G253">
        <v>41</v>
      </c>
      <c r="H253">
        <v>22</v>
      </c>
      <c r="I253">
        <v>56</v>
      </c>
      <c r="J253">
        <v>4</v>
      </c>
      <c r="K253">
        <v>84</v>
      </c>
      <c r="L253">
        <v>231332117</v>
      </c>
      <c r="M253">
        <v>93</v>
      </c>
      <c r="N253" t="s">
        <v>65</v>
      </c>
      <c r="O253" t="s">
        <v>45</v>
      </c>
      <c r="P253">
        <v>84</v>
      </c>
      <c r="Q253">
        <v>96</v>
      </c>
      <c r="R253" t="str" cm="1">
        <f t="array" ref="R253">_xlfn.IFS(Q253&gt;70,"Good",Q253&lt;40,"Bad",(Q253&gt;OS291*(Q253&lt;80)),"Ok")</f>
        <v>Good</v>
      </c>
      <c r="S253">
        <v>79</v>
      </c>
      <c r="T253" t="str" cm="1">
        <f t="array" ref="T253">_xlfn.IFS(S253&gt;50, "High", S253&lt;=50, "Low")</f>
        <v>High</v>
      </c>
      <c r="U253">
        <v>43</v>
      </c>
      <c r="V253">
        <v>0</v>
      </c>
      <c r="W253">
        <v>18</v>
      </c>
      <c r="X253">
        <v>11</v>
      </c>
      <c r="Y253">
        <f t="shared" ca="1" si="3"/>
        <v>82.070558404420552</v>
      </c>
    </row>
    <row r="254" spans="1:25" x14ac:dyDescent="0.3">
      <c r="A254" t="s">
        <v>642</v>
      </c>
      <c r="B254" t="s">
        <v>643</v>
      </c>
      <c r="C254">
        <v>1</v>
      </c>
      <c r="D254" s="1">
        <v>44540</v>
      </c>
      <c r="E254">
        <v>2585</v>
      </c>
      <c r="F254">
        <v>32</v>
      </c>
      <c r="G254">
        <v>3</v>
      </c>
      <c r="H254">
        <v>79</v>
      </c>
      <c r="I254">
        <v>21</v>
      </c>
      <c r="J254">
        <v>1</v>
      </c>
      <c r="K254">
        <v>54</v>
      </c>
      <c r="L254">
        <v>415932686</v>
      </c>
      <c r="M254">
        <v>105</v>
      </c>
      <c r="N254" t="s">
        <v>65</v>
      </c>
      <c r="O254" t="s">
        <v>45</v>
      </c>
      <c r="P254">
        <v>65</v>
      </c>
      <c r="Q254">
        <v>46</v>
      </c>
      <c r="R254" t="str" cm="1">
        <f t="array" ref="R254">_xlfn.IFS(Q254&gt;70,"Good",Q254&lt;40,"Bad",(Q254&gt;OS292*(Q254&lt;80)),"Ok")</f>
        <v>Ok</v>
      </c>
      <c r="S254">
        <v>53</v>
      </c>
      <c r="T254" t="str" cm="1">
        <f t="array" ref="T254">_xlfn.IFS(S254&gt;50, "High", S254&lt;=50, "Low")</f>
        <v>High</v>
      </c>
      <c r="U254">
        <v>16</v>
      </c>
      <c r="V254">
        <v>0</v>
      </c>
      <c r="W254">
        <v>9</v>
      </c>
      <c r="X254">
        <v>5</v>
      </c>
      <c r="Y254">
        <f t="shared" ca="1" si="3"/>
        <v>43.867925531284534</v>
      </c>
    </row>
    <row r="255" spans="1:25" x14ac:dyDescent="0.3">
      <c r="A255" t="s">
        <v>644</v>
      </c>
      <c r="B255" t="s">
        <v>645</v>
      </c>
      <c r="C255">
        <v>1</v>
      </c>
      <c r="D255" s="1">
        <v>44722</v>
      </c>
      <c r="E255">
        <v>6330</v>
      </c>
      <c r="F255">
        <v>6</v>
      </c>
      <c r="G255">
        <v>109</v>
      </c>
      <c r="H255">
        <v>42</v>
      </c>
      <c r="I255">
        <v>158</v>
      </c>
      <c r="J255">
        <v>3</v>
      </c>
      <c r="K255">
        <v>31</v>
      </c>
      <c r="L255">
        <v>988515741</v>
      </c>
      <c r="M255">
        <v>170</v>
      </c>
      <c r="N255" t="s">
        <v>81</v>
      </c>
      <c r="O255" t="s">
        <v>28</v>
      </c>
      <c r="P255">
        <v>44</v>
      </c>
      <c r="Q255">
        <v>27</v>
      </c>
      <c r="R255" t="str" cm="1">
        <f t="array" ref="R255">_xlfn.IFS(Q255&gt;70,"Good",Q255&lt;40,"Bad",(Q255&gt;OS293*(Q255&lt;80)),"Ok")</f>
        <v>Bad</v>
      </c>
      <c r="S255">
        <v>32</v>
      </c>
      <c r="T255" t="str" cm="1">
        <f t="array" ref="T255">_xlfn.IFS(S255&gt;50, "High", S255&lt;=50, "Low")</f>
        <v>Low</v>
      </c>
      <c r="U255">
        <v>89</v>
      </c>
      <c r="V255">
        <v>0</v>
      </c>
      <c r="W255">
        <v>14</v>
      </c>
      <c r="X255">
        <v>5</v>
      </c>
      <c r="Y255">
        <f t="shared" ca="1" si="3"/>
        <v>55.784068602192526</v>
      </c>
    </row>
    <row r="256" spans="1:25" x14ac:dyDescent="0.3">
      <c r="A256" t="s">
        <v>646</v>
      </c>
      <c r="B256" t="s">
        <v>647</v>
      </c>
      <c r="C256">
        <v>3</v>
      </c>
      <c r="D256" s="1">
        <v>45050</v>
      </c>
      <c r="E256">
        <v>675</v>
      </c>
      <c r="F256">
        <v>1</v>
      </c>
      <c r="G256">
        <v>9</v>
      </c>
      <c r="H256">
        <v>13</v>
      </c>
      <c r="I256">
        <v>11</v>
      </c>
      <c r="J256">
        <v>0</v>
      </c>
      <c r="K256">
        <v>1</v>
      </c>
      <c r="L256">
        <v>50847624</v>
      </c>
      <c r="M256">
        <v>178</v>
      </c>
      <c r="N256" t="s">
        <v>31</v>
      </c>
      <c r="O256" t="s">
        <v>45</v>
      </c>
      <c r="P256">
        <v>62</v>
      </c>
      <c r="Q256">
        <v>56</v>
      </c>
      <c r="R256" t="str" cm="1">
        <f t="array" ref="R256">_xlfn.IFS(Q256&gt;70,"Good",Q256&lt;40,"Bad",(Q256&gt;OS294*(Q256&lt;80)),"Ok")</f>
        <v>Ok</v>
      </c>
      <c r="S256">
        <v>66</v>
      </c>
      <c r="T256" t="str" cm="1">
        <f t="array" ref="T256">_xlfn.IFS(S256&gt;50, "High", S256&lt;=50, "Low")</f>
        <v>High</v>
      </c>
      <c r="U256">
        <v>18</v>
      </c>
      <c r="V256">
        <v>0</v>
      </c>
      <c r="W256">
        <v>12</v>
      </c>
      <c r="X256">
        <v>5</v>
      </c>
      <c r="Y256">
        <f t="shared" ca="1" si="3"/>
        <v>19.688351293319961</v>
      </c>
    </row>
    <row r="257" spans="1:25" x14ac:dyDescent="0.3">
      <c r="A257" t="s">
        <v>648</v>
      </c>
      <c r="B257" t="s">
        <v>405</v>
      </c>
      <c r="C257">
        <v>1</v>
      </c>
      <c r="D257" s="1">
        <v>45051</v>
      </c>
      <c r="E257">
        <v>715</v>
      </c>
      <c r="F257">
        <v>0</v>
      </c>
      <c r="G257">
        <v>37</v>
      </c>
      <c r="H257">
        <v>3</v>
      </c>
      <c r="I257">
        <v>27</v>
      </c>
      <c r="J257">
        <v>0</v>
      </c>
      <c r="K257">
        <v>50</v>
      </c>
      <c r="L257">
        <v>39893489</v>
      </c>
      <c r="M257">
        <v>176</v>
      </c>
      <c r="N257" t="s">
        <v>65</v>
      </c>
      <c r="O257" t="s">
        <v>45</v>
      </c>
      <c r="P257">
        <v>50</v>
      </c>
      <c r="Q257">
        <v>44</v>
      </c>
      <c r="R257" t="str" cm="1">
        <f t="array" ref="R257">_xlfn.IFS(Q257&gt;70,"Good",Q257&lt;40,"Bad",(Q257&gt;OS295*(Q257&lt;80)),"Ok")</f>
        <v>Ok</v>
      </c>
      <c r="S257">
        <v>76</v>
      </c>
      <c r="T257" t="str" cm="1">
        <f t="array" ref="T257">_xlfn.IFS(S257&gt;50, "High", S257&lt;=50, "Low")</f>
        <v>High</v>
      </c>
      <c r="U257">
        <v>10</v>
      </c>
      <c r="V257">
        <v>0</v>
      </c>
      <c r="W257">
        <v>32</v>
      </c>
      <c r="X257">
        <v>5</v>
      </c>
      <c r="Y257">
        <f t="shared" ca="1" si="3"/>
        <v>16.589212476755598</v>
      </c>
    </row>
    <row r="258" spans="1:25" x14ac:dyDescent="0.3">
      <c r="A258" t="s">
        <v>649</v>
      </c>
      <c r="B258" t="s">
        <v>650</v>
      </c>
      <c r="C258">
        <v>2</v>
      </c>
      <c r="D258" s="1">
        <v>45047</v>
      </c>
      <c r="E258">
        <v>327</v>
      </c>
      <c r="F258">
        <v>13</v>
      </c>
      <c r="G258">
        <v>14</v>
      </c>
      <c r="H258">
        <v>110</v>
      </c>
      <c r="I258">
        <v>9</v>
      </c>
      <c r="J258">
        <v>0</v>
      </c>
      <c r="K258">
        <v>49</v>
      </c>
      <c r="L258">
        <v>92035115</v>
      </c>
      <c r="M258">
        <v>104</v>
      </c>
      <c r="N258" t="s">
        <v>134</v>
      </c>
      <c r="O258" t="s">
        <v>45</v>
      </c>
      <c r="P258">
        <v>80</v>
      </c>
      <c r="Q258">
        <v>38</v>
      </c>
      <c r="R258" t="str" cm="1">
        <f t="array" ref="R258">_xlfn.IFS(Q258&gt;70,"Good",Q258&lt;40,"Bad",(Q258&gt;OS296*(Q258&lt;80)),"Ok")</f>
        <v>Bad</v>
      </c>
      <c r="S258">
        <v>88</v>
      </c>
      <c r="T258" t="str" cm="1">
        <f t="array" ref="T258">_xlfn.IFS(S258&gt;50, "High", S258&lt;=50, "Low")</f>
        <v>High</v>
      </c>
      <c r="U258">
        <v>11</v>
      </c>
      <c r="V258">
        <v>0</v>
      </c>
      <c r="W258">
        <v>11</v>
      </c>
      <c r="X258">
        <v>5</v>
      </c>
      <c r="Y258">
        <f t="shared" ref="Y258:Y321" ca="1" si="4">RAND()*100</f>
        <v>25.185716279616845</v>
      </c>
    </row>
    <row r="259" spans="1:25" x14ac:dyDescent="0.3">
      <c r="A259" t="s">
        <v>211</v>
      </c>
      <c r="B259" t="s">
        <v>651</v>
      </c>
      <c r="C259">
        <v>1</v>
      </c>
      <c r="D259" s="1">
        <v>45037</v>
      </c>
      <c r="E259">
        <v>244</v>
      </c>
      <c r="F259">
        <v>12</v>
      </c>
      <c r="G259">
        <v>6</v>
      </c>
      <c r="H259">
        <v>84</v>
      </c>
      <c r="I259">
        <v>10</v>
      </c>
      <c r="J259">
        <v>2</v>
      </c>
      <c r="K259">
        <v>9</v>
      </c>
      <c r="L259">
        <v>118810253</v>
      </c>
      <c r="M259">
        <v>85</v>
      </c>
      <c r="N259" t="s">
        <v>94</v>
      </c>
      <c r="O259" t="s">
        <v>28</v>
      </c>
      <c r="P259">
        <v>70</v>
      </c>
      <c r="Q259">
        <v>83</v>
      </c>
      <c r="R259" t="str" cm="1">
        <f t="array" ref="R259">_xlfn.IFS(Q259&gt;70,"Good",Q259&lt;40,"Bad",(Q259&gt;OS297*(Q259&lt;80)),"Ok")</f>
        <v>Good</v>
      </c>
      <c r="S259">
        <v>84</v>
      </c>
      <c r="T259" t="str" cm="1">
        <f t="array" ref="T259">_xlfn.IFS(S259&gt;50, "High", S259&lt;=50, "Low")</f>
        <v>High</v>
      </c>
      <c r="U259">
        <v>31</v>
      </c>
      <c r="V259">
        <v>0</v>
      </c>
      <c r="W259">
        <v>47</v>
      </c>
      <c r="X259">
        <v>30</v>
      </c>
      <c r="Y259">
        <f t="shared" ca="1" si="4"/>
        <v>6.2236216897029077</v>
      </c>
    </row>
    <row r="260" spans="1:25" x14ac:dyDescent="0.3">
      <c r="A260" t="s">
        <v>652</v>
      </c>
      <c r="B260" t="s">
        <v>653</v>
      </c>
      <c r="C260">
        <v>2</v>
      </c>
      <c r="D260" s="1">
        <v>45046</v>
      </c>
      <c r="E260">
        <v>385</v>
      </c>
      <c r="F260">
        <v>4</v>
      </c>
      <c r="G260">
        <v>17</v>
      </c>
      <c r="H260">
        <v>7</v>
      </c>
      <c r="I260">
        <v>41</v>
      </c>
      <c r="J260">
        <v>1</v>
      </c>
      <c r="K260">
        <v>29</v>
      </c>
      <c r="L260">
        <v>77233241</v>
      </c>
      <c r="M260">
        <v>117</v>
      </c>
      <c r="N260" t="s">
        <v>65</v>
      </c>
      <c r="O260" t="s">
        <v>45</v>
      </c>
      <c r="P260">
        <v>77</v>
      </c>
      <c r="Q260">
        <v>69</v>
      </c>
      <c r="R260" t="str" cm="1">
        <f t="array" ref="R260">_xlfn.IFS(Q260&gt;70,"Good",Q260&lt;40,"Bad",(Q260&gt;OS298*(Q260&lt;80)),"Ok")</f>
        <v>Ok</v>
      </c>
      <c r="S260">
        <v>58</v>
      </c>
      <c r="T260" t="str" cm="1">
        <f t="array" ref="T260">_xlfn.IFS(S260&gt;50, "High", S260&lt;=50, "Low")</f>
        <v>High</v>
      </c>
      <c r="U260">
        <v>39</v>
      </c>
      <c r="V260">
        <v>0</v>
      </c>
      <c r="W260">
        <v>26</v>
      </c>
      <c r="X260">
        <v>5</v>
      </c>
      <c r="Y260">
        <f t="shared" ca="1" si="4"/>
        <v>54.631605590355569</v>
      </c>
    </row>
    <row r="261" spans="1:25" x14ac:dyDescent="0.3">
      <c r="A261" t="s">
        <v>654</v>
      </c>
      <c r="B261" t="s">
        <v>187</v>
      </c>
      <c r="C261">
        <v>1</v>
      </c>
      <c r="D261" s="1">
        <v>44981</v>
      </c>
      <c r="E261">
        <v>1020</v>
      </c>
      <c r="F261">
        <v>35</v>
      </c>
      <c r="G261">
        <v>15</v>
      </c>
      <c r="H261">
        <v>26</v>
      </c>
      <c r="I261">
        <v>30</v>
      </c>
      <c r="J261">
        <v>6</v>
      </c>
      <c r="K261">
        <v>0</v>
      </c>
      <c r="L261">
        <v>206399629</v>
      </c>
      <c r="M261">
        <v>80</v>
      </c>
      <c r="O261" t="s">
        <v>28</v>
      </c>
      <c r="P261">
        <v>52</v>
      </c>
      <c r="Q261">
        <v>57</v>
      </c>
      <c r="R261" t="str" cm="1">
        <f t="array" ref="R261">_xlfn.IFS(Q261&gt;70,"Good",Q261&lt;40,"Bad",(Q261&gt;OS299*(Q261&lt;80)),"Ok")</f>
        <v>Ok</v>
      </c>
      <c r="S261">
        <v>48</v>
      </c>
      <c r="T261" t="str" cm="1">
        <f t="array" ref="T261">_xlfn.IFS(S261&gt;50, "High", S261&lt;=50, "Low")</f>
        <v>Low</v>
      </c>
      <c r="U261">
        <v>86</v>
      </c>
      <c r="V261">
        <v>0</v>
      </c>
      <c r="W261">
        <v>15</v>
      </c>
      <c r="X261">
        <v>39</v>
      </c>
      <c r="Y261">
        <f t="shared" ca="1" si="4"/>
        <v>90.793763047283335</v>
      </c>
    </row>
    <row r="262" spans="1:25" x14ac:dyDescent="0.3">
      <c r="A262" t="s">
        <v>655</v>
      </c>
      <c r="B262" t="s">
        <v>656</v>
      </c>
      <c r="C262">
        <v>1</v>
      </c>
      <c r="D262" s="1">
        <v>45023</v>
      </c>
      <c r="E262">
        <v>1730</v>
      </c>
      <c r="F262">
        <v>3</v>
      </c>
      <c r="G262">
        <v>46</v>
      </c>
      <c r="H262">
        <v>5</v>
      </c>
      <c r="I262">
        <v>51</v>
      </c>
      <c r="J262">
        <v>0</v>
      </c>
      <c r="K262">
        <v>20</v>
      </c>
      <c r="L262">
        <v>117747907</v>
      </c>
      <c r="M262">
        <v>98</v>
      </c>
      <c r="N262" t="s">
        <v>34</v>
      </c>
      <c r="O262" t="s">
        <v>28</v>
      </c>
      <c r="P262">
        <v>44</v>
      </c>
      <c r="Q262">
        <v>36</v>
      </c>
      <c r="R262" t="str" cm="1">
        <f t="array" ref="R262">_xlfn.IFS(Q262&gt;70,"Good",Q262&lt;40,"Bad",(Q262&gt;OS300*(Q262&lt;80)),"Ok")</f>
        <v>Bad</v>
      </c>
      <c r="S262">
        <v>41</v>
      </c>
      <c r="T262" t="str" cm="1">
        <f t="array" ref="T262">_xlfn.IFS(S262&gt;50, "High", S262&lt;=50, "Low")</f>
        <v>Low</v>
      </c>
      <c r="U262">
        <v>50</v>
      </c>
      <c r="V262">
        <v>0</v>
      </c>
      <c r="W262">
        <v>38</v>
      </c>
      <c r="X262">
        <v>5</v>
      </c>
      <c r="Y262">
        <f t="shared" ca="1" si="4"/>
        <v>96.903644648707925</v>
      </c>
    </row>
    <row r="263" spans="1:25" x14ac:dyDescent="0.3">
      <c r="A263" t="s">
        <v>657</v>
      </c>
      <c r="B263" t="s">
        <v>658</v>
      </c>
      <c r="C263">
        <v>2</v>
      </c>
      <c r="D263" s="1">
        <v>44959</v>
      </c>
      <c r="E263">
        <v>2127</v>
      </c>
      <c r="F263">
        <v>33</v>
      </c>
      <c r="G263">
        <v>45</v>
      </c>
      <c r="H263">
        <v>80</v>
      </c>
      <c r="I263">
        <v>53</v>
      </c>
      <c r="J263">
        <v>8</v>
      </c>
      <c r="K263">
        <v>4</v>
      </c>
      <c r="L263">
        <v>266624541</v>
      </c>
      <c r="M263">
        <v>178</v>
      </c>
      <c r="N263" t="s">
        <v>31</v>
      </c>
      <c r="O263" t="s">
        <v>45</v>
      </c>
      <c r="P263">
        <v>79</v>
      </c>
      <c r="Q263">
        <v>58</v>
      </c>
      <c r="R263" t="str" cm="1">
        <f t="array" ref="R263">_xlfn.IFS(Q263&gt;70,"Good",Q263&lt;40,"Bad",(Q263&gt;OS301*(Q263&lt;80)),"Ok")</f>
        <v>Ok</v>
      </c>
      <c r="S263">
        <v>78</v>
      </c>
      <c r="T263" t="str" cm="1">
        <f t="array" ref="T263">_xlfn.IFS(S263&gt;50, "High", S263&lt;=50, "Low")</f>
        <v>High</v>
      </c>
      <c r="U263">
        <v>34</v>
      </c>
      <c r="V263">
        <v>0</v>
      </c>
      <c r="W263">
        <v>11</v>
      </c>
      <c r="X263">
        <v>25</v>
      </c>
      <c r="Y263">
        <f t="shared" ca="1" si="4"/>
        <v>71.586744014015508</v>
      </c>
    </row>
    <row r="264" spans="1:25" x14ac:dyDescent="0.3">
      <c r="A264" t="s">
        <v>659</v>
      </c>
      <c r="B264" t="s">
        <v>660</v>
      </c>
      <c r="C264">
        <v>1</v>
      </c>
      <c r="D264" s="1">
        <v>44659</v>
      </c>
      <c r="E264">
        <v>3242</v>
      </c>
      <c r="F264">
        <v>9</v>
      </c>
      <c r="G264">
        <v>67</v>
      </c>
      <c r="H264">
        <v>55</v>
      </c>
      <c r="I264">
        <v>48</v>
      </c>
      <c r="J264">
        <v>0</v>
      </c>
      <c r="K264">
        <v>6</v>
      </c>
      <c r="L264">
        <v>293186992</v>
      </c>
      <c r="M264">
        <v>148</v>
      </c>
      <c r="N264" t="s">
        <v>37</v>
      </c>
      <c r="O264" t="s">
        <v>28</v>
      </c>
      <c r="P264">
        <v>51</v>
      </c>
      <c r="Q264">
        <v>27</v>
      </c>
      <c r="R264" t="str" cm="1">
        <f t="array" ref="R264">_xlfn.IFS(Q264&gt;70,"Good",Q264&lt;40,"Bad",(Q264&gt;OS302*(Q264&lt;80)),"Ok")</f>
        <v>Bad</v>
      </c>
      <c r="S264">
        <v>33</v>
      </c>
      <c r="T264" t="str" cm="1">
        <f t="array" ref="T264">_xlfn.IFS(S264&gt;50, "High", S264&lt;=50, "Low")</f>
        <v>Low</v>
      </c>
      <c r="U264">
        <v>48</v>
      </c>
      <c r="V264">
        <v>0</v>
      </c>
      <c r="W264">
        <v>22</v>
      </c>
      <c r="X264">
        <v>3</v>
      </c>
      <c r="Y264">
        <f t="shared" ca="1" si="4"/>
        <v>18.05603329881318</v>
      </c>
    </row>
    <row r="265" spans="1:25" x14ac:dyDescent="0.3">
      <c r="A265" t="s">
        <v>469</v>
      </c>
      <c r="B265" t="s">
        <v>84</v>
      </c>
      <c r="C265">
        <v>1</v>
      </c>
      <c r="D265" s="1">
        <v>44981</v>
      </c>
      <c r="E265">
        <v>526</v>
      </c>
      <c r="F265">
        <v>10</v>
      </c>
      <c r="G265">
        <v>15</v>
      </c>
      <c r="H265">
        <v>93</v>
      </c>
      <c r="I265">
        <v>30</v>
      </c>
      <c r="J265">
        <v>0</v>
      </c>
      <c r="K265">
        <v>320</v>
      </c>
      <c r="L265">
        <v>139681964</v>
      </c>
      <c r="M265">
        <v>120</v>
      </c>
      <c r="N265" t="s">
        <v>61</v>
      </c>
      <c r="O265" t="s">
        <v>28</v>
      </c>
      <c r="P265">
        <v>77</v>
      </c>
      <c r="Q265">
        <v>94</v>
      </c>
      <c r="R265" t="str" cm="1">
        <f t="array" ref="R265">_xlfn.IFS(Q265&gt;70,"Good",Q265&lt;40,"Bad",(Q265&gt;OS303*(Q265&lt;80)),"Ok")</f>
        <v>Good</v>
      </c>
      <c r="S265">
        <v>66</v>
      </c>
      <c r="T265" t="str" cm="1">
        <f t="array" ref="T265">_xlfn.IFS(S265&gt;50, "High", S265&lt;=50, "Low")</f>
        <v>High</v>
      </c>
      <c r="U265">
        <v>65</v>
      </c>
      <c r="V265">
        <v>0</v>
      </c>
      <c r="W265">
        <v>38</v>
      </c>
      <c r="X265">
        <v>3</v>
      </c>
      <c r="Y265">
        <f t="shared" ca="1" si="4"/>
        <v>67.98219765571092</v>
      </c>
    </row>
    <row r="266" spans="1:25" x14ac:dyDescent="0.3">
      <c r="A266" t="s">
        <v>661</v>
      </c>
      <c r="B266" t="s">
        <v>662</v>
      </c>
      <c r="C266">
        <v>1</v>
      </c>
      <c r="D266" s="1">
        <v>45026</v>
      </c>
      <c r="E266">
        <v>366</v>
      </c>
      <c r="F266">
        <v>15</v>
      </c>
      <c r="G266">
        <v>16</v>
      </c>
      <c r="H266">
        <v>102</v>
      </c>
      <c r="I266">
        <v>7</v>
      </c>
      <c r="J266">
        <v>0</v>
      </c>
      <c r="K266">
        <v>55</v>
      </c>
      <c r="L266">
        <v>123132751</v>
      </c>
      <c r="M266">
        <v>122</v>
      </c>
      <c r="N266" t="s">
        <v>134</v>
      </c>
      <c r="O266" t="s">
        <v>45</v>
      </c>
      <c r="P266">
        <v>68</v>
      </c>
      <c r="Q266">
        <v>38</v>
      </c>
      <c r="R266" t="str" cm="1">
        <f t="array" ref="R266">_xlfn.IFS(Q266&gt;70,"Good",Q266&lt;40,"Bad",(Q266&gt;OS304*(Q266&lt;80)),"Ok")</f>
        <v>Bad</v>
      </c>
      <c r="S266">
        <v>88</v>
      </c>
      <c r="T266" t="str" cm="1">
        <f t="array" ref="T266">_xlfn.IFS(S266&gt;50, "High", S266&lt;=50, "Low")</f>
        <v>High</v>
      </c>
      <c r="U266">
        <v>1</v>
      </c>
      <c r="V266">
        <v>0</v>
      </c>
      <c r="W266">
        <v>8</v>
      </c>
      <c r="X266">
        <v>5</v>
      </c>
      <c r="Y266">
        <f t="shared" ca="1" si="4"/>
        <v>51.70864473816723</v>
      </c>
    </row>
    <row r="267" spans="1:25" x14ac:dyDescent="0.3">
      <c r="A267" t="s">
        <v>303</v>
      </c>
      <c r="B267" t="s">
        <v>663</v>
      </c>
      <c r="C267">
        <v>1</v>
      </c>
      <c r="D267" s="1">
        <v>35431</v>
      </c>
      <c r="E267">
        <v>472</v>
      </c>
      <c r="F267">
        <v>2</v>
      </c>
      <c r="G267">
        <v>0</v>
      </c>
      <c r="H267">
        <v>0</v>
      </c>
      <c r="I267">
        <v>6</v>
      </c>
      <c r="J267">
        <v>0</v>
      </c>
      <c r="K267">
        <v>0</v>
      </c>
      <c r="L267">
        <v>103762518</v>
      </c>
      <c r="M267">
        <v>144</v>
      </c>
      <c r="N267" t="s">
        <v>34</v>
      </c>
      <c r="O267" t="s">
        <v>28</v>
      </c>
      <c r="P267">
        <v>74</v>
      </c>
      <c r="Q267">
        <v>75</v>
      </c>
      <c r="R267" t="str" cm="1">
        <f t="array" ref="R267">_xlfn.IFS(Q267&gt;70,"Good",Q267&lt;40,"Bad",(Q267&gt;OS305*(Q267&lt;80)),"Ok")</f>
        <v>Good</v>
      </c>
      <c r="S267">
        <v>73</v>
      </c>
      <c r="T267" t="str" cm="1">
        <f t="array" ref="T267">_xlfn.IFS(S267&gt;50, "High", S267&lt;=50, "Low")</f>
        <v>High</v>
      </c>
      <c r="U267">
        <v>42</v>
      </c>
      <c r="V267">
        <v>0</v>
      </c>
      <c r="W267">
        <v>9</v>
      </c>
      <c r="X267">
        <v>4</v>
      </c>
      <c r="Y267">
        <f t="shared" ca="1" si="4"/>
        <v>22.477227255825959</v>
      </c>
    </row>
    <row r="268" spans="1:25" x14ac:dyDescent="0.3">
      <c r="A268" t="s">
        <v>664</v>
      </c>
      <c r="B268" t="s">
        <v>665</v>
      </c>
      <c r="C268">
        <v>2</v>
      </c>
      <c r="D268" s="1">
        <v>44989</v>
      </c>
      <c r="E268">
        <v>432</v>
      </c>
      <c r="F268">
        <v>12</v>
      </c>
      <c r="G268">
        <v>8</v>
      </c>
      <c r="H268">
        <v>14</v>
      </c>
      <c r="I268">
        <v>12</v>
      </c>
      <c r="J268">
        <v>2</v>
      </c>
      <c r="K268">
        <v>33</v>
      </c>
      <c r="L268">
        <v>162887075</v>
      </c>
      <c r="M268">
        <v>96</v>
      </c>
      <c r="N268" t="s">
        <v>61</v>
      </c>
      <c r="O268" t="s">
        <v>28</v>
      </c>
      <c r="P268">
        <v>93</v>
      </c>
      <c r="Q268">
        <v>47</v>
      </c>
      <c r="R268" t="str" cm="1">
        <f t="array" ref="R268">_xlfn.IFS(Q268&gt;70,"Good",Q268&lt;40,"Bad",(Q268&gt;OS306*(Q268&lt;80)),"Ok")</f>
        <v>Ok</v>
      </c>
      <c r="S268">
        <v>47</v>
      </c>
      <c r="T268" t="str" cm="1">
        <f t="array" ref="T268">_xlfn.IFS(S268&gt;50, "High", S268&lt;=50, "Low")</f>
        <v>Low</v>
      </c>
      <c r="U268">
        <v>33</v>
      </c>
      <c r="V268">
        <v>0</v>
      </c>
      <c r="W268">
        <v>10</v>
      </c>
      <c r="X268">
        <v>36</v>
      </c>
      <c r="Y268">
        <f t="shared" ca="1" si="4"/>
        <v>74.671272780980075</v>
      </c>
    </row>
    <row r="269" spans="1:25" x14ac:dyDescent="0.3">
      <c r="A269" t="s">
        <v>666</v>
      </c>
      <c r="B269" t="s">
        <v>667</v>
      </c>
      <c r="C269">
        <v>1</v>
      </c>
      <c r="D269" s="1">
        <v>45040</v>
      </c>
      <c r="E269">
        <v>271</v>
      </c>
      <c r="F269">
        <v>12</v>
      </c>
      <c r="G269">
        <v>16</v>
      </c>
      <c r="H269">
        <v>103</v>
      </c>
      <c r="I269">
        <v>9</v>
      </c>
      <c r="J269">
        <v>0</v>
      </c>
      <c r="K269">
        <v>55</v>
      </c>
      <c r="L269">
        <v>91221625</v>
      </c>
      <c r="M269">
        <v>137</v>
      </c>
      <c r="N269" t="s">
        <v>81</v>
      </c>
      <c r="O269" t="s">
        <v>28</v>
      </c>
      <c r="P269">
        <v>77</v>
      </c>
      <c r="Q269">
        <v>35</v>
      </c>
      <c r="R269" t="str" cm="1">
        <f t="array" ref="R269">_xlfn.IFS(Q269&gt;70,"Good",Q269&lt;40,"Bad",(Q269&gt;OS307*(Q269&lt;80)),"Ok")</f>
        <v>Bad</v>
      </c>
      <c r="S269">
        <v>88</v>
      </c>
      <c r="T269" t="str" cm="1">
        <f t="array" ref="T269">_xlfn.IFS(S269&gt;50, "High", S269&lt;=50, "Low")</f>
        <v>High</v>
      </c>
      <c r="U269">
        <v>16</v>
      </c>
      <c r="V269">
        <v>0</v>
      </c>
      <c r="W269">
        <v>17</v>
      </c>
      <c r="X269">
        <v>9</v>
      </c>
      <c r="Y269">
        <f t="shared" ca="1" si="4"/>
        <v>65.37491603151318</v>
      </c>
    </row>
    <row r="270" spans="1:25" x14ac:dyDescent="0.3">
      <c r="A270" t="s">
        <v>457</v>
      </c>
      <c r="B270" t="s">
        <v>668</v>
      </c>
      <c r="C270">
        <v>1</v>
      </c>
      <c r="D270" s="1">
        <v>44673</v>
      </c>
      <c r="E270">
        <v>816</v>
      </c>
      <c r="F270">
        <v>4</v>
      </c>
      <c r="G270">
        <v>21</v>
      </c>
      <c r="H270">
        <v>4</v>
      </c>
      <c r="I270">
        <v>13</v>
      </c>
      <c r="J270">
        <v>0</v>
      </c>
      <c r="K270">
        <v>4</v>
      </c>
      <c r="L270">
        <v>190490915</v>
      </c>
      <c r="M270">
        <v>121</v>
      </c>
      <c r="N270" t="s">
        <v>65</v>
      </c>
      <c r="O270" t="s">
        <v>45</v>
      </c>
      <c r="P270">
        <v>94</v>
      </c>
      <c r="Q270">
        <v>71</v>
      </c>
      <c r="R270" t="str" cm="1">
        <f t="array" ref="R270">_xlfn.IFS(Q270&gt;70,"Good",Q270&lt;40,"Bad",(Q270&gt;OS308*(Q270&lt;80)),"Ok")</f>
        <v>Good</v>
      </c>
      <c r="S270">
        <v>61</v>
      </c>
      <c r="T270" t="str" cm="1">
        <f t="array" ref="T270">_xlfn.IFS(S270&gt;50, "High", S270&lt;=50, "Low")</f>
        <v>High</v>
      </c>
      <c r="U270">
        <v>12</v>
      </c>
      <c r="V270">
        <v>0</v>
      </c>
      <c r="W270">
        <v>53</v>
      </c>
      <c r="X270">
        <v>42</v>
      </c>
      <c r="Y270">
        <f t="shared" ca="1" si="4"/>
        <v>3.152083396145744</v>
      </c>
    </row>
    <row r="271" spans="1:25" x14ac:dyDescent="0.3">
      <c r="A271" t="s">
        <v>669</v>
      </c>
      <c r="B271" t="s">
        <v>670</v>
      </c>
      <c r="C271">
        <v>2</v>
      </c>
      <c r="D271" s="1">
        <v>45037</v>
      </c>
      <c r="E271">
        <v>1169</v>
      </c>
      <c r="F271">
        <v>0</v>
      </c>
      <c r="G271">
        <v>36</v>
      </c>
      <c r="H271">
        <v>65</v>
      </c>
      <c r="I271">
        <v>28</v>
      </c>
      <c r="J271">
        <v>0</v>
      </c>
      <c r="K271">
        <v>0</v>
      </c>
      <c r="L271">
        <v>96180277</v>
      </c>
      <c r="M271">
        <v>119</v>
      </c>
      <c r="N271" t="s">
        <v>37</v>
      </c>
      <c r="O271" t="s">
        <v>45</v>
      </c>
      <c r="P271">
        <v>60</v>
      </c>
      <c r="Q271">
        <v>10</v>
      </c>
      <c r="R271" t="str" cm="1">
        <f t="array" ref="R271">_xlfn.IFS(Q271&gt;70,"Good",Q271&lt;40,"Bad",(Q271&gt;OS309*(Q271&lt;80)),"Ok")</f>
        <v>Bad</v>
      </c>
      <c r="S271">
        <v>57</v>
      </c>
      <c r="T271" t="str" cm="1">
        <f t="array" ref="T271">_xlfn.IFS(S271&gt;50, "High", S271&lt;=50, "Low")</f>
        <v>High</v>
      </c>
      <c r="U271">
        <v>1</v>
      </c>
      <c r="V271">
        <v>0</v>
      </c>
      <c r="W271">
        <v>50</v>
      </c>
      <c r="X271">
        <v>3</v>
      </c>
      <c r="Y271">
        <f t="shared" ca="1" si="4"/>
        <v>34.266572819185839</v>
      </c>
    </row>
    <row r="272" spans="1:25" x14ac:dyDescent="0.3">
      <c r="A272" t="s">
        <v>671</v>
      </c>
      <c r="B272" t="s">
        <v>36</v>
      </c>
      <c r="C272">
        <v>1</v>
      </c>
      <c r="D272" s="1">
        <v>43700</v>
      </c>
      <c r="E272">
        <v>1282</v>
      </c>
      <c r="F272">
        <v>6</v>
      </c>
      <c r="G272">
        <v>26</v>
      </c>
      <c r="H272">
        <v>6</v>
      </c>
      <c r="I272">
        <v>19</v>
      </c>
      <c r="J272">
        <v>0</v>
      </c>
      <c r="K272">
        <v>5</v>
      </c>
      <c r="L272">
        <v>185240616</v>
      </c>
      <c r="M272">
        <v>96</v>
      </c>
      <c r="N272" t="s">
        <v>61</v>
      </c>
      <c r="O272" t="s">
        <v>28</v>
      </c>
      <c r="P272">
        <v>72</v>
      </c>
      <c r="Q272">
        <v>40</v>
      </c>
      <c r="R272" t="str" cm="1">
        <f t="array" ref="R272">_xlfn.IFS(Q272&gt;70,"Good",Q272&lt;40,"Bad",(Q272&gt;OS310*(Q272&lt;80)),"Ok")</f>
        <v>Ok</v>
      </c>
      <c r="S272">
        <v>47</v>
      </c>
      <c r="T272" t="str" cm="1">
        <f t="array" ref="T272">_xlfn.IFS(S272&gt;50, "High", S272&lt;=50, "Low")</f>
        <v>Low</v>
      </c>
      <c r="U272">
        <v>71</v>
      </c>
      <c r="V272">
        <v>0</v>
      </c>
      <c r="W272">
        <v>13</v>
      </c>
      <c r="X272">
        <v>4</v>
      </c>
      <c r="Y272">
        <f t="shared" ca="1" si="4"/>
        <v>62.718276274241511</v>
      </c>
    </row>
    <row r="273" spans="1:25" x14ac:dyDescent="0.3">
      <c r="A273" t="s">
        <v>672</v>
      </c>
      <c r="B273" t="s">
        <v>187</v>
      </c>
      <c r="C273">
        <v>1</v>
      </c>
      <c r="D273" s="1">
        <v>44672</v>
      </c>
      <c r="E273">
        <v>6587</v>
      </c>
      <c r="F273">
        <v>34</v>
      </c>
      <c r="G273">
        <v>114</v>
      </c>
      <c r="H273">
        <v>104</v>
      </c>
      <c r="I273">
        <v>147</v>
      </c>
      <c r="J273">
        <v>11</v>
      </c>
      <c r="K273">
        <v>20</v>
      </c>
      <c r="L273">
        <v>885093467</v>
      </c>
      <c r="M273">
        <v>111</v>
      </c>
      <c r="N273" t="s">
        <v>31</v>
      </c>
      <c r="O273" t="s">
        <v>28</v>
      </c>
      <c r="P273">
        <v>87</v>
      </c>
      <c r="Q273">
        <v>53</v>
      </c>
      <c r="R273" t="str" cm="1">
        <f t="array" ref="R273">_xlfn.IFS(Q273&gt;70,"Good",Q273&lt;40,"Bad",(Q273&gt;OS311*(Q273&lt;80)),"Ok")</f>
        <v>Ok</v>
      </c>
      <c r="S273">
        <v>52</v>
      </c>
      <c r="T273" t="str" cm="1">
        <f t="array" ref="T273">_xlfn.IFS(S273&gt;50, "High", S273&lt;=50, "Low")</f>
        <v>High</v>
      </c>
      <c r="U273">
        <v>66</v>
      </c>
      <c r="V273">
        <v>1</v>
      </c>
      <c r="W273">
        <v>11</v>
      </c>
      <c r="X273">
        <v>5</v>
      </c>
      <c r="Y273">
        <f t="shared" ca="1" si="4"/>
        <v>75.445722168004394</v>
      </c>
    </row>
    <row r="274" spans="1:25" x14ac:dyDescent="0.3">
      <c r="A274" t="s">
        <v>478</v>
      </c>
      <c r="B274" t="s">
        <v>673</v>
      </c>
      <c r="C274">
        <v>2</v>
      </c>
      <c r="D274" s="1">
        <v>45030</v>
      </c>
      <c r="E274">
        <v>1444</v>
      </c>
      <c r="F274">
        <v>4</v>
      </c>
      <c r="G274">
        <v>0</v>
      </c>
      <c r="H274">
        <v>0</v>
      </c>
      <c r="I274">
        <v>0</v>
      </c>
      <c r="J274">
        <v>0</v>
      </c>
      <c r="K274">
        <v>0</v>
      </c>
      <c r="L274">
        <v>104992946</v>
      </c>
      <c r="M274">
        <v>148</v>
      </c>
      <c r="N274" t="s">
        <v>37</v>
      </c>
      <c r="O274" t="s">
        <v>28</v>
      </c>
      <c r="P274">
        <v>90</v>
      </c>
      <c r="Q274">
        <v>74</v>
      </c>
      <c r="R274" t="str" cm="1">
        <f t="array" ref="R274">_xlfn.IFS(Q274&gt;70,"Good",Q274&lt;40,"Bad",(Q274&gt;OS312*(Q274&lt;80)),"Ok")</f>
        <v>Good</v>
      </c>
      <c r="S274">
        <v>68</v>
      </c>
      <c r="T274" t="str" cm="1">
        <f t="array" ref="T274">_xlfn.IFS(S274&gt;50, "High", S274&lt;=50, "Low")</f>
        <v>High</v>
      </c>
      <c r="U274">
        <v>14</v>
      </c>
      <c r="V274">
        <v>0</v>
      </c>
      <c r="W274">
        <v>10</v>
      </c>
      <c r="X274">
        <v>19</v>
      </c>
      <c r="Y274">
        <f t="shared" ca="1" si="4"/>
        <v>53.30122345288877</v>
      </c>
    </row>
    <row r="275" spans="1:25" x14ac:dyDescent="0.3">
      <c r="A275" t="s">
        <v>126</v>
      </c>
      <c r="B275" t="s">
        <v>674</v>
      </c>
      <c r="C275">
        <v>2</v>
      </c>
      <c r="D275" s="1">
        <v>44960</v>
      </c>
      <c r="E275">
        <v>356</v>
      </c>
      <c r="F275">
        <v>10</v>
      </c>
      <c r="G275">
        <v>4</v>
      </c>
      <c r="H275">
        <v>64</v>
      </c>
      <c r="I275">
        <v>4</v>
      </c>
      <c r="J275">
        <v>2</v>
      </c>
      <c r="K275">
        <v>37</v>
      </c>
      <c r="L275">
        <v>147290338</v>
      </c>
      <c r="M275">
        <v>182</v>
      </c>
      <c r="N275" t="s">
        <v>37</v>
      </c>
      <c r="O275" t="s">
        <v>28</v>
      </c>
      <c r="P275">
        <v>57</v>
      </c>
      <c r="Q275">
        <v>80</v>
      </c>
      <c r="R275" t="str" cm="1">
        <f t="array" ref="R275">_xlfn.IFS(Q275&gt;70,"Good",Q275&lt;40,"Bad",(Q275&gt;OS313*(Q275&lt;80)),"Ok")</f>
        <v>Good</v>
      </c>
      <c r="S275">
        <v>59</v>
      </c>
      <c r="T275" t="str" cm="1">
        <f t="array" ref="T275">_xlfn.IFS(S275&gt;50, "High", S275&lt;=50, "Low")</f>
        <v>High</v>
      </c>
      <c r="U275">
        <v>8</v>
      </c>
      <c r="V275">
        <v>0</v>
      </c>
      <c r="W275">
        <v>6</v>
      </c>
      <c r="X275">
        <v>5</v>
      </c>
      <c r="Y275">
        <f t="shared" ca="1" si="4"/>
        <v>58.58774213785005</v>
      </c>
    </row>
    <row r="276" spans="1:25" x14ac:dyDescent="0.3">
      <c r="A276" t="s">
        <v>52</v>
      </c>
      <c r="B276" t="s">
        <v>405</v>
      </c>
      <c r="C276">
        <v>1</v>
      </c>
      <c r="D276" s="1">
        <v>44448</v>
      </c>
      <c r="E276">
        <v>10147</v>
      </c>
      <c r="F276">
        <v>30</v>
      </c>
      <c r="G276">
        <v>234</v>
      </c>
      <c r="H276">
        <v>71</v>
      </c>
      <c r="I276">
        <v>543</v>
      </c>
      <c r="J276">
        <v>18</v>
      </c>
      <c r="L276">
        <v>1302184087</v>
      </c>
      <c r="M276">
        <v>141</v>
      </c>
      <c r="N276" t="s">
        <v>61</v>
      </c>
      <c r="O276" t="s">
        <v>28</v>
      </c>
      <c r="P276">
        <v>79</v>
      </c>
      <c r="Q276">
        <v>82</v>
      </c>
      <c r="R276" t="str" cm="1">
        <f t="array" ref="R276">_xlfn.IFS(Q276&gt;70,"Good",Q276&lt;40,"Bad",(Q276&gt;OS314*(Q276&lt;80)),"Ok")</f>
        <v>Good</v>
      </c>
      <c r="S276">
        <v>86</v>
      </c>
      <c r="T276" t="str" cm="1">
        <f t="array" ref="T276">_xlfn.IFS(S276&gt;50, "High", S276&lt;=50, "Low")</f>
        <v>High</v>
      </c>
      <c r="U276">
        <v>28</v>
      </c>
      <c r="V276">
        <v>0</v>
      </c>
      <c r="W276">
        <v>4</v>
      </c>
      <c r="X276">
        <v>9</v>
      </c>
      <c r="Y276">
        <f t="shared" ca="1" si="4"/>
        <v>42.431544723191109</v>
      </c>
    </row>
    <row r="277" spans="1:25" x14ac:dyDescent="0.3">
      <c r="A277" t="s">
        <v>103</v>
      </c>
      <c r="B277" t="s">
        <v>675</v>
      </c>
      <c r="C277">
        <v>2</v>
      </c>
      <c r="D277" s="1">
        <v>44925</v>
      </c>
      <c r="E277">
        <v>265</v>
      </c>
      <c r="F277">
        <v>6</v>
      </c>
      <c r="G277">
        <v>8</v>
      </c>
      <c r="H277">
        <v>84</v>
      </c>
      <c r="I277">
        <v>5</v>
      </c>
      <c r="J277">
        <v>1</v>
      </c>
      <c r="K277">
        <v>4</v>
      </c>
      <c r="L277">
        <v>158950978</v>
      </c>
      <c r="M277">
        <v>145</v>
      </c>
      <c r="N277" t="s">
        <v>134</v>
      </c>
      <c r="O277" t="s">
        <v>45</v>
      </c>
      <c r="P277">
        <v>76</v>
      </c>
      <c r="Q277">
        <v>80</v>
      </c>
      <c r="R277" t="str" cm="1">
        <f t="array" ref="R277">_xlfn.IFS(Q277&gt;70,"Good",Q277&lt;40,"Bad",(Q277&gt;OS315*(Q277&lt;80)),"Ok")</f>
        <v>Good</v>
      </c>
      <c r="S277">
        <v>81</v>
      </c>
      <c r="T277" t="str" cm="1">
        <f t="array" ref="T277">_xlfn.IFS(S277&gt;50, "High", S277&lt;=50, "Low")</f>
        <v>High</v>
      </c>
      <c r="U277">
        <v>19</v>
      </c>
      <c r="V277">
        <v>0</v>
      </c>
      <c r="W277">
        <v>6</v>
      </c>
      <c r="X277">
        <v>9</v>
      </c>
      <c r="Y277">
        <f t="shared" ca="1" si="4"/>
        <v>97.045022207443282</v>
      </c>
    </row>
    <row r="278" spans="1:25" x14ac:dyDescent="0.3">
      <c r="A278" t="s">
        <v>676</v>
      </c>
      <c r="B278" t="s">
        <v>677</v>
      </c>
      <c r="C278">
        <v>2</v>
      </c>
      <c r="D278" s="1">
        <v>45041</v>
      </c>
      <c r="E278">
        <v>351</v>
      </c>
      <c r="F278">
        <v>9</v>
      </c>
      <c r="G278">
        <v>16</v>
      </c>
      <c r="H278">
        <v>90</v>
      </c>
      <c r="I278">
        <v>10</v>
      </c>
      <c r="J278">
        <v>0</v>
      </c>
      <c r="K278">
        <v>64</v>
      </c>
      <c r="L278">
        <v>76910644</v>
      </c>
      <c r="M278">
        <v>110</v>
      </c>
      <c r="N278" t="s">
        <v>27</v>
      </c>
      <c r="O278" t="s">
        <v>45</v>
      </c>
      <c r="P278">
        <v>76</v>
      </c>
      <c r="Q278">
        <v>26</v>
      </c>
      <c r="R278" t="str" cm="1">
        <f t="array" ref="R278">_xlfn.IFS(Q278&gt;70,"Good",Q278&lt;40,"Bad",(Q278&gt;OS316*(Q278&lt;80)),"Ok")</f>
        <v>Bad</v>
      </c>
      <c r="S278">
        <v>70</v>
      </c>
      <c r="T278" t="str" cm="1">
        <f t="array" ref="T278">_xlfn.IFS(S278&gt;50, "High", S278&lt;=50, "Low")</f>
        <v>High</v>
      </c>
      <c r="U278">
        <v>1</v>
      </c>
      <c r="V278">
        <v>0</v>
      </c>
      <c r="W278">
        <v>41</v>
      </c>
      <c r="X278">
        <v>6</v>
      </c>
      <c r="Y278">
        <f t="shared" ca="1" si="4"/>
        <v>21.327571754395713</v>
      </c>
    </row>
    <row r="279" spans="1:25" x14ac:dyDescent="0.3">
      <c r="A279" t="s">
        <v>678</v>
      </c>
      <c r="B279" t="s">
        <v>679</v>
      </c>
      <c r="C279">
        <v>1</v>
      </c>
      <c r="D279" s="1">
        <v>44789</v>
      </c>
      <c r="E279">
        <v>158</v>
      </c>
      <c r="F279">
        <v>4</v>
      </c>
      <c r="G279">
        <v>5</v>
      </c>
      <c r="H279">
        <v>6</v>
      </c>
      <c r="I279">
        <v>1</v>
      </c>
      <c r="J279">
        <v>1</v>
      </c>
      <c r="K279">
        <v>18</v>
      </c>
      <c r="L279">
        <v>137123880</v>
      </c>
      <c r="M279">
        <v>134</v>
      </c>
      <c r="N279" t="s">
        <v>94</v>
      </c>
      <c r="O279" t="s">
        <v>28</v>
      </c>
      <c r="P279">
        <v>70</v>
      </c>
      <c r="Q279">
        <v>35</v>
      </c>
      <c r="R279" t="str" cm="1">
        <f t="array" ref="R279">_xlfn.IFS(Q279&gt;70,"Good",Q279&lt;40,"Bad",(Q279&gt;OS317*(Q279&lt;80)),"Ok")</f>
        <v>Bad</v>
      </c>
      <c r="S279">
        <v>41</v>
      </c>
      <c r="T279" t="str" cm="1">
        <f t="array" ref="T279">_xlfn.IFS(S279&gt;50, "High", S279&lt;=50, "Low")</f>
        <v>Low</v>
      </c>
      <c r="U279">
        <v>41</v>
      </c>
      <c r="V279">
        <v>0</v>
      </c>
      <c r="W279">
        <v>10</v>
      </c>
      <c r="X279">
        <v>3</v>
      </c>
      <c r="Y279">
        <f t="shared" ca="1" si="4"/>
        <v>60.008078552652158</v>
      </c>
    </row>
    <row r="280" spans="1:25" x14ac:dyDescent="0.3">
      <c r="A280" t="s">
        <v>574</v>
      </c>
      <c r="B280" t="s">
        <v>680</v>
      </c>
      <c r="C280">
        <v>1</v>
      </c>
      <c r="D280" s="1">
        <v>44770</v>
      </c>
      <c r="E280">
        <v>7613</v>
      </c>
      <c r="F280">
        <v>33</v>
      </c>
      <c r="G280">
        <v>180</v>
      </c>
      <c r="H280">
        <v>90</v>
      </c>
      <c r="I280">
        <v>422</v>
      </c>
      <c r="J280">
        <v>15</v>
      </c>
      <c r="K280">
        <v>55</v>
      </c>
      <c r="L280">
        <v>782369383</v>
      </c>
      <c r="M280">
        <v>130</v>
      </c>
      <c r="N280" t="s">
        <v>94</v>
      </c>
      <c r="O280" t="s">
        <v>28</v>
      </c>
      <c r="P280">
        <v>92</v>
      </c>
      <c r="Q280">
        <v>78</v>
      </c>
      <c r="R280" t="str" cm="1">
        <f t="array" ref="R280">_xlfn.IFS(Q280&gt;70,"Good",Q280&lt;40,"Bad",(Q280&gt;OS318*(Q280&lt;80)),"Ok")</f>
        <v>Good</v>
      </c>
      <c r="S280">
        <v>62</v>
      </c>
      <c r="T280" t="str" cm="1">
        <f t="array" ref="T280">_xlfn.IFS(S280&gt;50, "High", S280&lt;=50, "Low")</f>
        <v>High</v>
      </c>
      <c r="U280">
        <v>18</v>
      </c>
      <c r="V280">
        <v>0</v>
      </c>
      <c r="W280">
        <v>6</v>
      </c>
      <c r="X280">
        <v>10</v>
      </c>
      <c r="Y280">
        <f t="shared" ca="1" si="4"/>
        <v>43.414088848777219</v>
      </c>
    </row>
    <row r="281" spans="1:25" x14ac:dyDescent="0.3">
      <c r="A281" t="s">
        <v>172</v>
      </c>
      <c r="B281" t="s">
        <v>681</v>
      </c>
      <c r="C281">
        <v>1</v>
      </c>
      <c r="D281" s="1">
        <v>44855</v>
      </c>
      <c r="E281">
        <v>3956</v>
      </c>
      <c r="F281">
        <v>6</v>
      </c>
      <c r="G281">
        <v>142</v>
      </c>
      <c r="H281">
        <v>23</v>
      </c>
      <c r="I281">
        <v>127</v>
      </c>
      <c r="J281">
        <v>3</v>
      </c>
      <c r="K281">
        <v>16</v>
      </c>
      <c r="L281">
        <v>502574952</v>
      </c>
      <c r="M281">
        <v>145</v>
      </c>
      <c r="N281" t="s">
        <v>181</v>
      </c>
      <c r="O281" t="s">
        <v>28</v>
      </c>
      <c r="P281">
        <v>84</v>
      </c>
      <c r="Q281">
        <v>88</v>
      </c>
      <c r="R281" t="str" cm="1">
        <f t="array" ref="R281">_xlfn.IFS(Q281&gt;70,"Good",Q281&lt;40,"Bad",(Q281&gt;OS319*(Q281&lt;80)),"Ok")</f>
        <v>Good</v>
      </c>
      <c r="S281">
        <v>53</v>
      </c>
      <c r="T281" t="str" cm="1">
        <f t="array" ref="T281">_xlfn.IFS(S281&gt;50, "High", S281&lt;=50, "Low")</f>
        <v>High</v>
      </c>
      <c r="U281">
        <v>35</v>
      </c>
      <c r="V281">
        <v>0</v>
      </c>
      <c r="W281">
        <v>8</v>
      </c>
      <c r="X281">
        <v>7</v>
      </c>
      <c r="Y281">
        <f t="shared" ca="1" si="4"/>
        <v>55.148117323029041</v>
      </c>
    </row>
    <row r="282" spans="1:25" x14ac:dyDescent="0.3">
      <c r="A282" t="s">
        <v>682</v>
      </c>
      <c r="B282" t="s">
        <v>683</v>
      </c>
      <c r="C282">
        <v>3</v>
      </c>
      <c r="D282" s="1">
        <v>44962</v>
      </c>
      <c r="E282">
        <v>1638</v>
      </c>
      <c r="F282">
        <v>10</v>
      </c>
      <c r="G282">
        <v>0</v>
      </c>
      <c r="H282">
        <v>0</v>
      </c>
      <c r="I282">
        <v>21</v>
      </c>
      <c r="J282">
        <v>0</v>
      </c>
      <c r="K282">
        <v>0</v>
      </c>
      <c r="L282">
        <v>207033255</v>
      </c>
      <c r="M282">
        <v>130</v>
      </c>
      <c r="N282" t="s">
        <v>27</v>
      </c>
      <c r="O282" t="s">
        <v>45</v>
      </c>
      <c r="P282">
        <v>69</v>
      </c>
      <c r="Q282">
        <v>36</v>
      </c>
      <c r="R282" t="str" cm="1">
        <f t="array" ref="R282">_xlfn.IFS(Q282&gt;70,"Good",Q282&lt;40,"Bad",(Q282&gt;OS320*(Q282&lt;80)),"Ok")</f>
        <v>Bad</v>
      </c>
      <c r="S282">
        <v>90</v>
      </c>
      <c r="T282" t="str" cm="1">
        <f t="array" ref="T282">_xlfn.IFS(S282&gt;50, "High", S282&lt;=50, "Low")</f>
        <v>High</v>
      </c>
      <c r="U282">
        <v>1</v>
      </c>
      <c r="V282">
        <v>10</v>
      </c>
      <c r="W282">
        <v>15</v>
      </c>
      <c r="X282">
        <v>4</v>
      </c>
      <c r="Y282">
        <f t="shared" ca="1" si="4"/>
        <v>45.864849696093032</v>
      </c>
    </row>
    <row r="283" spans="1:25" x14ac:dyDescent="0.3">
      <c r="A283" t="s">
        <v>684</v>
      </c>
      <c r="B283" t="s">
        <v>685</v>
      </c>
      <c r="C283">
        <v>1</v>
      </c>
      <c r="D283" s="1">
        <v>44679</v>
      </c>
      <c r="E283">
        <v>924</v>
      </c>
      <c r="F283">
        <v>18</v>
      </c>
      <c r="G283">
        <v>17</v>
      </c>
      <c r="H283">
        <v>80</v>
      </c>
      <c r="I283">
        <v>22</v>
      </c>
      <c r="J283">
        <v>9</v>
      </c>
      <c r="K283">
        <v>38</v>
      </c>
      <c r="L283">
        <v>404887295</v>
      </c>
      <c r="M283">
        <v>173</v>
      </c>
      <c r="O283" t="s">
        <v>28</v>
      </c>
      <c r="P283">
        <v>59</v>
      </c>
      <c r="Q283">
        <v>69</v>
      </c>
      <c r="R283" t="str" cm="1">
        <f t="array" ref="R283">_xlfn.IFS(Q283&gt;70,"Good",Q283&lt;40,"Bad",(Q283&gt;OS321*(Q283&lt;80)),"Ok")</f>
        <v>Ok</v>
      </c>
      <c r="S283">
        <v>53</v>
      </c>
      <c r="T283" t="str" cm="1">
        <f t="array" ref="T283">_xlfn.IFS(S283&gt;50, "High", S283&lt;=50, "Low")</f>
        <v>High</v>
      </c>
      <c r="U283">
        <v>12</v>
      </c>
      <c r="V283">
        <v>0</v>
      </c>
      <c r="W283">
        <v>23</v>
      </c>
      <c r="X283">
        <v>3</v>
      </c>
      <c r="Y283">
        <f t="shared" ca="1" si="4"/>
        <v>18.716533549033954</v>
      </c>
    </row>
    <row r="284" spans="1:25" x14ac:dyDescent="0.3">
      <c r="A284" t="s">
        <v>686</v>
      </c>
      <c r="B284" t="s">
        <v>54</v>
      </c>
      <c r="C284">
        <v>1</v>
      </c>
      <c r="D284" s="1">
        <v>44869</v>
      </c>
      <c r="E284">
        <v>1985</v>
      </c>
      <c r="F284">
        <v>35</v>
      </c>
      <c r="G284">
        <v>34</v>
      </c>
      <c r="H284">
        <v>26</v>
      </c>
      <c r="I284">
        <v>37</v>
      </c>
      <c r="J284">
        <v>5</v>
      </c>
      <c r="K284">
        <v>1</v>
      </c>
      <c r="L284">
        <v>381161027</v>
      </c>
      <c r="M284">
        <v>92</v>
      </c>
      <c r="N284" t="s">
        <v>27</v>
      </c>
      <c r="O284" t="s">
        <v>45</v>
      </c>
      <c r="P284">
        <v>75</v>
      </c>
      <c r="Q284">
        <v>55</v>
      </c>
      <c r="R284" t="str" cm="1">
        <f t="array" ref="R284">_xlfn.IFS(Q284&gt;70,"Good",Q284&lt;40,"Bad",(Q284&gt;OS322*(Q284&lt;80)),"Ok")</f>
        <v>Ok</v>
      </c>
      <c r="S284">
        <v>76</v>
      </c>
      <c r="T284" t="str" cm="1">
        <f t="array" ref="T284">_xlfn.IFS(S284&gt;50, "High", S284&lt;=50, "Low")</f>
        <v>High</v>
      </c>
      <c r="U284">
        <v>25</v>
      </c>
      <c r="V284">
        <v>0</v>
      </c>
      <c r="W284">
        <v>10</v>
      </c>
      <c r="X284">
        <v>15</v>
      </c>
      <c r="Y284">
        <f t="shared" ca="1" si="4"/>
        <v>5.0477733888116161</v>
      </c>
    </row>
    <row r="285" spans="1:25" x14ac:dyDescent="0.3">
      <c r="A285" t="s">
        <v>687</v>
      </c>
      <c r="B285" t="s">
        <v>688</v>
      </c>
      <c r="C285">
        <v>1</v>
      </c>
      <c r="D285" s="1">
        <v>41795</v>
      </c>
      <c r="E285">
        <v>6339</v>
      </c>
      <c r="F285">
        <v>13</v>
      </c>
      <c r="G285">
        <v>3</v>
      </c>
      <c r="H285">
        <v>1</v>
      </c>
      <c r="I285">
        <v>36</v>
      </c>
      <c r="J285">
        <v>1</v>
      </c>
      <c r="K285">
        <v>37</v>
      </c>
      <c r="L285">
        <v>466231982</v>
      </c>
      <c r="M285">
        <v>105</v>
      </c>
      <c r="N285" t="s">
        <v>34</v>
      </c>
      <c r="O285" t="s">
        <v>45</v>
      </c>
      <c r="P285">
        <v>56</v>
      </c>
      <c r="Q285">
        <v>57</v>
      </c>
      <c r="R285" t="str" cm="1">
        <f t="array" ref="R285">_xlfn.IFS(Q285&gt;70,"Good",Q285&lt;40,"Bad",(Q285&gt;OS323*(Q285&lt;80)),"Ok")</f>
        <v>Ok</v>
      </c>
      <c r="S285">
        <v>87</v>
      </c>
      <c r="T285" t="str" cm="1">
        <f t="array" ref="T285">_xlfn.IFS(S285&gt;50, "High", S285&lt;=50, "Low")</f>
        <v>High</v>
      </c>
      <c r="U285">
        <v>0</v>
      </c>
      <c r="V285">
        <v>1</v>
      </c>
      <c r="W285">
        <v>10</v>
      </c>
      <c r="X285">
        <v>4</v>
      </c>
      <c r="Y285">
        <f t="shared" ca="1" si="4"/>
        <v>18.043399148513895</v>
      </c>
    </row>
    <row r="286" spans="1:25" x14ac:dyDescent="0.3">
      <c r="A286" t="s">
        <v>689</v>
      </c>
      <c r="B286" t="s">
        <v>690</v>
      </c>
      <c r="C286">
        <v>1</v>
      </c>
      <c r="D286" s="1">
        <v>44525</v>
      </c>
      <c r="E286">
        <v>1561</v>
      </c>
      <c r="F286">
        <v>24</v>
      </c>
      <c r="G286">
        <v>18</v>
      </c>
      <c r="H286">
        <v>78</v>
      </c>
      <c r="I286">
        <v>24</v>
      </c>
      <c r="J286">
        <v>0</v>
      </c>
      <c r="K286">
        <v>30</v>
      </c>
      <c r="L286">
        <v>357580552</v>
      </c>
      <c r="M286">
        <v>175</v>
      </c>
      <c r="N286" t="s">
        <v>94</v>
      </c>
      <c r="O286" t="s">
        <v>45</v>
      </c>
      <c r="P286">
        <v>59</v>
      </c>
      <c r="Q286">
        <v>15</v>
      </c>
      <c r="R286" t="str" cm="1">
        <f t="array" ref="R286">_xlfn.IFS(Q286&gt;70,"Good",Q286&lt;40,"Bad",(Q286&gt;OS324*(Q286&lt;80)),"Ok")</f>
        <v>Bad</v>
      </c>
      <c r="S286">
        <v>64</v>
      </c>
      <c r="T286" t="str" cm="1">
        <f t="array" ref="T286">_xlfn.IFS(S286&gt;50, "High", S286&lt;=50, "Low")</f>
        <v>High</v>
      </c>
      <c r="U286">
        <v>43</v>
      </c>
      <c r="V286">
        <v>90</v>
      </c>
      <c r="W286">
        <v>12</v>
      </c>
      <c r="X286">
        <v>10</v>
      </c>
      <c r="Y286">
        <f t="shared" ca="1" si="4"/>
        <v>53.422905835304761</v>
      </c>
    </row>
    <row r="287" spans="1:25" x14ac:dyDescent="0.3">
      <c r="A287" t="s">
        <v>691</v>
      </c>
      <c r="B287" t="s">
        <v>692</v>
      </c>
      <c r="C287">
        <v>2</v>
      </c>
      <c r="D287" s="1">
        <v>45043</v>
      </c>
      <c r="E287">
        <v>875</v>
      </c>
      <c r="F287">
        <v>4</v>
      </c>
      <c r="G287">
        <v>17</v>
      </c>
      <c r="H287">
        <v>13</v>
      </c>
      <c r="I287">
        <v>27</v>
      </c>
      <c r="J287">
        <v>0</v>
      </c>
      <c r="K287">
        <v>43</v>
      </c>
      <c r="L287">
        <v>61105704</v>
      </c>
      <c r="M287">
        <v>120</v>
      </c>
      <c r="N287" t="s">
        <v>94</v>
      </c>
      <c r="O287" t="s">
        <v>45</v>
      </c>
      <c r="P287">
        <v>80</v>
      </c>
      <c r="Q287">
        <v>33</v>
      </c>
      <c r="R287" t="str" cm="1">
        <f t="array" ref="R287">_xlfn.IFS(Q287&gt;70,"Good",Q287&lt;40,"Bad",(Q287&gt;OS325*(Q287&lt;80)),"Ok")</f>
        <v>Bad</v>
      </c>
      <c r="S287">
        <v>70</v>
      </c>
      <c r="T287" t="str" cm="1">
        <f t="array" ref="T287">_xlfn.IFS(S287&gt;50, "High", S287&lt;=50, "Low")</f>
        <v>High</v>
      </c>
      <c r="U287">
        <v>22</v>
      </c>
      <c r="V287">
        <v>0</v>
      </c>
      <c r="W287">
        <v>9</v>
      </c>
      <c r="X287">
        <v>4</v>
      </c>
      <c r="Y287">
        <f t="shared" ca="1" si="4"/>
        <v>54.605138081516849</v>
      </c>
    </row>
    <row r="288" spans="1:25" x14ac:dyDescent="0.3">
      <c r="A288" t="s">
        <v>693</v>
      </c>
      <c r="B288" t="s">
        <v>694</v>
      </c>
      <c r="C288">
        <v>2</v>
      </c>
      <c r="D288" s="1">
        <v>44919</v>
      </c>
      <c r="E288">
        <v>406</v>
      </c>
      <c r="F288">
        <v>5</v>
      </c>
      <c r="G288">
        <v>3</v>
      </c>
      <c r="H288">
        <v>31</v>
      </c>
      <c r="I288">
        <v>2</v>
      </c>
      <c r="J288">
        <v>1</v>
      </c>
      <c r="K288">
        <v>0</v>
      </c>
      <c r="L288">
        <v>198275403</v>
      </c>
      <c r="M288">
        <v>139</v>
      </c>
      <c r="N288" t="s">
        <v>302</v>
      </c>
      <c r="O288" t="s">
        <v>45</v>
      </c>
      <c r="P288">
        <v>70</v>
      </c>
      <c r="Q288">
        <v>77</v>
      </c>
      <c r="R288" t="str" cm="1">
        <f t="array" ref="R288">_xlfn.IFS(Q288&gt;70,"Good",Q288&lt;40,"Bad",(Q288&gt;OS326*(Q288&lt;80)),"Ok")</f>
        <v>Good</v>
      </c>
      <c r="S288">
        <v>48</v>
      </c>
      <c r="T288" t="str" cm="1">
        <f t="array" ref="T288">_xlfn.IFS(S288&gt;50, "High", S288&lt;=50, "Low")</f>
        <v>Low</v>
      </c>
      <c r="U288">
        <v>37</v>
      </c>
      <c r="V288">
        <v>0</v>
      </c>
      <c r="W288">
        <v>12</v>
      </c>
      <c r="X288">
        <v>5</v>
      </c>
      <c r="Y288">
        <f t="shared" ca="1" si="4"/>
        <v>94.206901035376632</v>
      </c>
    </row>
    <row r="289" spans="1:25" x14ac:dyDescent="0.3">
      <c r="A289" t="s">
        <v>695</v>
      </c>
      <c r="B289" t="s">
        <v>93</v>
      </c>
      <c r="C289">
        <v>1</v>
      </c>
      <c r="D289" s="1">
        <v>45002</v>
      </c>
      <c r="E289">
        <v>340</v>
      </c>
      <c r="F289">
        <v>13</v>
      </c>
      <c r="G289">
        <v>4</v>
      </c>
      <c r="H289">
        <v>71</v>
      </c>
      <c r="I289">
        <v>16</v>
      </c>
      <c r="J289">
        <v>1</v>
      </c>
      <c r="K289">
        <v>9</v>
      </c>
      <c r="L289">
        <v>168448603</v>
      </c>
      <c r="M289">
        <v>132</v>
      </c>
      <c r="O289" t="s">
        <v>45</v>
      </c>
      <c r="P289">
        <v>59</v>
      </c>
      <c r="Q289">
        <v>56</v>
      </c>
      <c r="R289" t="str" cm="1">
        <f t="array" ref="R289">_xlfn.IFS(Q289&gt;70,"Good",Q289&lt;40,"Bad",(Q289&gt;OS327*(Q289&lt;80)),"Ok")</f>
        <v>Ok</v>
      </c>
      <c r="S289">
        <v>82</v>
      </c>
      <c r="T289" t="str" cm="1">
        <f t="array" ref="T289">_xlfn.IFS(S289&gt;50, "High", S289&lt;=50, "Low")</f>
        <v>High</v>
      </c>
      <c r="U289">
        <v>12</v>
      </c>
      <c r="V289">
        <v>0</v>
      </c>
      <c r="W289">
        <v>12</v>
      </c>
      <c r="X289">
        <v>6</v>
      </c>
      <c r="Y289">
        <f t="shared" ca="1" si="4"/>
        <v>74.560237863889483</v>
      </c>
    </row>
    <row r="290" spans="1:25" x14ac:dyDescent="0.3">
      <c r="A290" t="s">
        <v>696</v>
      </c>
      <c r="B290" t="s">
        <v>697</v>
      </c>
      <c r="C290">
        <v>2</v>
      </c>
      <c r="D290" s="1">
        <v>43188</v>
      </c>
      <c r="E290">
        <v>4188</v>
      </c>
      <c r="F290">
        <v>15</v>
      </c>
      <c r="G290">
        <v>30</v>
      </c>
      <c r="H290">
        <v>70</v>
      </c>
      <c r="I290">
        <v>142</v>
      </c>
      <c r="J290">
        <v>0</v>
      </c>
      <c r="K290">
        <v>27</v>
      </c>
      <c r="L290">
        <v>705469769</v>
      </c>
      <c r="M290">
        <v>114</v>
      </c>
      <c r="N290" t="s">
        <v>181</v>
      </c>
      <c r="O290" t="s">
        <v>28</v>
      </c>
      <c r="P290">
        <v>32</v>
      </c>
      <c r="Q290">
        <v>17</v>
      </c>
      <c r="R290" t="str" cm="1">
        <f t="array" ref="R290">_xlfn.IFS(Q290&gt;70,"Good",Q290&lt;40,"Bad",(Q290&gt;OS328*(Q290&lt;80)),"Ok")</f>
        <v>Bad</v>
      </c>
      <c r="S290">
        <v>74</v>
      </c>
      <c r="T290" t="str" cm="1">
        <f t="array" ref="T290">_xlfn.IFS(S290&gt;50, "High", S290&lt;=50, "Low")</f>
        <v>High</v>
      </c>
      <c r="U290">
        <v>14</v>
      </c>
      <c r="V290">
        <v>0</v>
      </c>
      <c r="W290">
        <v>17</v>
      </c>
      <c r="X290">
        <v>3</v>
      </c>
      <c r="Y290">
        <f t="shared" ca="1" si="4"/>
        <v>78.051141252971291</v>
      </c>
    </row>
    <row r="291" spans="1:25" x14ac:dyDescent="0.3">
      <c r="A291" t="s">
        <v>698</v>
      </c>
      <c r="B291" t="s">
        <v>699</v>
      </c>
      <c r="C291">
        <v>2</v>
      </c>
      <c r="D291" s="1">
        <v>45050</v>
      </c>
      <c r="E291">
        <v>105</v>
      </c>
      <c r="F291">
        <v>0</v>
      </c>
      <c r="G291">
        <v>5</v>
      </c>
      <c r="H291">
        <v>9</v>
      </c>
      <c r="I291">
        <v>5</v>
      </c>
      <c r="J291">
        <v>0</v>
      </c>
      <c r="K291">
        <v>0</v>
      </c>
      <c r="L291">
        <v>34502215</v>
      </c>
      <c r="M291">
        <v>145</v>
      </c>
      <c r="N291" t="s">
        <v>27</v>
      </c>
      <c r="O291" t="s">
        <v>45</v>
      </c>
      <c r="P291">
        <v>54</v>
      </c>
      <c r="Q291">
        <v>19</v>
      </c>
      <c r="R291" t="str" cm="1">
        <f t="array" ref="R291">_xlfn.IFS(Q291&gt;70,"Good",Q291&lt;40,"Bad",(Q291&gt;OS329*(Q291&lt;80)),"Ok")</f>
        <v>Bad</v>
      </c>
      <c r="S291">
        <v>48</v>
      </c>
      <c r="T291" t="str" cm="1">
        <f t="array" ref="T291">_xlfn.IFS(S291&gt;50, "High", S291&lt;=50, "Low")</f>
        <v>Low</v>
      </c>
      <c r="U291">
        <v>36</v>
      </c>
      <c r="V291">
        <v>0</v>
      </c>
      <c r="W291">
        <v>37</v>
      </c>
      <c r="X291">
        <v>5</v>
      </c>
      <c r="Y291">
        <f t="shared" ca="1" si="4"/>
        <v>3.5892872950187393</v>
      </c>
    </row>
    <row r="292" spans="1:25" x14ac:dyDescent="0.3">
      <c r="A292" t="s">
        <v>700</v>
      </c>
      <c r="B292" t="s">
        <v>701</v>
      </c>
      <c r="C292">
        <v>1</v>
      </c>
      <c r="D292" s="1">
        <v>44820</v>
      </c>
      <c r="E292">
        <v>1524</v>
      </c>
      <c r="F292">
        <v>17</v>
      </c>
      <c r="G292">
        <v>53</v>
      </c>
      <c r="H292">
        <v>120</v>
      </c>
      <c r="I292">
        <v>62</v>
      </c>
      <c r="J292">
        <v>0</v>
      </c>
      <c r="K292">
        <v>2</v>
      </c>
      <c r="L292">
        <v>482175240</v>
      </c>
      <c r="M292">
        <v>110</v>
      </c>
      <c r="O292" t="s">
        <v>28</v>
      </c>
      <c r="P292">
        <v>82</v>
      </c>
      <c r="Q292">
        <v>67</v>
      </c>
      <c r="R292" t="str" cm="1">
        <f t="array" ref="R292">_xlfn.IFS(Q292&gt;70,"Good",Q292&lt;40,"Bad",(Q292&gt;OS330*(Q292&lt;80)),"Ok")</f>
        <v>Ok</v>
      </c>
      <c r="S292">
        <v>69</v>
      </c>
      <c r="T292" t="str" cm="1">
        <f t="array" ref="T292">_xlfn.IFS(S292&gt;50, "High", S292&lt;=50, "Low")</f>
        <v>High</v>
      </c>
      <c r="U292">
        <v>0</v>
      </c>
      <c r="V292">
        <v>0</v>
      </c>
      <c r="W292">
        <v>18</v>
      </c>
      <c r="X292">
        <v>4</v>
      </c>
      <c r="Y292">
        <f t="shared" ca="1" si="4"/>
        <v>76.241569835231488</v>
      </c>
    </row>
    <row r="293" spans="1:25" x14ac:dyDescent="0.3">
      <c r="A293" t="s">
        <v>702</v>
      </c>
      <c r="B293" t="s">
        <v>703</v>
      </c>
      <c r="C293">
        <v>2</v>
      </c>
      <c r="D293" s="1">
        <v>44917</v>
      </c>
      <c r="E293">
        <v>2651</v>
      </c>
      <c r="F293">
        <v>30</v>
      </c>
      <c r="G293">
        <v>21</v>
      </c>
      <c r="H293">
        <v>55</v>
      </c>
      <c r="I293">
        <v>32</v>
      </c>
      <c r="J293">
        <v>3</v>
      </c>
      <c r="K293">
        <v>0</v>
      </c>
      <c r="L293">
        <v>304118600</v>
      </c>
      <c r="M293">
        <v>94</v>
      </c>
      <c r="N293" t="s">
        <v>81</v>
      </c>
      <c r="O293" t="s">
        <v>28</v>
      </c>
      <c r="P293">
        <v>89</v>
      </c>
      <c r="Q293">
        <v>61</v>
      </c>
      <c r="R293" t="str" cm="1">
        <f t="array" ref="R293">_xlfn.IFS(Q293&gt;70,"Good",Q293&lt;40,"Bad",(Q293&gt;OS331*(Q293&lt;80)),"Ok")</f>
        <v>Ok</v>
      </c>
      <c r="S293">
        <v>66</v>
      </c>
      <c r="T293" t="str" cm="1">
        <f t="array" ref="T293">_xlfn.IFS(S293&gt;50, "High", S293&lt;=50, "Low")</f>
        <v>High</v>
      </c>
      <c r="U293">
        <v>17</v>
      </c>
      <c r="V293">
        <v>0</v>
      </c>
      <c r="W293">
        <v>36</v>
      </c>
      <c r="X293">
        <v>16</v>
      </c>
      <c r="Y293">
        <f t="shared" ca="1" si="4"/>
        <v>27.398363360243938</v>
      </c>
    </row>
    <row r="294" spans="1:25" x14ac:dyDescent="0.3">
      <c r="A294" t="s">
        <v>704</v>
      </c>
      <c r="B294" t="s">
        <v>171</v>
      </c>
      <c r="C294">
        <v>1</v>
      </c>
      <c r="D294" s="1">
        <v>43188</v>
      </c>
      <c r="E294">
        <v>11087</v>
      </c>
      <c r="F294">
        <v>6</v>
      </c>
      <c r="G294">
        <v>151</v>
      </c>
      <c r="H294">
        <v>107</v>
      </c>
      <c r="I294">
        <v>801</v>
      </c>
      <c r="J294">
        <v>1</v>
      </c>
      <c r="K294">
        <v>105</v>
      </c>
      <c r="L294">
        <v>1449799467</v>
      </c>
      <c r="M294">
        <v>134</v>
      </c>
      <c r="N294" t="s">
        <v>31</v>
      </c>
      <c r="O294" t="s">
        <v>28</v>
      </c>
      <c r="P294">
        <v>45</v>
      </c>
      <c r="Q294">
        <v>17</v>
      </c>
      <c r="R294" t="str" cm="1">
        <f t="array" ref="R294">_xlfn.IFS(Q294&gt;70,"Good",Q294&lt;40,"Bad",(Q294&gt;OS332*(Q294&lt;80)),"Ok")</f>
        <v>Bad</v>
      </c>
      <c r="S294">
        <v>60</v>
      </c>
      <c r="T294" t="str" cm="1">
        <f t="array" ref="T294">_xlfn.IFS(S294&gt;50, "High", S294&lt;=50, "Low")</f>
        <v>High</v>
      </c>
      <c r="U294">
        <v>21</v>
      </c>
      <c r="V294">
        <v>0</v>
      </c>
      <c r="W294">
        <v>33</v>
      </c>
      <c r="X294">
        <v>4</v>
      </c>
      <c r="Y294">
        <f t="shared" ca="1" si="4"/>
        <v>23.82843048394512</v>
      </c>
    </row>
    <row r="295" spans="1:25" x14ac:dyDescent="0.3">
      <c r="A295" t="s">
        <v>705</v>
      </c>
      <c r="B295" t="s">
        <v>93</v>
      </c>
      <c r="C295">
        <v>1</v>
      </c>
      <c r="D295" s="1">
        <v>45009</v>
      </c>
      <c r="E295">
        <v>373</v>
      </c>
      <c r="F295">
        <v>19</v>
      </c>
      <c r="G295">
        <v>4</v>
      </c>
      <c r="H295">
        <v>72</v>
      </c>
      <c r="I295">
        <v>5</v>
      </c>
      <c r="J295">
        <v>0</v>
      </c>
      <c r="K295">
        <v>5</v>
      </c>
      <c r="L295">
        <v>173627354</v>
      </c>
      <c r="M295">
        <v>120</v>
      </c>
      <c r="N295" t="s">
        <v>94</v>
      </c>
      <c r="O295" t="s">
        <v>28</v>
      </c>
      <c r="P295">
        <v>62</v>
      </c>
      <c r="Q295">
        <v>32</v>
      </c>
      <c r="R295" t="str" cm="1">
        <f t="array" ref="R295">_xlfn.IFS(Q295&gt;70,"Good",Q295&lt;40,"Bad",(Q295&gt;OS333*(Q295&lt;80)),"Ok")</f>
        <v>Bad</v>
      </c>
      <c r="S295">
        <v>76</v>
      </c>
      <c r="T295" t="str" cm="1">
        <f t="array" ref="T295">_xlfn.IFS(S295&gt;50, "High", S295&lt;=50, "Low")</f>
        <v>High</v>
      </c>
      <c r="U295">
        <v>0</v>
      </c>
      <c r="V295">
        <v>0</v>
      </c>
      <c r="W295">
        <v>39</v>
      </c>
      <c r="X295">
        <v>4</v>
      </c>
      <c r="Y295">
        <f t="shared" ca="1" si="4"/>
        <v>9.4325085369035495</v>
      </c>
    </row>
    <row r="296" spans="1:25" x14ac:dyDescent="0.3">
      <c r="A296" t="s">
        <v>445</v>
      </c>
      <c r="B296" t="s">
        <v>345</v>
      </c>
      <c r="C296">
        <v>2</v>
      </c>
      <c r="D296" s="1">
        <v>44959</v>
      </c>
      <c r="E296">
        <v>200</v>
      </c>
      <c r="F296">
        <v>4</v>
      </c>
      <c r="G296">
        <v>8</v>
      </c>
      <c r="H296">
        <v>77</v>
      </c>
      <c r="I296">
        <v>2</v>
      </c>
      <c r="J296">
        <v>1</v>
      </c>
      <c r="K296">
        <v>1</v>
      </c>
      <c r="L296">
        <v>90025258</v>
      </c>
      <c r="M296">
        <v>123</v>
      </c>
      <c r="N296" t="s">
        <v>94</v>
      </c>
      <c r="O296" t="s">
        <v>45</v>
      </c>
      <c r="P296">
        <v>70</v>
      </c>
      <c r="Q296">
        <v>86</v>
      </c>
      <c r="R296" t="str" cm="1">
        <f t="array" ref="R296">_xlfn.IFS(Q296&gt;70,"Good",Q296&lt;40,"Bad",(Q296&gt;OS334*(Q296&lt;80)),"Ok")</f>
        <v>Good</v>
      </c>
      <c r="S296">
        <v>68</v>
      </c>
      <c r="T296" t="str" cm="1">
        <f t="array" ref="T296">_xlfn.IFS(S296&gt;50, "High", S296&lt;=50, "Low")</f>
        <v>High</v>
      </c>
      <c r="U296">
        <v>24</v>
      </c>
      <c r="V296">
        <v>0</v>
      </c>
      <c r="W296">
        <v>11</v>
      </c>
      <c r="X296">
        <v>4</v>
      </c>
      <c r="Y296">
        <f t="shared" ca="1" si="4"/>
        <v>3.2502400931889053</v>
      </c>
    </row>
    <row r="297" spans="1:25" x14ac:dyDescent="0.3">
      <c r="A297" t="s">
        <v>400</v>
      </c>
      <c r="B297" t="s">
        <v>706</v>
      </c>
      <c r="C297">
        <v>2</v>
      </c>
      <c r="D297" s="1">
        <v>44533</v>
      </c>
      <c r="E297">
        <v>3741</v>
      </c>
      <c r="F297">
        <v>17</v>
      </c>
      <c r="G297">
        <v>156</v>
      </c>
      <c r="H297">
        <v>35</v>
      </c>
      <c r="I297">
        <v>110</v>
      </c>
      <c r="J297">
        <v>19</v>
      </c>
      <c r="K297">
        <v>0</v>
      </c>
      <c r="L297">
        <v>652704649</v>
      </c>
      <c r="M297">
        <v>131</v>
      </c>
      <c r="N297" t="s">
        <v>181</v>
      </c>
      <c r="O297" t="s">
        <v>28</v>
      </c>
      <c r="P297">
        <v>77</v>
      </c>
      <c r="Q297">
        <v>84</v>
      </c>
      <c r="R297" t="str" cm="1">
        <f t="array" ref="R297">_xlfn.IFS(Q297&gt;70,"Good",Q297&lt;40,"Bad",(Q297&gt;OS335*(Q297&lt;80)),"Ok")</f>
        <v>Good</v>
      </c>
      <c r="S297">
        <v>71</v>
      </c>
      <c r="T297" t="str" cm="1">
        <f t="array" ref="T297">_xlfn.IFS(S297&gt;50, "High", S297&lt;=50, "Low")</f>
        <v>High</v>
      </c>
      <c r="U297">
        <v>35</v>
      </c>
      <c r="V297">
        <v>0</v>
      </c>
      <c r="W297">
        <v>15</v>
      </c>
      <c r="X297">
        <v>4</v>
      </c>
      <c r="Y297">
        <f t="shared" ca="1" si="4"/>
        <v>68.364879228830205</v>
      </c>
    </row>
    <row r="298" spans="1:25" x14ac:dyDescent="0.3">
      <c r="A298" t="s">
        <v>707</v>
      </c>
      <c r="B298" t="s">
        <v>321</v>
      </c>
      <c r="C298">
        <v>1</v>
      </c>
      <c r="D298" s="1">
        <v>37257</v>
      </c>
      <c r="E298">
        <v>32502</v>
      </c>
      <c r="F298">
        <v>21</v>
      </c>
      <c r="G298">
        <v>247</v>
      </c>
      <c r="H298">
        <v>54</v>
      </c>
      <c r="I298" s="2">
        <v>5567</v>
      </c>
      <c r="J298">
        <v>1</v>
      </c>
      <c r="K298">
        <v>51</v>
      </c>
      <c r="L298">
        <v>1829992958</v>
      </c>
      <c r="M298">
        <v>171</v>
      </c>
      <c r="N298" t="s">
        <v>61</v>
      </c>
      <c r="O298" t="s">
        <v>28</v>
      </c>
      <c r="P298">
        <v>70</v>
      </c>
      <c r="Q298">
        <v>6</v>
      </c>
      <c r="R298" t="str" cm="1">
        <f t="array" ref="R298">_xlfn.IFS(Q298&gt;70,"Good",Q298&lt;40,"Bad",(Q298&gt;OS336*(Q298&lt;80)),"Ok")</f>
        <v>Bad</v>
      </c>
      <c r="S298">
        <v>73</v>
      </c>
      <c r="T298" t="str" cm="1">
        <f t="array" ref="T298">_xlfn.IFS(S298&gt;50, "High", S298&lt;=50, "Low")</f>
        <v>High</v>
      </c>
      <c r="U298">
        <v>1</v>
      </c>
      <c r="V298">
        <v>0</v>
      </c>
      <c r="W298">
        <v>36</v>
      </c>
      <c r="X298">
        <v>26</v>
      </c>
      <c r="Y298">
        <f t="shared" ca="1" si="4"/>
        <v>49.867136497806527</v>
      </c>
    </row>
    <row r="299" spans="1:25" x14ac:dyDescent="0.3">
      <c r="A299" t="s">
        <v>708</v>
      </c>
      <c r="B299" t="s">
        <v>709</v>
      </c>
      <c r="C299">
        <v>2</v>
      </c>
      <c r="D299" s="1">
        <v>37402</v>
      </c>
      <c r="E299">
        <v>7615</v>
      </c>
      <c r="F299">
        <v>14</v>
      </c>
      <c r="G299">
        <v>18</v>
      </c>
      <c r="H299">
        <v>51</v>
      </c>
      <c r="I299" s="2">
        <v>1005</v>
      </c>
      <c r="J299">
        <v>0</v>
      </c>
      <c r="K299">
        <v>0</v>
      </c>
      <c r="L299">
        <v>655466831</v>
      </c>
      <c r="M299">
        <v>130</v>
      </c>
      <c r="N299" t="s">
        <v>134</v>
      </c>
      <c r="O299" t="s">
        <v>45</v>
      </c>
      <c r="P299">
        <v>80</v>
      </c>
      <c r="Q299">
        <v>64</v>
      </c>
      <c r="R299" t="str" cm="1">
        <f t="array" ref="R299">_xlfn.IFS(Q299&gt;70,"Good",Q299&lt;40,"Bad",(Q299&gt;OS337*(Q299&lt;80)),"Ok")</f>
        <v>Ok</v>
      </c>
      <c r="S299">
        <v>76</v>
      </c>
      <c r="T299" t="str" cm="1">
        <f t="array" ref="T299">_xlfn.IFS(S299&gt;50, "High", S299&lt;=50, "Low")</f>
        <v>High</v>
      </c>
      <c r="U299">
        <v>2</v>
      </c>
      <c r="V299">
        <v>0</v>
      </c>
      <c r="W299">
        <v>20</v>
      </c>
      <c r="X299">
        <v>6</v>
      </c>
      <c r="Y299">
        <f t="shared" ca="1" si="4"/>
        <v>74.784560819165378</v>
      </c>
    </row>
    <row r="300" spans="1:25" x14ac:dyDescent="0.3">
      <c r="A300" t="s">
        <v>710</v>
      </c>
      <c r="B300" t="s">
        <v>647</v>
      </c>
      <c r="C300">
        <v>3</v>
      </c>
      <c r="D300" s="1">
        <v>44987</v>
      </c>
      <c r="E300">
        <v>1208</v>
      </c>
      <c r="F300">
        <v>34</v>
      </c>
      <c r="G300">
        <v>10</v>
      </c>
      <c r="H300">
        <v>41</v>
      </c>
      <c r="I300">
        <v>20</v>
      </c>
      <c r="J300">
        <v>0</v>
      </c>
      <c r="K300">
        <v>1</v>
      </c>
      <c r="L300">
        <v>146409671</v>
      </c>
      <c r="M300">
        <v>94</v>
      </c>
      <c r="N300" t="s">
        <v>27</v>
      </c>
      <c r="O300" t="s">
        <v>28</v>
      </c>
      <c r="P300">
        <v>82</v>
      </c>
      <c r="Q300">
        <v>53</v>
      </c>
      <c r="R300" t="str" cm="1">
        <f t="array" ref="R300">_xlfn.IFS(Q300&gt;70,"Good",Q300&lt;40,"Bad",(Q300&gt;OS338*(Q300&lt;80)),"Ok")</f>
        <v>Ok</v>
      </c>
      <c r="S300">
        <v>67</v>
      </c>
      <c r="T300" t="str" cm="1">
        <f t="array" ref="T300">_xlfn.IFS(S300&gt;50, "High", S300&lt;=50, "Low")</f>
        <v>High</v>
      </c>
      <c r="U300">
        <v>34</v>
      </c>
      <c r="V300">
        <v>0</v>
      </c>
      <c r="W300">
        <v>9</v>
      </c>
      <c r="X300">
        <v>8</v>
      </c>
      <c r="Y300">
        <f t="shared" ca="1" si="4"/>
        <v>73.894373317152471</v>
      </c>
    </row>
    <row r="301" spans="1:25" x14ac:dyDescent="0.3">
      <c r="A301" t="s">
        <v>711</v>
      </c>
      <c r="B301" t="s">
        <v>712</v>
      </c>
      <c r="C301">
        <v>2</v>
      </c>
      <c r="D301" s="1">
        <v>45023</v>
      </c>
      <c r="E301">
        <v>209</v>
      </c>
      <c r="F301">
        <v>4</v>
      </c>
      <c r="G301">
        <v>4</v>
      </c>
      <c r="H301">
        <v>45</v>
      </c>
      <c r="I301">
        <v>11</v>
      </c>
      <c r="J301">
        <v>2</v>
      </c>
      <c r="K301">
        <v>24</v>
      </c>
      <c r="L301">
        <v>95816024</v>
      </c>
      <c r="M301">
        <v>89</v>
      </c>
      <c r="N301" t="s">
        <v>94</v>
      </c>
      <c r="O301" t="s">
        <v>45</v>
      </c>
      <c r="P301">
        <v>73</v>
      </c>
      <c r="Q301">
        <v>44</v>
      </c>
      <c r="R301" t="str" cm="1">
        <f t="array" ref="R301">_xlfn.IFS(Q301&gt;70,"Good",Q301&lt;40,"Bad",(Q301&gt;OS339*(Q301&lt;80)),"Ok")</f>
        <v>Ok</v>
      </c>
      <c r="S301">
        <v>57</v>
      </c>
      <c r="T301" t="str" cm="1">
        <f t="array" ref="T301">_xlfn.IFS(S301&gt;50, "High", S301&lt;=50, "Low")</f>
        <v>High</v>
      </c>
      <c r="U301">
        <v>39</v>
      </c>
      <c r="V301">
        <v>0</v>
      </c>
      <c r="W301">
        <v>32</v>
      </c>
      <c r="X301">
        <v>6</v>
      </c>
      <c r="Y301">
        <f t="shared" ca="1" si="4"/>
        <v>70.168183417720485</v>
      </c>
    </row>
    <row r="302" spans="1:25" x14ac:dyDescent="0.3">
      <c r="A302" t="s">
        <v>529</v>
      </c>
      <c r="B302" t="s">
        <v>376</v>
      </c>
      <c r="C302">
        <v>1</v>
      </c>
      <c r="D302" s="1">
        <v>45002</v>
      </c>
      <c r="E302">
        <v>1235</v>
      </c>
      <c r="F302">
        <v>9</v>
      </c>
      <c r="G302">
        <v>20</v>
      </c>
      <c r="H302">
        <v>8</v>
      </c>
      <c r="I302">
        <v>15</v>
      </c>
      <c r="J302">
        <v>0</v>
      </c>
      <c r="K302">
        <v>6</v>
      </c>
      <c r="L302">
        <v>117206995</v>
      </c>
      <c r="M302">
        <v>87</v>
      </c>
      <c r="N302" t="s">
        <v>34</v>
      </c>
      <c r="O302" t="s">
        <v>45</v>
      </c>
      <c r="P302">
        <v>65</v>
      </c>
      <c r="Q302">
        <v>71</v>
      </c>
      <c r="R302" t="str" cm="1">
        <f t="array" ref="R302">_xlfn.IFS(Q302&gt;70,"Good",Q302&lt;40,"Bad",(Q302&gt;OS340*(Q302&lt;80)),"Ok")</f>
        <v>Good</v>
      </c>
      <c r="S302">
        <v>56</v>
      </c>
      <c r="T302" t="str" cm="1">
        <f t="array" ref="T302">_xlfn.IFS(S302&gt;50, "High", S302&lt;=50, "Low")</f>
        <v>High</v>
      </c>
      <c r="U302">
        <v>4</v>
      </c>
      <c r="V302">
        <v>0</v>
      </c>
      <c r="W302">
        <v>15</v>
      </c>
      <c r="X302">
        <v>20</v>
      </c>
      <c r="Y302">
        <f t="shared" ca="1" si="4"/>
        <v>40.8919910662528</v>
      </c>
    </row>
    <row r="303" spans="1:25" x14ac:dyDescent="0.3">
      <c r="A303" t="s">
        <v>377</v>
      </c>
      <c r="B303" t="s">
        <v>713</v>
      </c>
      <c r="C303">
        <v>2</v>
      </c>
      <c r="D303" s="1">
        <v>45007</v>
      </c>
      <c r="E303">
        <v>654</v>
      </c>
      <c r="F303">
        <v>3</v>
      </c>
      <c r="G303">
        <v>11</v>
      </c>
      <c r="H303">
        <v>3</v>
      </c>
      <c r="I303">
        <v>18</v>
      </c>
      <c r="J303">
        <v>1</v>
      </c>
      <c r="K303">
        <v>1</v>
      </c>
      <c r="L303">
        <v>100409613</v>
      </c>
      <c r="M303">
        <v>124</v>
      </c>
      <c r="N303" t="s">
        <v>27</v>
      </c>
      <c r="O303" t="s">
        <v>45</v>
      </c>
      <c r="P303">
        <v>72</v>
      </c>
      <c r="Q303">
        <v>79</v>
      </c>
      <c r="R303" t="str" cm="1">
        <f t="array" ref="R303">_xlfn.IFS(Q303&gt;70,"Good",Q303&lt;40,"Bad",(Q303&gt;OS341*(Q303&lt;80)),"Ok")</f>
        <v>Good</v>
      </c>
      <c r="S303">
        <v>78</v>
      </c>
      <c r="T303" t="str" cm="1">
        <f t="array" ref="T303">_xlfn.IFS(S303&gt;50, "High", S303&lt;=50, "Low")</f>
        <v>High</v>
      </c>
      <c r="U303">
        <v>55</v>
      </c>
      <c r="V303">
        <v>0</v>
      </c>
      <c r="W303">
        <v>15</v>
      </c>
      <c r="X303">
        <v>30</v>
      </c>
      <c r="Y303">
        <f t="shared" ca="1" si="4"/>
        <v>10.629709822913846</v>
      </c>
    </row>
    <row r="304" spans="1:25" x14ac:dyDescent="0.3">
      <c r="A304" t="s">
        <v>386</v>
      </c>
      <c r="B304" t="s">
        <v>714</v>
      </c>
      <c r="C304">
        <v>2</v>
      </c>
      <c r="D304" s="1">
        <v>45012</v>
      </c>
      <c r="E304">
        <v>1479</v>
      </c>
      <c r="F304">
        <v>0</v>
      </c>
      <c r="G304">
        <v>23</v>
      </c>
      <c r="H304">
        <v>0</v>
      </c>
      <c r="I304">
        <v>18</v>
      </c>
      <c r="J304">
        <v>0</v>
      </c>
      <c r="K304">
        <v>33</v>
      </c>
      <c r="L304">
        <v>80758350</v>
      </c>
      <c r="M304">
        <v>78</v>
      </c>
      <c r="N304" t="s">
        <v>81</v>
      </c>
      <c r="O304" t="s">
        <v>28</v>
      </c>
      <c r="P304">
        <v>71</v>
      </c>
      <c r="Q304">
        <v>80</v>
      </c>
      <c r="R304" t="str" cm="1">
        <f t="array" ref="R304">_xlfn.IFS(Q304&gt;70,"Good",Q304&lt;40,"Bad",(Q304&gt;OS342*(Q304&lt;80)),"Ok")</f>
        <v>Good</v>
      </c>
      <c r="S304">
        <v>65</v>
      </c>
      <c r="T304" t="str" cm="1">
        <f t="array" ref="T304">_xlfn.IFS(S304&gt;50, "High", S304&lt;=50, "Low")</f>
        <v>High</v>
      </c>
      <c r="U304">
        <v>51</v>
      </c>
      <c r="V304">
        <v>0</v>
      </c>
      <c r="W304">
        <v>22</v>
      </c>
      <c r="X304">
        <v>32</v>
      </c>
      <c r="Y304">
        <f t="shared" ca="1" si="4"/>
        <v>17.519205259769532</v>
      </c>
    </row>
    <row r="305" spans="1:25" x14ac:dyDescent="0.3">
      <c r="A305" s="3">
        <v>0.44097222222222221</v>
      </c>
      <c r="B305" t="s">
        <v>715</v>
      </c>
      <c r="C305">
        <v>2</v>
      </c>
      <c r="D305" s="1">
        <v>44866</v>
      </c>
      <c r="E305">
        <v>4942</v>
      </c>
      <c r="F305">
        <v>26</v>
      </c>
      <c r="G305">
        <v>190</v>
      </c>
      <c r="H305">
        <v>104</v>
      </c>
      <c r="I305">
        <v>147</v>
      </c>
      <c r="J305">
        <v>18</v>
      </c>
      <c r="K305">
        <v>63</v>
      </c>
      <c r="L305">
        <v>325592432</v>
      </c>
      <c r="M305">
        <v>120</v>
      </c>
      <c r="N305" t="s">
        <v>81</v>
      </c>
      <c r="O305" t="s">
        <v>28</v>
      </c>
      <c r="P305">
        <v>70</v>
      </c>
      <c r="Q305">
        <v>70</v>
      </c>
      <c r="R305" t="str" cm="1">
        <f t="array" ref="R305">_xlfn.IFS(Q305&gt;70,"Good",Q305&lt;40,"Bad",(Q305&gt;OS343*(Q305&lt;80)),"Ok")</f>
        <v>Ok</v>
      </c>
      <c r="S305">
        <v>79</v>
      </c>
      <c r="T305" t="str" cm="1">
        <f t="array" ref="T305">_xlfn.IFS(S305&gt;50, "High", S305&lt;=50, "Low")</f>
        <v>High</v>
      </c>
      <c r="U305">
        <v>7</v>
      </c>
      <c r="V305">
        <v>0</v>
      </c>
      <c r="W305">
        <v>18</v>
      </c>
      <c r="X305">
        <v>10</v>
      </c>
      <c r="Y305">
        <f t="shared" ca="1" si="4"/>
        <v>2.0910175507537598</v>
      </c>
    </row>
    <row r="306" spans="1:25" x14ac:dyDescent="0.3">
      <c r="A306" t="s">
        <v>716</v>
      </c>
      <c r="B306" t="s">
        <v>714</v>
      </c>
      <c r="C306">
        <v>2</v>
      </c>
      <c r="D306" s="1">
        <v>45016</v>
      </c>
      <c r="E306">
        <v>709</v>
      </c>
      <c r="F306">
        <v>0</v>
      </c>
      <c r="G306">
        <v>8</v>
      </c>
      <c r="H306">
        <v>1</v>
      </c>
      <c r="I306">
        <v>13</v>
      </c>
      <c r="J306">
        <v>0</v>
      </c>
      <c r="K306">
        <v>0</v>
      </c>
      <c r="L306">
        <v>58473276</v>
      </c>
      <c r="M306">
        <v>96</v>
      </c>
      <c r="N306" t="s">
        <v>65</v>
      </c>
      <c r="O306" t="s">
        <v>45</v>
      </c>
      <c r="P306">
        <v>48</v>
      </c>
      <c r="Q306">
        <v>50</v>
      </c>
      <c r="R306" t="str" cm="1">
        <f t="array" ref="R306">_xlfn.IFS(Q306&gt;70,"Good",Q306&lt;40,"Bad",(Q306&gt;OS344*(Q306&lt;80)),"Ok")</f>
        <v>Ok</v>
      </c>
      <c r="S306">
        <v>80</v>
      </c>
      <c r="T306" t="str" cm="1">
        <f t="array" ref="T306">_xlfn.IFS(S306&gt;50, "High", S306&lt;=50, "Low")</f>
        <v>High</v>
      </c>
      <c r="U306">
        <v>40</v>
      </c>
      <c r="V306">
        <v>0</v>
      </c>
      <c r="W306">
        <v>37</v>
      </c>
      <c r="X306">
        <v>20</v>
      </c>
      <c r="Y306">
        <f t="shared" ca="1" si="4"/>
        <v>45.296720490628864</v>
      </c>
    </row>
    <row r="307" spans="1:25" x14ac:dyDescent="0.3">
      <c r="A307" t="s">
        <v>717</v>
      </c>
      <c r="B307" t="s">
        <v>718</v>
      </c>
      <c r="C307">
        <v>1</v>
      </c>
      <c r="D307" s="1">
        <v>45010</v>
      </c>
      <c r="E307">
        <v>660</v>
      </c>
      <c r="F307">
        <v>0</v>
      </c>
      <c r="G307">
        <v>22</v>
      </c>
      <c r="H307">
        <v>7</v>
      </c>
      <c r="I307">
        <v>11</v>
      </c>
      <c r="J307">
        <v>0</v>
      </c>
      <c r="K307">
        <v>78</v>
      </c>
      <c r="L307">
        <v>52722996</v>
      </c>
      <c r="M307">
        <v>106</v>
      </c>
      <c r="N307" t="s">
        <v>94</v>
      </c>
      <c r="O307" t="s">
        <v>28</v>
      </c>
      <c r="P307">
        <v>73</v>
      </c>
      <c r="Q307">
        <v>22</v>
      </c>
      <c r="R307" t="str" cm="1">
        <f t="array" ref="R307">_xlfn.IFS(Q307&gt;70,"Good",Q307&lt;40,"Bad",(Q307&gt;OS345*(Q307&lt;80)),"Ok")</f>
        <v>Bad</v>
      </c>
      <c r="S307">
        <v>86</v>
      </c>
      <c r="T307" t="str" cm="1">
        <f t="array" ref="T307">_xlfn.IFS(S307&gt;50, "High", S307&lt;=50, "Low")</f>
        <v>High</v>
      </c>
      <c r="U307">
        <v>31</v>
      </c>
      <c r="V307">
        <v>0</v>
      </c>
      <c r="W307">
        <v>12</v>
      </c>
      <c r="X307">
        <v>4</v>
      </c>
      <c r="Y307">
        <f t="shared" ca="1" si="4"/>
        <v>20.918919738167585</v>
      </c>
    </row>
    <row r="308" spans="1:25" x14ac:dyDescent="0.3">
      <c r="A308" t="s">
        <v>719</v>
      </c>
      <c r="B308" t="s">
        <v>720</v>
      </c>
      <c r="C308">
        <v>1</v>
      </c>
      <c r="D308" s="1">
        <v>44554</v>
      </c>
      <c r="E308">
        <v>489</v>
      </c>
      <c r="F308">
        <v>17</v>
      </c>
      <c r="G308">
        <v>4</v>
      </c>
      <c r="H308">
        <v>11</v>
      </c>
      <c r="I308">
        <v>5</v>
      </c>
      <c r="J308">
        <v>1</v>
      </c>
      <c r="K308">
        <v>2</v>
      </c>
      <c r="L308">
        <v>191945597</v>
      </c>
      <c r="M308">
        <v>170</v>
      </c>
      <c r="N308" t="s">
        <v>61</v>
      </c>
      <c r="O308" t="s">
        <v>45</v>
      </c>
      <c r="P308">
        <v>78</v>
      </c>
      <c r="Q308">
        <v>75</v>
      </c>
      <c r="R308" t="str" cm="1">
        <f t="array" ref="R308">_xlfn.IFS(Q308&gt;70,"Good",Q308&lt;40,"Bad",(Q308&gt;OS346*(Q308&lt;80)),"Ok")</f>
        <v>Good</v>
      </c>
      <c r="S308">
        <v>46</v>
      </c>
      <c r="T308" t="str" cm="1">
        <f t="array" ref="T308">_xlfn.IFS(S308&gt;50, "High", S308&lt;=50, "Low")</f>
        <v>Low</v>
      </c>
      <c r="U308">
        <v>62</v>
      </c>
      <c r="V308">
        <v>0</v>
      </c>
      <c r="W308">
        <v>12</v>
      </c>
      <c r="X308">
        <v>35</v>
      </c>
      <c r="Y308">
        <f t="shared" ca="1" si="4"/>
        <v>17.13650653870117</v>
      </c>
    </row>
    <row r="309" spans="1:25" x14ac:dyDescent="0.3">
      <c r="A309" t="s">
        <v>721</v>
      </c>
      <c r="B309" t="s">
        <v>722</v>
      </c>
      <c r="C309">
        <v>2</v>
      </c>
      <c r="D309" s="1">
        <v>45009</v>
      </c>
      <c r="E309">
        <v>407</v>
      </c>
      <c r="F309">
        <v>0</v>
      </c>
      <c r="G309">
        <v>16</v>
      </c>
      <c r="H309">
        <v>15</v>
      </c>
      <c r="I309">
        <v>5</v>
      </c>
      <c r="J309">
        <v>0</v>
      </c>
      <c r="K309">
        <v>1</v>
      </c>
      <c r="L309">
        <v>77377503</v>
      </c>
      <c r="M309">
        <v>134</v>
      </c>
      <c r="N309" t="s">
        <v>27</v>
      </c>
      <c r="O309" t="s">
        <v>45</v>
      </c>
      <c r="P309">
        <v>67</v>
      </c>
      <c r="Q309">
        <v>11</v>
      </c>
      <c r="R309" t="str" cm="1">
        <f t="array" ref="R309">_xlfn.IFS(Q309&gt;70,"Good",Q309&lt;40,"Bad",(Q309&gt;OS347*(Q309&lt;80)),"Ok")</f>
        <v>Bad</v>
      </c>
      <c r="S309">
        <v>76</v>
      </c>
      <c r="T309" t="str" cm="1">
        <f t="array" ref="T309">_xlfn.IFS(S309&gt;50, "High", S309&lt;=50, "Low")</f>
        <v>High</v>
      </c>
      <c r="U309">
        <v>8</v>
      </c>
      <c r="V309">
        <v>47</v>
      </c>
      <c r="W309">
        <v>30</v>
      </c>
      <c r="X309">
        <v>7</v>
      </c>
      <c r="Y309">
        <f t="shared" ca="1" si="4"/>
        <v>44.896569993647418</v>
      </c>
    </row>
    <row r="310" spans="1:25" x14ac:dyDescent="0.3">
      <c r="A310" t="s">
        <v>135</v>
      </c>
      <c r="B310" t="s">
        <v>77</v>
      </c>
      <c r="C310">
        <v>1</v>
      </c>
      <c r="D310" s="1">
        <v>44701</v>
      </c>
      <c r="E310">
        <v>7461</v>
      </c>
      <c r="F310">
        <v>8</v>
      </c>
      <c r="G310">
        <v>166</v>
      </c>
      <c r="H310">
        <v>42</v>
      </c>
      <c r="I310">
        <v>199</v>
      </c>
      <c r="J310">
        <v>16</v>
      </c>
      <c r="K310">
        <v>58</v>
      </c>
      <c r="L310">
        <v>743693613</v>
      </c>
      <c r="M310">
        <v>115</v>
      </c>
      <c r="N310" t="s">
        <v>181</v>
      </c>
      <c r="O310" t="s">
        <v>28</v>
      </c>
      <c r="P310">
        <v>71</v>
      </c>
      <c r="Q310">
        <v>90</v>
      </c>
      <c r="R310" t="str" cm="1">
        <f t="array" ref="R310">_xlfn.IFS(Q310&gt;70,"Good",Q310&lt;40,"Bad",(Q310&gt;OS348*(Q310&lt;80)),"Ok")</f>
        <v>Good</v>
      </c>
      <c r="S310">
        <v>73</v>
      </c>
      <c r="T310" t="str" cm="1">
        <f t="array" ref="T310">_xlfn.IFS(S310&gt;50, "High", S310&lt;=50, "Low")</f>
        <v>High</v>
      </c>
      <c r="U310">
        <v>30</v>
      </c>
      <c r="V310">
        <v>0</v>
      </c>
      <c r="W310">
        <v>11</v>
      </c>
      <c r="X310">
        <v>5</v>
      </c>
      <c r="Y310">
        <f t="shared" ca="1" si="4"/>
        <v>79.934366915328937</v>
      </c>
    </row>
    <row r="311" spans="1:25" x14ac:dyDescent="0.3">
      <c r="A311" t="s">
        <v>438</v>
      </c>
      <c r="B311" t="s">
        <v>723</v>
      </c>
      <c r="C311">
        <v>1</v>
      </c>
      <c r="D311" s="1">
        <v>44904</v>
      </c>
      <c r="E311">
        <v>993</v>
      </c>
      <c r="F311">
        <v>4</v>
      </c>
      <c r="G311">
        <v>30</v>
      </c>
      <c r="H311">
        <v>84</v>
      </c>
      <c r="I311">
        <v>88</v>
      </c>
      <c r="J311">
        <v>1</v>
      </c>
      <c r="K311">
        <v>28</v>
      </c>
      <c r="L311">
        <v>267789608</v>
      </c>
      <c r="M311">
        <v>130</v>
      </c>
      <c r="N311" t="s">
        <v>65</v>
      </c>
      <c r="O311" t="s">
        <v>28</v>
      </c>
      <c r="P311">
        <v>74</v>
      </c>
      <c r="Q311">
        <v>79</v>
      </c>
      <c r="R311" t="str" cm="1">
        <f t="array" ref="R311">_xlfn.IFS(Q311&gt;70,"Good",Q311&lt;40,"Bad",(Q311&gt;OS349*(Q311&lt;80)),"Ok")</f>
        <v>Good</v>
      </c>
      <c r="S311">
        <v>87</v>
      </c>
      <c r="T311" t="str" cm="1">
        <f t="array" ref="T311">_xlfn.IFS(S311&gt;50, "High", S311&lt;=50, "Low")</f>
        <v>High</v>
      </c>
      <c r="U311">
        <v>45</v>
      </c>
      <c r="V311">
        <v>0</v>
      </c>
      <c r="W311">
        <v>30</v>
      </c>
      <c r="X311">
        <v>3</v>
      </c>
      <c r="Y311">
        <f t="shared" ca="1" si="4"/>
        <v>22.52158753789335</v>
      </c>
    </row>
    <row r="312" spans="1:25" x14ac:dyDescent="0.3">
      <c r="A312" t="s">
        <v>724</v>
      </c>
      <c r="B312" t="s">
        <v>177</v>
      </c>
      <c r="C312">
        <v>2</v>
      </c>
      <c r="D312" s="1">
        <v>43910</v>
      </c>
      <c r="E312">
        <v>9161</v>
      </c>
      <c r="F312">
        <v>5</v>
      </c>
      <c r="G312">
        <v>240</v>
      </c>
      <c r="H312">
        <v>98</v>
      </c>
      <c r="I312">
        <v>468</v>
      </c>
      <c r="J312">
        <v>3</v>
      </c>
      <c r="K312">
        <v>10</v>
      </c>
      <c r="L312">
        <v>1221813483</v>
      </c>
      <c r="M312">
        <v>118</v>
      </c>
      <c r="O312" t="s">
        <v>28</v>
      </c>
      <c r="P312">
        <v>65</v>
      </c>
      <c r="Q312">
        <v>63</v>
      </c>
      <c r="R312" t="str" cm="1">
        <f t="array" ref="R312">_xlfn.IFS(Q312&gt;70,"Good",Q312&lt;40,"Bad",(Q312&gt;OS350*(Q312&lt;80)),"Ok")</f>
        <v>Ok</v>
      </c>
      <c r="S312">
        <v>79</v>
      </c>
      <c r="T312" t="str" cm="1">
        <f t="array" ref="T312">_xlfn.IFS(S312&gt;50, "High", S312&lt;=50, "Low")</f>
        <v>High</v>
      </c>
      <c r="U312">
        <v>3</v>
      </c>
      <c r="V312">
        <v>0</v>
      </c>
      <c r="W312">
        <v>10</v>
      </c>
      <c r="X312">
        <v>3</v>
      </c>
      <c r="Y312">
        <f t="shared" ca="1" si="4"/>
        <v>81.447718858995017</v>
      </c>
    </row>
    <row r="313" spans="1:25" x14ac:dyDescent="0.3">
      <c r="A313" t="s">
        <v>725</v>
      </c>
      <c r="B313" t="s">
        <v>726</v>
      </c>
      <c r="C313">
        <v>1</v>
      </c>
      <c r="D313" s="1">
        <v>44673</v>
      </c>
      <c r="E313">
        <v>3282</v>
      </c>
      <c r="F313">
        <v>12</v>
      </c>
      <c r="G313">
        <v>67</v>
      </c>
      <c r="H313">
        <v>84</v>
      </c>
      <c r="I313">
        <v>46</v>
      </c>
      <c r="J313">
        <v>16</v>
      </c>
      <c r="K313">
        <v>117</v>
      </c>
      <c r="L313">
        <v>449701773</v>
      </c>
      <c r="M313">
        <v>110</v>
      </c>
      <c r="N313" t="s">
        <v>94</v>
      </c>
      <c r="O313" t="s">
        <v>28</v>
      </c>
      <c r="P313">
        <v>59</v>
      </c>
      <c r="Q313">
        <v>22</v>
      </c>
      <c r="R313" t="str" cm="1">
        <f t="array" ref="R313">_xlfn.IFS(Q313&gt;70,"Good",Q313&lt;40,"Bad",(Q313&gt;OS351*(Q313&lt;80)),"Ok")</f>
        <v>Bad</v>
      </c>
      <c r="S313">
        <v>38</v>
      </c>
      <c r="T313" t="str" cm="1">
        <f t="array" ref="T313">_xlfn.IFS(S313&gt;50, "High", S313&lt;=50, "Low")</f>
        <v>Low</v>
      </c>
      <c r="U313">
        <v>42</v>
      </c>
      <c r="V313">
        <v>0</v>
      </c>
      <c r="W313">
        <v>12</v>
      </c>
      <c r="X313">
        <v>3</v>
      </c>
      <c r="Y313">
        <f t="shared" ca="1" si="4"/>
        <v>50.184167022710511</v>
      </c>
    </row>
    <row r="314" spans="1:25" x14ac:dyDescent="0.3">
      <c r="A314" t="s">
        <v>727</v>
      </c>
      <c r="B314" t="s">
        <v>728</v>
      </c>
      <c r="C314">
        <v>1</v>
      </c>
      <c r="D314" s="1">
        <v>45014</v>
      </c>
      <c r="E314">
        <v>596</v>
      </c>
      <c r="F314">
        <v>0</v>
      </c>
      <c r="G314">
        <v>29</v>
      </c>
      <c r="H314">
        <v>9</v>
      </c>
      <c r="I314">
        <v>12</v>
      </c>
      <c r="J314">
        <v>0</v>
      </c>
      <c r="K314">
        <v>52</v>
      </c>
      <c r="L314">
        <v>67070410</v>
      </c>
      <c r="M314">
        <v>100</v>
      </c>
      <c r="N314" t="s">
        <v>37</v>
      </c>
      <c r="O314" t="s">
        <v>28</v>
      </c>
      <c r="P314">
        <v>72</v>
      </c>
      <c r="Q314">
        <v>42</v>
      </c>
      <c r="R314" t="str" cm="1">
        <f t="array" ref="R314">_xlfn.IFS(Q314&gt;70,"Good",Q314&lt;40,"Bad",(Q314&gt;OS352*(Q314&lt;80)),"Ok")</f>
        <v>Ok</v>
      </c>
      <c r="S314">
        <v>66</v>
      </c>
      <c r="T314" t="str" cm="1">
        <f t="array" ref="T314">_xlfn.IFS(S314&gt;50, "High", S314&lt;=50, "Low")</f>
        <v>High</v>
      </c>
      <c r="U314">
        <v>18</v>
      </c>
      <c r="V314">
        <v>4</v>
      </c>
      <c r="W314">
        <v>19</v>
      </c>
      <c r="X314">
        <v>4</v>
      </c>
      <c r="Y314">
        <f t="shared" ca="1" si="4"/>
        <v>32.013008866292338</v>
      </c>
    </row>
    <row r="315" spans="1:25" x14ac:dyDescent="0.3">
      <c r="A315" t="s">
        <v>146</v>
      </c>
      <c r="B315" t="s">
        <v>729</v>
      </c>
      <c r="C315">
        <v>2</v>
      </c>
      <c r="D315" s="1">
        <v>44999</v>
      </c>
      <c r="E315">
        <v>320</v>
      </c>
      <c r="F315">
        <v>6</v>
      </c>
      <c r="G315">
        <v>5</v>
      </c>
      <c r="H315">
        <v>48</v>
      </c>
      <c r="I315">
        <v>2</v>
      </c>
      <c r="J315">
        <v>1</v>
      </c>
      <c r="K315">
        <v>9</v>
      </c>
      <c r="L315">
        <v>116334601</v>
      </c>
      <c r="M315">
        <v>142</v>
      </c>
      <c r="N315" t="s">
        <v>94</v>
      </c>
      <c r="O315" t="s">
        <v>45</v>
      </c>
      <c r="P315">
        <v>70</v>
      </c>
      <c r="Q315">
        <v>76</v>
      </c>
      <c r="R315" t="str" cm="1">
        <f t="array" ref="R315">_xlfn.IFS(Q315&gt;70,"Good",Q315&lt;40,"Bad",(Q315&gt;OS353*(Q315&lt;80)),"Ok")</f>
        <v>Good</v>
      </c>
      <c r="S315">
        <v>79</v>
      </c>
      <c r="T315" t="str" cm="1">
        <f t="array" ref="T315">_xlfn.IFS(S315&gt;50, "High", S315&lt;=50, "Low")</f>
        <v>High</v>
      </c>
      <c r="U315">
        <v>26</v>
      </c>
      <c r="V315">
        <v>0</v>
      </c>
      <c r="W315">
        <v>11</v>
      </c>
      <c r="X315">
        <v>7</v>
      </c>
      <c r="Y315">
        <f t="shared" ca="1" si="4"/>
        <v>29.80556367234567</v>
      </c>
    </row>
    <row r="316" spans="1:25" x14ac:dyDescent="0.3">
      <c r="A316" t="s">
        <v>730</v>
      </c>
      <c r="B316" t="s">
        <v>36</v>
      </c>
      <c r="C316">
        <v>1</v>
      </c>
      <c r="D316" s="1">
        <v>44855</v>
      </c>
      <c r="E316">
        <v>2612</v>
      </c>
      <c r="F316">
        <v>4</v>
      </c>
      <c r="G316">
        <v>19</v>
      </c>
      <c r="H316">
        <v>29</v>
      </c>
      <c r="I316">
        <v>21</v>
      </c>
      <c r="J316">
        <v>0</v>
      </c>
      <c r="K316">
        <v>0</v>
      </c>
      <c r="L316">
        <v>433356509</v>
      </c>
      <c r="M316">
        <v>140</v>
      </c>
      <c r="O316" t="s">
        <v>28</v>
      </c>
      <c r="P316">
        <v>64</v>
      </c>
      <c r="Q316">
        <v>18</v>
      </c>
      <c r="R316" t="str" cm="1">
        <f t="array" ref="R316">_xlfn.IFS(Q316&gt;70,"Good",Q316&lt;40,"Bad",(Q316&gt;OS354*(Q316&lt;80)),"Ok")</f>
        <v>Bad</v>
      </c>
      <c r="S316">
        <v>37</v>
      </c>
      <c r="T316" t="str" cm="1">
        <f t="array" ref="T316">_xlfn.IFS(S316&gt;50, "High", S316&lt;=50, "Low")</f>
        <v>Low</v>
      </c>
      <c r="U316">
        <v>72</v>
      </c>
      <c r="V316">
        <v>0</v>
      </c>
      <c r="W316">
        <v>12</v>
      </c>
      <c r="X316">
        <v>7</v>
      </c>
      <c r="Y316">
        <f t="shared" ca="1" si="4"/>
        <v>39.850109581610063</v>
      </c>
    </row>
    <row r="317" spans="1:25" x14ac:dyDescent="0.3">
      <c r="A317" t="s">
        <v>483</v>
      </c>
      <c r="B317" t="s">
        <v>731</v>
      </c>
      <c r="C317">
        <v>1</v>
      </c>
      <c r="D317" s="1">
        <v>44967</v>
      </c>
      <c r="E317">
        <v>2040</v>
      </c>
      <c r="F317">
        <v>4</v>
      </c>
      <c r="G317">
        <v>81</v>
      </c>
      <c r="H317">
        <v>27</v>
      </c>
      <c r="I317">
        <v>66</v>
      </c>
      <c r="J317">
        <v>9</v>
      </c>
      <c r="K317">
        <v>444</v>
      </c>
      <c r="L317">
        <v>165584767</v>
      </c>
      <c r="M317">
        <v>116</v>
      </c>
      <c r="N317" t="s">
        <v>94</v>
      </c>
      <c r="O317" t="s">
        <v>28</v>
      </c>
      <c r="P317">
        <v>90</v>
      </c>
      <c r="Q317">
        <v>96</v>
      </c>
      <c r="R317" t="str" cm="1">
        <f t="array" ref="R317">_xlfn.IFS(Q317&gt;70,"Good",Q317&lt;40,"Bad",(Q317&gt;OS355*(Q317&lt;80)),"Ok")</f>
        <v>Good</v>
      </c>
      <c r="S317">
        <v>73</v>
      </c>
      <c r="T317" t="str" cm="1">
        <f t="array" ref="T317">_xlfn.IFS(S317&gt;50, "High", S317&lt;=50, "Low")</f>
        <v>High</v>
      </c>
      <c r="U317">
        <v>62</v>
      </c>
      <c r="V317">
        <v>0</v>
      </c>
      <c r="W317">
        <v>9</v>
      </c>
      <c r="X317">
        <v>4</v>
      </c>
      <c r="Y317">
        <f t="shared" ca="1" si="4"/>
        <v>67.162670038957614</v>
      </c>
    </row>
    <row r="318" spans="1:25" x14ac:dyDescent="0.3">
      <c r="A318" t="s">
        <v>732</v>
      </c>
      <c r="B318" t="s">
        <v>119</v>
      </c>
      <c r="C318">
        <v>1</v>
      </c>
      <c r="D318" s="1">
        <v>44694</v>
      </c>
      <c r="E318">
        <v>2128</v>
      </c>
      <c r="F318">
        <v>9</v>
      </c>
      <c r="G318">
        <v>37</v>
      </c>
      <c r="H318">
        <v>88</v>
      </c>
      <c r="I318">
        <v>9</v>
      </c>
      <c r="J318">
        <v>0</v>
      </c>
      <c r="K318">
        <v>14</v>
      </c>
      <c r="L318">
        <v>367814306</v>
      </c>
      <c r="M318">
        <v>120</v>
      </c>
      <c r="N318" t="s">
        <v>37</v>
      </c>
      <c r="O318" t="s">
        <v>28</v>
      </c>
      <c r="P318">
        <v>73</v>
      </c>
      <c r="Q318">
        <v>64</v>
      </c>
      <c r="R318" t="str" cm="1">
        <f t="array" ref="R318">_xlfn.IFS(Q318&gt;70,"Good",Q318&lt;40,"Bad",(Q318&gt;OS356*(Q318&lt;80)),"Ok")</f>
        <v>Ok</v>
      </c>
      <c r="S318">
        <v>85</v>
      </c>
      <c r="T318" t="str" cm="1">
        <f t="array" ref="T318">_xlfn.IFS(S318&gt;50, "High", S318&lt;=50, "Low")</f>
        <v>High</v>
      </c>
      <c r="U318">
        <v>25</v>
      </c>
      <c r="V318">
        <v>0</v>
      </c>
      <c r="W318">
        <v>61</v>
      </c>
      <c r="X318">
        <v>3</v>
      </c>
      <c r="Y318">
        <f t="shared" ca="1" si="4"/>
        <v>34.277074300769328</v>
      </c>
    </row>
    <row r="319" spans="1:25" x14ac:dyDescent="0.3">
      <c r="A319" t="s">
        <v>733</v>
      </c>
      <c r="B319" t="s">
        <v>734</v>
      </c>
      <c r="C319">
        <v>2</v>
      </c>
      <c r="D319" s="1">
        <v>44652</v>
      </c>
      <c r="E319">
        <v>2598</v>
      </c>
      <c r="F319">
        <v>37</v>
      </c>
      <c r="G319">
        <v>28</v>
      </c>
      <c r="H319">
        <v>57</v>
      </c>
      <c r="I319">
        <v>43</v>
      </c>
      <c r="J319">
        <v>8</v>
      </c>
      <c r="K319">
        <v>85</v>
      </c>
      <c r="L319">
        <v>477033549</v>
      </c>
      <c r="M319">
        <v>92</v>
      </c>
      <c r="N319" t="s">
        <v>34</v>
      </c>
      <c r="O319" t="s">
        <v>45</v>
      </c>
      <c r="P319">
        <v>76</v>
      </c>
      <c r="Q319">
        <v>46</v>
      </c>
      <c r="R319" t="str" cm="1">
        <f t="array" ref="R319">_xlfn.IFS(Q319&gt;70,"Good",Q319&lt;40,"Bad",(Q319&gt;OS357*(Q319&lt;80)),"Ok")</f>
        <v>Ok</v>
      </c>
      <c r="S319">
        <v>79</v>
      </c>
      <c r="T319" t="str" cm="1">
        <f t="array" ref="T319">_xlfn.IFS(S319&gt;50, "High", S319&lt;=50, "Low")</f>
        <v>High</v>
      </c>
      <c r="U319">
        <v>31</v>
      </c>
      <c r="V319">
        <v>0</v>
      </c>
      <c r="W319">
        <v>7</v>
      </c>
      <c r="X319">
        <v>6</v>
      </c>
      <c r="Y319">
        <f t="shared" ca="1" si="4"/>
        <v>58.965999392745402</v>
      </c>
    </row>
    <row r="320" spans="1:25" x14ac:dyDescent="0.3">
      <c r="A320" t="s">
        <v>735</v>
      </c>
      <c r="B320" t="s">
        <v>736</v>
      </c>
      <c r="C320">
        <v>1</v>
      </c>
      <c r="D320" s="1">
        <v>44860</v>
      </c>
      <c r="E320">
        <v>542</v>
      </c>
      <c r="F320">
        <v>2</v>
      </c>
      <c r="G320">
        <v>23</v>
      </c>
      <c r="H320">
        <v>2</v>
      </c>
      <c r="I320">
        <v>21</v>
      </c>
      <c r="J320">
        <v>0</v>
      </c>
      <c r="K320">
        <v>0</v>
      </c>
      <c r="L320">
        <v>156214700</v>
      </c>
      <c r="M320">
        <v>110</v>
      </c>
      <c r="N320" t="s">
        <v>81</v>
      </c>
      <c r="O320" t="s">
        <v>45</v>
      </c>
      <c r="P320">
        <v>81</v>
      </c>
      <c r="Q320">
        <v>64</v>
      </c>
      <c r="R320" t="str" cm="1">
        <f t="array" ref="R320">_xlfn.IFS(Q320&gt;70,"Good",Q320&lt;40,"Bad",(Q320&gt;OS358*(Q320&lt;80)),"Ok")</f>
        <v>Ok</v>
      </c>
      <c r="S320">
        <v>79</v>
      </c>
      <c r="T320" t="str" cm="1">
        <f t="array" ref="T320">_xlfn.IFS(S320&gt;50, "High", S320&lt;=50, "Low")</f>
        <v>High</v>
      </c>
      <c r="U320">
        <v>5</v>
      </c>
      <c r="V320">
        <v>0</v>
      </c>
      <c r="W320">
        <v>31</v>
      </c>
      <c r="X320">
        <v>3</v>
      </c>
      <c r="Y320">
        <f t="shared" ca="1" si="4"/>
        <v>10.550878726535762</v>
      </c>
    </row>
    <row r="321" spans="1:25" x14ac:dyDescent="0.3">
      <c r="A321" t="s">
        <v>737</v>
      </c>
      <c r="B321" t="s">
        <v>738</v>
      </c>
      <c r="C321">
        <v>1</v>
      </c>
      <c r="D321" s="1">
        <v>44582</v>
      </c>
      <c r="E321">
        <v>2459</v>
      </c>
      <c r="F321">
        <v>20</v>
      </c>
      <c r="G321">
        <v>20</v>
      </c>
      <c r="H321">
        <v>68</v>
      </c>
      <c r="I321">
        <v>50</v>
      </c>
      <c r="J321">
        <v>0</v>
      </c>
      <c r="K321">
        <v>22</v>
      </c>
      <c r="L321">
        <v>448843705</v>
      </c>
      <c r="M321">
        <v>120</v>
      </c>
      <c r="N321" t="s">
        <v>181</v>
      </c>
      <c r="O321" t="s">
        <v>28</v>
      </c>
      <c r="P321">
        <v>71</v>
      </c>
      <c r="Q321">
        <v>57</v>
      </c>
      <c r="R321" t="str" cm="1">
        <f t="array" ref="R321">_xlfn.IFS(Q321&gt;70,"Good",Q321&lt;40,"Bad",(Q321&gt;OS359*(Q321&lt;80)),"Ok")</f>
        <v>Ok</v>
      </c>
      <c r="S321">
        <v>97</v>
      </c>
      <c r="T321" t="str" cm="1">
        <f t="array" ref="T321">_xlfn.IFS(S321&gt;50, "High", S321&lt;=50, "Low")</f>
        <v>High</v>
      </c>
      <c r="U321">
        <v>1</v>
      </c>
      <c r="V321">
        <v>0</v>
      </c>
      <c r="W321">
        <v>13</v>
      </c>
      <c r="X321">
        <v>11</v>
      </c>
      <c r="Y321">
        <f t="shared" ca="1" si="4"/>
        <v>77.329654061147252</v>
      </c>
    </row>
    <row r="322" spans="1:25" x14ac:dyDescent="0.3">
      <c r="A322" t="s">
        <v>739</v>
      </c>
      <c r="B322" t="s">
        <v>740</v>
      </c>
      <c r="C322">
        <v>2</v>
      </c>
      <c r="D322" s="1">
        <v>34891</v>
      </c>
      <c r="E322">
        <v>10624</v>
      </c>
      <c r="F322">
        <v>17</v>
      </c>
      <c r="G322">
        <v>21</v>
      </c>
      <c r="H322">
        <v>0</v>
      </c>
      <c r="I322">
        <v>386</v>
      </c>
      <c r="J322">
        <v>0</v>
      </c>
      <c r="L322">
        <v>1357608774</v>
      </c>
      <c r="M322">
        <v>80</v>
      </c>
      <c r="N322" t="s">
        <v>81</v>
      </c>
      <c r="O322" t="s">
        <v>28</v>
      </c>
      <c r="P322">
        <v>63</v>
      </c>
      <c r="Q322">
        <v>40</v>
      </c>
      <c r="R322" t="str" cm="1">
        <f t="array" ref="R322">_xlfn.IFS(Q322&gt;70,"Good",Q322&lt;40,"Bad",(Q322&gt;OS360*(Q322&lt;80)),"Ok")</f>
        <v>Ok</v>
      </c>
      <c r="S322">
        <v>61</v>
      </c>
      <c r="T322" t="str" cm="1">
        <f t="array" ref="T322">_xlfn.IFS(S322&gt;50, "High", S322&lt;=50, "Low")</f>
        <v>High</v>
      </c>
      <c r="U322">
        <v>9</v>
      </c>
      <c r="V322">
        <v>0</v>
      </c>
      <c r="W322">
        <v>56</v>
      </c>
      <c r="X322">
        <v>6</v>
      </c>
      <c r="Y322">
        <f t="shared" ref="Y322:Y385" ca="1" si="5">RAND()*100</f>
        <v>66.807136375057752</v>
      </c>
    </row>
    <row r="323" spans="1:25" x14ac:dyDescent="0.3">
      <c r="A323" t="s">
        <v>741</v>
      </c>
      <c r="B323" t="s">
        <v>742</v>
      </c>
      <c r="C323">
        <v>2</v>
      </c>
      <c r="D323" s="1">
        <v>44878</v>
      </c>
      <c r="E323">
        <v>2418</v>
      </c>
      <c r="F323">
        <v>26</v>
      </c>
      <c r="G323">
        <v>52</v>
      </c>
      <c r="H323">
        <v>66</v>
      </c>
      <c r="I323">
        <v>55</v>
      </c>
      <c r="J323">
        <v>1</v>
      </c>
      <c r="K323">
        <v>16</v>
      </c>
      <c r="L323">
        <v>294352144</v>
      </c>
      <c r="M323">
        <v>115</v>
      </c>
      <c r="N323" t="s">
        <v>34</v>
      </c>
      <c r="O323" t="s">
        <v>45</v>
      </c>
      <c r="P323">
        <v>95</v>
      </c>
      <c r="Q323">
        <v>43</v>
      </c>
      <c r="R323" t="str" cm="1">
        <f t="array" ref="R323">_xlfn.IFS(Q323&gt;70,"Good",Q323&lt;40,"Bad",(Q323&gt;OS361*(Q323&lt;80)),"Ok")</f>
        <v>Ok</v>
      </c>
      <c r="S323">
        <v>69</v>
      </c>
      <c r="T323" t="str" cm="1">
        <f t="array" ref="T323">_xlfn.IFS(S323&gt;50, "High", S323&lt;=50, "Low")</f>
        <v>High</v>
      </c>
      <c r="U323">
        <v>47</v>
      </c>
      <c r="V323">
        <v>0</v>
      </c>
      <c r="W323">
        <v>9</v>
      </c>
      <c r="X323">
        <v>31</v>
      </c>
      <c r="Y323">
        <f t="shared" ca="1" si="5"/>
        <v>68.966838744633037</v>
      </c>
    </row>
    <row r="324" spans="1:25" x14ac:dyDescent="0.3">
      <c r="A324" t="s">
        <v>743</v>
      </c>
      <c r="B324" t="s">
        <v>744</v>
      </c>
      <c r="C324">
        <v>1</v>
      </c>
      <c r="D324" s="1">
        <v>41971</v>
      </c>
      <c r="E324">
        <v>7536</v>
      </c>
      <c r="F324">
        <v>7</v>
      </c>
      <c r="G324">
        <v>44</v>
      </c>
      <c r="H324">
        <v>19</v>
      </c>
      <c r="I324">
        <v>135</v>
      </c>
      <c r="J324">
        <v>0</v>
      </c>
      <c r="K324">
        <v>6</v>
      </c>
      <c r="L324">
        <v>972164968</v>
      </c>
      <c r="M324">
        <v>76</v>
      </c>
      <c r="N324" t="s">
        <v>181</v>
      </c>
      <c r="O324" t="s">
        <v>28</v>
      </c>
      <c r="P324">
        <v>58</v>
      </c>
      <c r="Q324">
        <v>46</v>
      </c>
      <c r="R324" t="str" cm="1">
        <f t="array" ref="R324">_xlfn.IFS(Q324&gt;70,"Good",Q324&lt;40,"Bad",(Q324&gt;OS362*(Q324&lt;80)),"Ok")</f>
        <v>Ok</v>
      </c>
      <c r="S324">
        <v>67</v>
      </c>
      <c r="T324" t="str" cm="1">
        <f t="array" ref="T324">_xlfn.IFS(S324&gt;50, "High", S324&lt;=50, "Low")</f>
        <v>High</v>
      </c>
      <c r="U324">
        <v>65</v>
      </c>
      <c r="V324">
        <v>0</v>
      </c>
      <c r="W324">
        <v>13</v>
      </c>
      <c r="X324">
        <v>4</v>
      </c>
      <c r="Y324">
        <f t="shared" ca="1" si="5"/>
        <v>82.845266314385228</v>
      </c>
    </row>
    <row r="325" spans="1:25" x14ac:dyDescent="0.3">
      <c r="A325" t="s">
        <v>294</v>
      </c>
      <c r="B325" t="s">
        <v>607</v>
      </c>
      <c r="C325">
        <v>1</v>
      </c>
      <c r="D325" s="1">
        <v>42786</v>
      </c>
      <c r="E325">
        <v>10431</v>
      </c>
      <c r="F325">
        <v>7</v>
      </c>
      <c r="G325">
        <v>71</v>
      </c>
      <c r="H325">
        <v>53</v>
      </c>
      <c r="I325">
        <v>181</v>
      </c>
      <c r="J325">
        <v>0</v>
      </c>
      <c r="K325">
        <v>10</v>
      </c>
      <c r="L325">
        <v>920045682</v>
      </c>
      <c r="M325">
        <v>172</v>
      </c>
      <c r="N325" t="s">
        <v>65</v>
      </c>
      <c r="O325" t="s">
        <v>28</v>
      </c>
      <c r="P325">
        <v>60</v>
      </c>
      <c r="Q325">
        <v>77</v>
      </c>
      <c r="R325" t="str" cm="1">
        <f t="array" ref="R325">_xlfn.IFS(Q325&gt;70,"Good",Q325&lt;40,"Bad",(Q325&gt;OS363*(Q325&lt;80)),"Ok")</f>
        <v>Good</v>
      </c>
      <c r="S325">
        <v>78</v>
      </c>
      <c r="T325" t="str" cm="1">
        <f t="array" ref="T325">_xlfn.IFS(S325&gt;50, "High", S325&lt;=50, "Low")</f>
        <v>High</v>
      </c>
      <c r="U325">
        <v>45</v>
      </c>
      <c r="V325">
        <v>0</v>
      </c>
      <c r="W325">
        <v>12</v>
      </c>
      <c r="X325">
        <v>6</v>
      </c>
      <c r="Y325">
        <f t="shared" ca="1" si="5"/>
        <v>53.747204664289107</v>
      </c>
    </row>
    <row r="326" spans="1:25" x14ac:dyDescent="0.3">
      <c r="A326" t="s">
        <v>745</v>
      </c>
      <c r="B326" t="s">
        <v>509</v>
      </c>
      <c r="C326">
        <v>1</v>
      </c>
      <c r="D326" s="1">
        <v>42622</v>
      </c>
      <c r="E326">
        <v>15722</v>
      </c>
      <c r="F326">
        <v>16</v>
      </c>
      <c r="G326">
        <v>231</v>
      </c>
      <c r="H326">
        <v>37</v>
      </c>
      <c r="I326" s="2">
        <v>1509</v>
      </c>
      <c r="J326">
        <v>0</v>
      </c>
      <c r="K326">
        <v>13</v>
      </c>
      <c r="L326">
        <v>2420461338</v>
      </c>
      <c r="M326">
        <v>99</v>
      </c>
      <c r="N326" t="s">
        <v>181</v>
      </c>
      <c r="O326" t="s">
        <v>28</v>
      </c>
      <c r="P326">
        <v>40</v>
      </c>
      <c r="Q326">
        <v>45</v>
      </c>
      <c r="R326" t="str" cm="1">
        <f t="array" ref="R326">_xlfn.IFS(Q326&gt;70,"Good",Q326&lt;40,"Bad",(Q326&gt;OS364*(Q326&lt;80)),"Ok")</f>
        <v>Ok</v>
      </c>
      <c r="S326">
        <v>56</v>
      </c>
      <c r="T326" t="str" cm="1">
        <f t="array" ref="T326">_xlfn.IFS(S326&gt;50, "High", S326&lt;=50, "Low")</f>
        <v>High</v>
      </c>
      <c r="U326">
        <v>69</v>
      </c>
      <c r="V326">
        <v>0</v>
      </c>
      <c r="W326">
        <v>9</v>
      </c>
      <c r="X326">
        <v>5</v>
      </c>
      <c r="Y326">
        <f t="shared" ca="1" si="5"/>
        <v>73.960097807487315</v>
      </c>
    </row>
    <row r="327" spans="1:25" x14ac:dyDescent="0.3">
      <c r="A327" t="s">
        <v>746</v>
      </c>
      <c r="B327" t="s">
        <v>171</v>
      </c>
      <c r="C327">
        <v>1</v>
      </c>
      <c r="D327" s="1">
        <v>42151</v>
      </c>
      <c r="E327">
        <v>25744</v>
      </c>
      <c r="F327">
        <v>4</v>
      </c>
      <c r="G327">
        <v>122</v>
      </c>
      <c r="H327">
        <v>94</v>
      </c>
      <c r="I327" s="2">
        <v>1992</v>
      </c>
      <c r="J327">
        <v>0</v>
      </c>
      <c r="K327">
        <v>18</v>
      </c>
      <c r="L327">
        <v>1947371785</v>
      </c>
      <c r="M327">
        <v>136</v>
      </c>
      <c r="O327" t="s">
        <v>45</v>
      </c>
      <c r="P327">
        <v>36</v>
      </c>
      <c r="Q327">
        <v>12</v>
      </c>
      <c r="R327" t="str" cm="1">
        <f t="array" ref="R327">_xlfn.IFS(Q327&gt;70,"Good",Q327&lt;40,"Bad",(Q327&gt;OS365*(Q327&lt;80)),"Ok")</f>
        <v>Bad</v>
      </c>
      <c r="S327">
        <v>57</v>
      </c>
      <c r="T327" t="str" cm="1">
        <f t="array" ref="T327">_xlfn.IFS(S327&gt;50, "High", S327&lt;=50, "Low")</f>
        <v>High</v>
      </c>
      <c r="U327">
        <v>9</v>
      </c>
      <c r="V327">
        <v>0</v>
      </c>
      <c r="W327">
        <v>14</v>
      </c>
      <c r="X327">
        <v>8</v>
      </c>
      <c r="Y327">
        <f t="shared" ca="1" si="5"/>
        <v>39.591404768433492</v>
      </c>
    </row>
    <row r="328" spans="1:25" x14ac:dyDescent="0.3">
      <c r="A328" t="s">
        <v>747</v>
      </c>
      <c r="B328" t="s">
        <v>748</v>
      </c>
      <c r="C328">
        <v>1</v>
      </c>
      <c r="D328" s="1">
        <v>43595</v>
      </c>
      <c r="E328">
        <v>1640</v>
      </c>
      <c r="F328">
        <v>0</v>
      </c>
      <c r="G328">
        <v>27</v>
      </c>
      <c r="H328">
        <v>27</v>
      </c>
      <c r="I328">
        <v>29</v>
      </c>
      <c r="J328">
        <v>1</v>
      </c>
      <c r="K328">
        <v>1</v>
      </c>
      <c r="L328">
        <v>244658767</v>
      </c>
      <c r="M328">
        <v>150</v>
      </c>
      <c r="N328" t="s">
        <v>81</v>
      </c>
      <c r="O328" t="s">
        <v>45</v>
      </c>
      <c r="P328">
        <v>90</v>
      </c>
      <c r="Q328">
        <v>64</v>
      </c>
      <c r="R328" t="str" cm="1">
        <f t="array" ref="R328">_xlfn.IFS(Q328&gt;70,"Good",Q328&lt;40,"Bad",(Q328&gt;OS366*(Q328&lt;80)),"Ok")</f>
        <v>Ok</v>
      </c>
      <c r="S328">
        <v>14</v>
      </c>
      <c r="T328" t="str" cm="1">
        <f t="array" ref="T328">_xlfn.IFS(S328&gt;50, "High", S328&lt;=50, "Low")</f>
        <v>Low</v>
      </c>
      <c r="U328">
        <v>67</v>
      </c>
      <c r="V328">
        <v>35</v>
      </c>
      <c r="W328">
        <v>11</v>
      </c>
      <c r="X328">
        <v>10</v>
      </c>
      <c r="Y328">
        <f t="shared" ca="1" si="5"/>
        <v>33.438205299851319</v>
      </c>
    </row>
    <row r="329" spans="1:25" x14ac:dyDescent="0.3">
      <c r="A329" t="s">
        <v>749</v>
      </c>
      <c r="B329" t="s">
        <v>750</v>
      </c>
      <c r="C329">
        <v>1</v>
      </c>
      <c r="D329" s="1">
        <v>45023</v>
      </c>
      <c r="E329">
        <v>34</v>
      </c>
      <c r="F329">
        <v>0</v>
      </c>
      <c r="G329">
        <v>0</v>
      </c>
      <c r="H329">
        <v>0</v>
      </c>
      <c r="I329">
        <v>0</v>
      </c>
      <c r="J329">
        <v>0</v>
      </c>
      <c r="K329">
        <v>0</v>
      </c>
      <c r="L329">
        <v>68216992</v>
      </c>
      <c r="M329">
        <v>92</v>
      </c>
      <c r="N329" t="s">
        <v>181</v>
      </c>
      <c r="O329" t="s">
        <v>45</v>
      </c>
      <c r="P329">
        <v>71</v>
      </c>
      <c r="Q329">
        <v>41</v>
      </c>
      <c r="R329" t="str" cm="1">
        <f t="array" ref="R329">_xlfn.IFS(Q329&gt;70,"Good",Q329&lt;40,"Bad",(Q329&gt;OS367*(Q329&lt;80)),"Ok")</f>
        <v>Ok</v>
      </c>
      <c r="S329">
        <v>31</v>
      </c>
      <c r="T329" t="str" cm="1">
        <f t="array" ref="T329">_xlfn.IFS(S329&gt;50, "High", S329&lt;=50, "Low")</f>
        <v>Low</v>
      </c>
      <c r="U329">
        <v>79</v>
      </c>
      <c r="V329">
        <v>0</v>
      </c>
      <c r="W329">
        <v>10</v>
      </c>
      <c r="X329">
        <v>5</v>
      </c>
      <c r="Y329">
        <f t="shared" ca="1" si="5"/>
        <v>46.806298737598659</v>
      </c>
    </row>
    <row r="330" spans="1:25" x14ac:dyDescent="0.3">
      <c r="A330" t="s">
        <v>161</v>
      </c>
      <c r="B330" t="s">
        <v>751</v>
      </c>
      <c r="C330">
        <v>5</v>
      </c>
      <c r="D330" s="1">
        <v>44910</v>
      </c>
      <c r="E330">
        <v>1845</v>
      </c>
      <c r="F330">
        <v>16</v>
      </c>
      <c r="G330">
        <v>20</v>
      </c>
      <c r="H330">
        <v>8</v>
      </c>
      <c r="I330">
        <v>30</v>
      </c>
      <c r="J330">
        <v>2</v>
      </c>
      <c r="K330">
        <v>0</v>
      </c>
      <c r="L330">
        <v>223582566</v>
      </c>
      <c r="M330">
        <v>95</v>
      </c>
      <c r="N330" t="s">
        <v>31</v>
      </c>
      <c r="O330" t="s">
        <v>28</v>
      </c>
      <c r="P330">
        <v>77</v>
      </c>
      <c r="Q330">
        <v>72</v>
      </c>
      <c r="R330" t="str" cm="1">
        <f t="array" ref="R330">_xlfn.IFS(Q330&gt;70,"Good",Q330&lt;40,"Bad",(Q330&gt;OS368*(Q330&lt;80)),"Ok")</f>
        <v>Good</v>
      </c>
      <c r="S330">
        <v>87</v>
      </c>
      <c r="T330" t="str" cm="1">
        <f t="array" ref="T330">_xlfn.IFS(S330&gt;50, "High", S330&lt;=50, "Low")</f>
        <v>High</v>
      </c>
      <c r="U330">
        <v>17</v>
      </c>
      <c r="V330">
        <v>0</v>
      </c>
      <c r="W330">
        <v>7</v>
      </c>
      <c r="X330">
        <v>5</v>
      </c>
      <c r="Y330">
        <f t="shared" ca="1" si="5"/>
        <v>44.80858763052715</v>
      </c>
    </row>
    <row r="331" spans="1:25" x14ac:dyDescent="0.3">
      <c r="A331" t="s">
        <v>752</v>
      </c>
      <c r="B331" t="s">
        <v>753</v>
      </c>
      <c r="C331">
        <v>3</v>
      </c>
      <c r="D331" s="1">
        <v>44767</v>
      </c>
      <c r="E331">
        <v>3301</v>
      </c>
      <c r="F331">
        <v>30</v>
      </c>
      <c r="G331">
        <v>72</v>
      </c>
      <c r="H331">
        <v>64</v>
      </c>
      <c r="I331">
        <v>64</v>
      </c>
      <c r="J331">
        <v>6</v>
      </c>
      <c r="K331">
        <v>3</v>
      </c>
      <c r="L331">
        <v>471819764</v>
      </c>
      <c r="M331">
        <v>102</v>
      </c>
      <c r="N331" t="s">
        <v>27</v>
      </c>
      <c r="O331" t="s">
        <v>45</v>
      </c>
      <c r="P331">
        <v>83</v>
      </c>
      <c r="Q331">
        <v>58</v>
      </c>
      <c r="R331" t="str" cm="1">
        <f t="array" ref="R331">_xlfn.IFS(Q331&gt;70,"Good",Q331&lt;40,"Bad",(Q331&gt;OS369*(Q331&lt;80)),"Ok")</f>
        <v>Ok</v>
      </c>
      <c r="S331">
        <v>83</v>
      </c>
      <c r="T331" t="str" cm="1">
        <f t="array" ref="T331">_xlfn.IFS(S331&gt;50, "High", S331&lt;=50, "Low")</f>
        <v>High</v>
      </c>
      <c r="U331">
        <v>21</v>
      </c>
      <c r="V331">
        <v>0</v>
      </c>
      <c r="W331">
        <v>10</v>
      </c>
      <c r="X331">
        <v>5</v>
      </c>
      <c r="Y331">
        <f t="shared" ca="1" si="5"/>
        <v>92.582809540192585</v>
      </c>
    </row>
    <row r="332" spans="1:25" x14ac:dyDescent="0.3">
      <c r="A332" t="s">
        <v>754</v>
      </c>
      <c r="B332" t="s">
        <v>80</v>
      </c>
      <c r="C332">
        <v>1</v>
      </c>
      <c r="D332" s="1">
        <v>44904</v>
      </c>
      <c r="E332">
        <v>1911</v>
      </c>
      <c r="F332">
        <v>0</v>
      </c>
      <c r="G332">
        <v>23</v>
      </c>
      <c r="H332">
        <v>71</v>
      </c>
      <c r="I332">
        <v>14</v>
      </c>
      <c r="J332">
        <v>0</v>
      </c>
      <c r="K332">
        <v>9</v>
      </c>
      <c r="L332">
        <v>272377463</v>
      </c>
      <c r="M332">
        <v>145</v>
      </c>
      <c r="O332" t="s">
        <v>45</v>
      </c>
      <c r="P332">
        <v>70</v>
      </c>
      <c r="Q332">
        <v>34</v>
      </c>
      <c r="R332" t="str" cm="1">
        <f t="array" ref="R332">_xlfn.IFS(Q332&gt;70,"Good",Q332&lt;40,"Bad",(Q332&gt;OS370*(Q332&lt;80)),"Ok")</f>
        <v>Bad</v>
      </c>
      <c r="S332">
        <v>55</v>
      </c>
      <c r="T332" t="str" cm="1">
        <f t="array" ref="T332">_xlfn.IFS(S332&gt;50, "High", S332&lt;=50, "Low")</f>
        <v>High</v>
      </c>
      <c r="U332">
        <v>43</v>
      </c>
      <c r="V332">
        <v>0</v>
      </c>
      <c r="W332">
        <v>16</v>
      </c>
      <c r="X332">
        <v>6</v>
      </c>
      <c r="Y332">
        <f t="shared" ca="1" si="5"/>
        <v>45.250622168156553</v>
      </c>
    </row>
    <row r="333" spans="1:25" x14ac:dyDescent="0.3">
      <c r="A333" t="s">
        <v>755</v>
      </c>
      <c r="B333" t="s">
        <v>756</v>
      </c>
      <c r="C333">
        <v>1</v>
      </c>
      <c r="D333" s="1">
        <v>37704</v>
      </c>
      <c r="E333">
        <v>20111</v>
      </c>
      <c r="F333">
        <v>5</v>
      </c>
      <c r="G333">
        <v>39</v>
      </c>
      <c r="H333">
        <v>0</v>
      </c>
      <c r="I333" s="2">
        <v>7341</v>
      </c>
      <c r="J333">
        <v>0</v>
      </c>
      <c r="K333">
        <v>0</v>
      </c>
      <c r="L333">
        <v>1361425037</v>
      </c>
      <c r="M333">
        <v>110</v>
      </c>
      <c r="N333" t="s">
        <v>37</v>
      </c>
      <c r="O333" t="s">
        <v>28</v>
      </c>
      <c r="P333">
        <v>50</v>
      </c>
      <c r="Q333">
        <v>24</v>
      </c>
      <c r="R333" t="str" cm="1">
        <f t="array" ref="R333">_xlfn.IFS(Q333&gt;70,"Good",Q333&lt;40,"Bad",(Q333&gt;OS371*(Q333&lt;80)),"Ok")</f>
        <v>Bad</v>
      </c>
      <c r="S333">
        <v>86</v>
      </c>
      <c r="T333" t="str" cm="1">
        <f t="array" ref="T333">_xlfn.IFS(S333&gt;50, "High", S333&lt;=50, "Low")</f>
        <v>High</v>
      </c>
      <c r="U333">
        <v>0</v>
      </c>
      <c r="V333">
        <v>0</v>
      </c>
      <c r="W333">
        <v>64</v>
      </c>
      <c r="X333">
        <v>4</v>
      </c>
      <c r="Y333">
        <f t="shared" ca="1" si="5"/>
        <v>78.220826328458443</v>
      </c>
    </row>
    <row r="334" spans="1:25" x14ac:dyDescent="0.3">
      <c r="A334" t="s">
        <v>757</v>
      </c>
      <c r="B334" t="s">
        <v>758</v>
      </c>
      <c r="C334">
        <v>2</v>
      </c>
      <c r="D334" s="1">
        <v>44981</v>
      </c>
      <c r="E334">
        <v>1529</v>
      </c>
      <c r="F334">
        <v>0</v>
      </c>
      <c r="G334">
        <v>32</v>
      </c>
      <c r="H334">
        <v>18</v>
      </c>
      <c r="I334">
        <v>39</v>
      </c>
      <c r="J334">
        <v>2</v>
      </c>
      <c r="K334">
        <v>0</v>
      </c>
      <c r="L334">
        <v>149778242</v>
      </c>
      <c r="M334">
        <v>95</v>
      </c>
      <c r="O334" t="s">
        <v>28</v>
      </c>
      <c r="P334">
        <v>64</v>
      </c>
      <c r="Q334">
        <v>30</v>
      </c>
      <c r="R334" t="str" cm="1">
        <f t="array" ref="R334">_xlfn.IFS(Q334&gt;70,"Good",Q334&lt;40,"Bad",(Q334&gt;OS372*(Q334&lt;80)),"Ok")</f>
        <v>Bad</v>
      </c>
      <c r="S334">
        <v>77</v>
      </c>
      <c r="T334" t="str" cm="1">
        <f t="array" ref="T334">_xlfn.IFS(S334&gt;50, "High", S334&lt;=50, "Low")</f>
        <v>High</v>
      </c>
      <c r="U334">
        <v>46</v>
      </c>
      <c r="V334">
        <v>0</v>
      </c>
      <c r="W334">
        <v>38</v>
      </c>
      <c r="X334">
        <v>6</v>
      </c>
      <c r="Y334">
        <f t="shared" ca="1" si="5"/>
        <v>60.154985767962351</v>
      </c>
    </row>
    <row r="335" spans="1:25" x14ac:dyDescent="0.3">
      <c r="A335" t="s">
        <v>277</v>
      </c>
      <c r="B335" t="s">
        <v>759</v>
      </c>
      <c r="C335">
        <v>2</v>
      </c>
      <c r="D335" s="1">
        <v>44988</v>
      </c>
      <c r="E335">
        <v>615</v>
      </c>
      <c r="F335">
        <v>2</v>
      </c>
      <c r="G335">
        <v>22</v>
      </c>
      <c r="H335">
        <v>82</v>
      </c>
      <c r="I335">
        <v>8</v>
      </c>
      <c r="J335">
        <v>0</v>
      </c>
      <c r="K335">
        <v>9</v>
      </c>
      <c r="L335">
        <v>116599790</v>
      </c>
      <c r="M335">
        <v>94</v>
      </c>
      <c r="N335" t="s">
        <v>27</v>
      </c>
      <c r="O335" t="s">
        <v>45</v>
      </c>
      <c r="P335">
        <v>68</v>
      </c>
      <c r="Q335">
        <v>81</v>
      </c>
      <c r="R335" t="str" cm="1">
        <f t="array" ref="R335">_xlfn.IFS(Q335&gt;70,"Good",Q335&lt;40,"Bad",(Q335&gt;OS373*(Q335&lt;80)),"Ok")</f>
        <v>Good</v>
      </c>
      <c r="S335">
        <v>82</v>
      </c>
      <c r="T335" t="str" cm="1">
        <f t="array" ref="T335">_xlfn.IFS(S335&gt;50, "High", S335&lt;=50, "Low")</f>
        <v>High</v>
      </c>
      <c r="U335">
        <v>53</v>
      </c>
      <c r="V335">
        <v>0</v>
      </c>
      <c r="W335">
        <v>9</v>
      </c>
      <c r="X335">
        <v>13</v>
      </c>
      <c r="Y335">
        <f t="shared" ca="1" si="5"/>
        <v>5.997978398551906</v>
      </c>
    </row>
    <row r="336" spans="1:25" x14ac:dyDescent="0.3">
      <c r="A336" t="s">
        <v>454</v>
      </c>
      <c r="B336" t="s">
        <v>119</v>
      </c>
      <c r="C336">
        <v>1</v>
      </c>
      <c r="D336" s="1">
        <v>44897</v>
      </c>
      <c r="E336">
        <v>811</v>
      </c>
      <c r="F336">
        <v>4</v>
      </c>
      <c r="G336">
        <v>11</v>
      </c>
      <c r="H336">
        <v>58</v>
      </c>
      <c r="I336">
        <v>5</v>
      </c>
      <c r="J336">
        <v>0</v>
      </c>
      <c r="K336">
        <v>21</v>
      </c>
      <c r="L336">
        <v>148469433</v>
      </c>
      <c r="M336">
        <v>142</v>
      </c>
      <c r="N336" t="s">
        <v>94</v>
      </c>
      <c r="O336" t="s">
        <v>28</v>
      </c>
      <c r="P336">
        <v>61</v>
      </c>
      <c r="Q336">
        <v>92</v>
      </c>
      <c r="R336" t="str" cm="1">
        <f t="array" ref="R336">_xlfn.IFS(Q336&gt;70,"Good",Q336&lt;40,"Bad",(Q336&gt;OS374*(Q336&lt;80)),"Ok")</f>
        <v>Good</v>
      </c>
      <c r="S336">
        <v>91</v>
      </c>
      <c r="T336" t="str" cm="1">
        <f t="array" ref="T336">_xlfn.IFS(S336&gt;50, "High", S336&lt;=50, "Low")</f>
        <v>High</v>
      </c>
      <c r="U336">
        <v>0</v>
      </c>
      <c r="V336">
        <v>0</v>
      </c>
      <c r="W336">
        <v>26</v>
      </c>
      <c r="X336">
        <v>3</v>
      </c>
      <c r="Y336">
        <f t="shared" ca="1" si="5"/>
        <v>93.501135907454653</v>
      </c>
    </row>
    <row r="337" spans="1:25" x14ac:dyDescent="0.3">
      <c r="A337" t="s">
        <v>760</v>
      </c>
      <c r="B337" t="s">
        <v>761</v>
      </c>
      <c r="C337">
        <v>2</v>
      </c>
      <c r="D337" s="1">
        <v>44778</v>
      </c>
      <c r="E337">
        <v>5730</v>
      </c>
      <c r="F337">
        <v>10</v>
      </c>
      <c r="G337">
        <v>108</v>
      </c>
      <c r="H337">
        <v>16</v>
      </c>
      <c r="I337">
        <v>197</v>
      </c>
      <c r="J337">
        <v>3</v>
      </c>
      <c r="K337">
        <v>165</v>
      </c>
      <c r="L337">
        <v>497225336</v>
      </c>
      <c r="M337">
        <v>145</v>
      </c>
      <c r="N337" t="s">
        <v>65</v>
      </c>
      <c r="O337" t="s">
        <v>45</v>
      </c>
      <c r="P337">
        <v>59</v>
      </c>
      <c r="Q337">
        <v>20</v>
      </c>
      <c r="R337" t="str" cm="1">
        <f t="array" ref="R337">_xlfn.IFS(Q337&gt;70,"Good",Q337&lt;40,"Bad",(Q337&gt;OS375*(Q337&lt;80)),"Ok")</f>
        <v>Bad</v>
      </c>
      <c r="S337">
        <v>74</v>
      </c>
      <c r="T337" t="str" cm="1">
        <f t="array" ref="T337">_xlfn.IFS(S337&gt;50, "High", S337&lt;=50, "Low")</f>
        <v>High</v>
      </c>
      <c r="U337">
        <v>1</v>
      </c>
      <c r="V337">
        <v>0</v>
      </c>
      <c r="W337">
        <v>15</v>
      </c>
      <c r="X337">
        <v>5</v>
      </c>
      <c r="Y337">
        <f t="shared" ca="1" si="5"/>
        <v>34.801814142003174</v>
      </c>
    </row>
    <row r="338" spans="1:25" x14ac:dyDescent="0.3">
      <c r="A338" t="s">
        <v>762</v>
      </c>
      <c r="B338" t="s">
        <v>119</v>
      </c>
      <c r="C338">
        <v>1</v>
      </c>
      <c r="D338" s="1">
        <v>44988</v>
      </c>
      <c r="E338">
        <v>356</v>
      </c>
      <c r="F338">
        <v>4</v>
      </c>
      <c r="G338">
        <v>4</v>
      </c>
      <c r="H338">
        <v>20</v>
      </c>
      <c r="I338">
        <v>0</v>
      </c>
      <c r="J338">
        <v>0</v>
      </c>
      <c r="K338">
        <v>0</v>
      </c>
      <c r="L338">
        <v>88791109</v>
      </c>
      <c r="M338">
        <v>121</v>
      </c>
      <c r="N338" t="s">
        <v>65</v>
      </c>
      <c r="O338" t="s">
        <v>45</v>
      </c>
      <c r="P338">
        <v>64</v>
      </c>
      <c r="Q338">
        <v>67</v>
      </c>
      <c r="R338" t="str" cm="1">
        <f t="array" ref="R338">_xlfn.IFS(Q338&gt;70,"Good",Q338&lt;40,"Bad",(Q338&gt;OS376*(Q338&lt;80)),"Ok")</f>
        <v>Ok</v>
      </c>
      <c r="S338">
        <v>80</v>
      </c>
      <c r="T338" t="str" cm="1">
        <f t="array" ref="T338">_xlfn.IFS(S338&gt;50, "High", S338&lt;=50, "Low")</f>
        <v>High</v>
      </c>
      <c r="U338">
        <v>0</v>
      </c>
      <c r="V338">
        <v>0</v>
      </c>
      <c r="W338">
        <v>36</v>
      </c>
      <c r="X338">
        <v>3</v>
      </c>
      <c r="Y338">
        <f t="shared" ca="1" si="5"/>
        <v>82.062370661654924</v>
      </c>
    </row>
    <row r="339" spans="1:25" x14ac:dyDescent="0.3">
      <c r="A339" t="s">
        <v>763</v>
      </c>
      <c r="B339" t="s">
        <v>119</v>
      </c>
      <c r="C339">
        <v>1</v>
      </c>
      <c r="D339" s="1">
        <v>44988</v>
      </c>
      <c r="E339">
        <v>604</v>
      </c>
      <c r="F339">
        <v>6</v>
      </c>
      <c r="G339">
        <v>22</v>
      </c>
      <c r="H339">
        <v>101</v>
      </c>
      <c r="I339">
        <v>0</v>
      </c>
      <c r="J339">
        <v>0</v>
      </c>
      <c r="K339">
        <v>66</v>
      </c>
      <c r="L339">
        <v>125917280</v>
      </c>
      <c r="M339">
        <v>140</v>
      </c>
      <c r="N339" t="s">
        <v>302</v>
      </c>
      <c r="O339" t="s">
        <v>45</v>
      </c>
      <c r="P339">
        <v>66</v>
      </c>
      <c r="Q339">
        <v>43</v>
      </c>
      <c r="R339" t="str" cm="1">
        <f t="array" ref="R339">_xlfn.IFS(Q339&gt;70,"Good",Q339&lt;40,"Bad",(Q339&gt;OS377*(Q339&lt;80)),"Ok")</f>
        <v>Ok</v>
      </c>
      <c r="S339">
        <v>76</v>
      </c>
      <c r="T339" t="str" cm="1">
        <f t="array" ref="T339">_xlfn.IFS(S339&gt;50, "High", S339&lt;=50, "Low")</f>
        <v>High</v>
      </c>
      <c r="U339">
        <v>49</v>
      </c>
      <c r="V339">
        <v>0</v>
      </c>
      <c r="W339">
        <v>12</v>
      </c>
      <c r="X339">
        <v>3</v>
      </c>
      <c r="Y339">
        <f t="shared" ca="1" si="5"/>
        <v>85.692166761589576</v>
      </c>
    </row>
    <row r="340" spans="1:25" x14ac:dyDescent="0.3">
      <c r="A340" t="s">
        <v>764</v>
      </c>
      <c r="B340" t="s">
        <v>765</v>
      </c>
      <c r="C340">
        <v>3</v>
      </c>
      <c r="D340" s="1">
        <v>44980</v>
      </c>
      <c r="E340">
        <v>1190</v>
      </c>
      <c r="F340">
        <v>0</v>
      </c>
      <c r="G340">
        <v>29</v>
      </c>
      <c r="H340">
        <v>3</v>
      </c>
      <c r="I340">
        <v>18</v>
      </c>
      <c r="J340">
        <v>0</v>
      </c>
      <c r="K340">
        <v>19</v>
      </c>
      <c r="L340">
        <v>105062254</v>
      </c>
      <c r="M340">
        <v>137</v>
      </c>
      <c r="N340" t="s">
        <v>31</v>
      </c>
      <c r="O340" t="s">
        <v>45</v>
      </c>
      <c r="P340">
        <v>84</v>
      </c>
      <c r="Q340">
        <v>44</v>
      </c>
      <c r="R340" t="str" cm="1">
        <f t="array" ref="R340">_xlfn.IFS(Q340&gt;70,"Good",Q340&lt;40,"Bad",(Q340&gt;OS378*(Q340&lt;80)),"Ok")</f>
        <v>Ok</v>
      </c>
      <c r="S340">
        <v>67</v>
      </c>
      <c r="T340" t="str" cm="1">
        <f t="array" ref="T340">_xlfn.IFS(S340&gt;50, "High", S340&lt;=50, "Low")</f>
        <v>High</v>
      </c>
      <c r="U340">
        <v>8</v>
      </c>
      <c r="V340">
        <v>0</v>
      </c>
      <c r="W340">
        <v>11</v>
      </c>
      <c r="X340">
        <v>6</v>
      </c>
      <c r="Y340">
        <f t="shared" ca="1" si="5"/>
        <v>78.011097171884614</v>
      </c>
    </row>
    <row r="341" spans="1:25" x14ac:dyDescent="0.3">
      <c r="A341" t="s">
        <v>472</v>
      </c>
      <c r="B341" t="s">
        <v>119</v>
      </c>
      <c r="C341">
        <v>1</v>
      </c>
      <c r="D341" s="1">
        <v>44957</v>
      </c>
      <c r="E341">
        <v>579</v>
      </c>
      <c r="F341">
        <v>0</v>
      </c>
      <c r="G341">
        <v>11</v>
      </c>
      <c r="H341">
        <v>54</v>
      </c>
      <c r="I341">
        <v>0</v>
      </c>
      <c r="J341">
        <v>0</v>
      </c>
      <c r="K341">
        <v>103</v>
      </c>
      <c r="L341">
        <v>95623148</v>
      </c>
      <c r="M341">
        <v>104</v>
      </c>
      <c r="N341" t="s">
        <v>81</v>
      </c>
      <c r="O341" t="s">
        <v>28</v>
      </c>
      <c r="P341">
        <v>56</v>
      </c>
      <c r="Q341">
        <v>72</v>
      </c>
      <c r="R341" t="str" cm="1">
        <f t="array" ref="R341">_xlfn.IFS(Q341&gt;70,"Good",Q341&lt;40,"Bad",(Q341&gt;OS379*(Q341&lt;80)),"Ok")</f>
        <v>Good</v>
      </c>
      <c r="S341">
        <v>85</v>
      </c>
      <c r="T341" t="str" cm="1">
        <f t="array" ref="T341">_xlfn.IFS(S341&gt;50, "High", S341&lt;=50, "Low")</f>
        <v>High</v>
      </c>
      <c r="U341">
        <v>0</v>
      </c>
      <c r="V341">
        <v>0</v>
      </c>
      <c r="W341">
        <v>15</v>
      </c>
      <c r="X341">
        <v>3</v>
      </c>
      <c r="Y341">
        <f t="shared" ca="1" si="5"/>
        <v>95.805895175837037</v>
      </c>
    </row>
    <row r="342" spans="1:25" x14ac:dyDescent="0.3">
      <c r="A342" t="s">
        <v>766</v>
      </c>
      <c r="B342" t="s">
        <v>767</v>
      </c>
      <c r="C342">
        <v>1</v>
      </c>
      <c r="D342" s="1">
        <v>44974</v>
      </c>
      <c r="E342">
        <v>1553</v>
      </c>
      <c r="F342">
        <v>2</v>
      </c>
      <c r="G342">
        <v>61</v>
      </c>
      <c r="H342">
        <v>6</v>
      </c>
      <c r="I342">
        <v>48</v>
      </c>
      <c r="J342">
        <v>0</v>
      </c>
      <c r="K342">
        <v>150</v>
      </c>
      <c r="L342">
        <v>144584800</v>
      </c>
      <c r="M342">
        <v>92</v>
      </c>
      <c r="N342" t="s">
        <v>34</v>
      </c>
      <c r="O342" t="s">
        <v>28</v>
      </c>
      <c r="P342">
        <v>57</v>
      </c>
      <c r="Q342">
        <v>68</v>
      </c>
      <c r="R342" t="str" cm="1">
        <f t="array" ref="R342">_xlfn.IFS(Q342&gt;70,"Good",Q342&lt;40,"Bad",(Q342&gt;OS380*(Q342&lt;80)),"Ok")</f>
        <v>Ok</v>
      </c>
      <c r="S342">
        <v>76</v>
      </c>
      <c r="T342" t="str" cm="1">
        <f t="array" ref="T342">_xlfn.IFS(S342&gt;50, "High", S342&lt;=50, "Low")</f>
        <v>High</v>
      </c>
      <c r="U342">
        <v>7</v>
      </c>
      <c r="V342">
        <v>0</v>
      </c>
      <c r="W342">
        <v>33</v>
      </c>
      <c r="X342">
        <v>3</v>
      </c>
      <c r="Y342">
        <f t="shared" ca="1" si="5"/>
        <v>74.294175090403002</v>
      </c>
    </row>
    <row r="343" spans="1:25" x14ac:dyDescent="0.3">
      <c r="A343" t="s">
        <v>768</v>
      </c>
      <c r="B343" t="s">
        <v>769</v>
      </c>
      <c r="C343">
        <v>1</v>
      </c>
      <c r="D343" s="1">
        <v>44910</v>
      </c>
      <c r="E343">
        <v>2301</v>
      </c>
      <c r="F343">
        <v>20</v>
      </c>
      <c r="G343">
        <v>49</v>
      </c>
      <c r="H343">
        <v>23</v>
      </c>
      <c r="I343">
        <v>110</v>
      </c>
      <c r="J343">
        <v>0</v>
      </c>
      <c r="K343">
        <v>8</v>
      </c>
      <c r="L343">
        <v>298063749</v>
      </c>
      <c r="M343">
        <v>146</v>
      </c>
      <c r="N343" t="s">
        <v>61</v>
      </c>
      <c r="O343" t="s">
        <v>45</v>
      </c>
      <c r="P343">
        <v>74</v>
      </c>
      <c r="Q343">
        <v>51</v>
      </c>
      <c r="R343" t="str" cm="1">
        <f t="array" ref="R343">_xlfn.IFS(Q343&gt;70,"Good",Q343&lt;40,"Bad",(Q343&gt;OS381*(Q343&lt;80)),"Ok")</f>
        <v>Ok</v>
      </c>
      <c r="S343">
        <v>45</v>
      </c>
      <c r="T343" t="str" cm="1">
        <f t="array" ref="T343">_xlfn.IFS(S343&gt;50, "High", S343&lt;=50, "Low")</f>
        <v>Low</v>
      </c>
      <c r="U343">
        <v>86</v>
      </c>
      <c r="V343">
        <v>0</v>
      </c>
      <c r="W343">
        <v>21</v>
      </c>
      <c r="X343">
        <v>38</v>
      </c>
      <c r="Y343">
        <f t="shared" ca="1" si="5"/>
        <v>90.951336485747987</v>
      </c>
    </row>
    <row r="344" spans="1:25" x14ac:dyDescent="0.3">
      <c r="A344" t="s">
        <v>770</v>
      </c>
      <c r="B344" t="s">
        <v>771</v>
      </c>
      <c r="C344">
        <v>1</v>
      </c>
      <c r="D344" s="1">
        <v>44949</v>
      </c>
      <c r="E344">
        <v>134</v>
      </c>
      <c r="F344">
        <v>4</v>
      </c>
      <c r="G344">
        <v>4</v>
      </c>
      <c r="H344">
        <v>6</v>
      </c>
      <c r="I344">
        <v>0</v>
      </c>
      <c r="J344">
        <v>0</v>
      </c>
      <c r="K344">
        <v>23</v>
      </c>
      <c r="L344">
        <v>166570053</v>
      </c>
      <c r="M344">
        <v>120</v>
      </c>
      <c r="N344" t="s">
        <v>61</v>
      </c>
      <c r="O344" t="s">
        <v>28</v>
      </c>
      <c r="P344">
        <v>56</v>
      </c>
      <c r="Q344">
        <v>20</v>
      </c>
      <c r="R344" t="str" cm="1">
        <f t="array" ref="R344">_xlfn.IFS(Q344&gt;70,"Good",Q344&lt;40,"Bad",(Q344&gt;OS382*(Q344&lt;80)),"Ok")</f>
        <v>Bad</v>
      </c>
      <c r="S344">
        <v>43</v>
      </c>
      <c r="T344" t="str" cm="1">
        <f t="array" ref="T344">_xlfn.IFS(S344&gt;50, "High", S344&lt;=50, "Low")</f>
        <v>Low</v>
      </c>
      <c r="U344">
        <v>89</v>
      </c>
      <c r="V344">
        <v>0</v>
      </c>
      <c r="W344">
        <v>12</v>
      </c>
      <c r="X344">
        <v>4</v>
      </c>
      <c r="Y344">
        <f t="shared" ca="1" si="5"/>
        <v>77.752597704170086</v>
      </c>
    </row>
    <row r="345" spans="1:25" x14ac:dyDescent="0.3">
      <c r="A345" t="s">
        <v>138</v>
      </c>
      <c r="B345" t="s">
        <v>119</v>
      </c>
      <c r="C345">
        <v>1</v>
      </c>
      <c r="D345" s="1">
        <v>44957</v>
      </c>
      <c r="E345">
        <v>430</v>
      </c>
      <c r="F345">
        <v>0</v>
      </c>
      <c r="G345">
        <v>15</v>
      </c>
      <c r="H345">
        <v>17</v>
      </c>
      <c r="I345">
        <v>0</v>
      </c>
      <c r="J345">
        <v>0</v>
      </c>
      <c r="K345">
        <v>0</v>
      </c>
      <c r="L345">
        <v>83021468</v>
      </c>
      <c r="M345">
        <v>144</v>
      </c>
      <c r="N345" t="s">
        <v>61</v>
      </c>
      <c r="O345" t="s">
        <v>28</v>
      </c>
      <c r="P345">
        <v>68</v>
      </c>
      <c r="Q345">
        <v>83</v>
      </c>
      <c r="R345" t="str" cm="1">
        <f t="array" ref="R345">_xlfn.IFS(Q345&gt;70,"Good",Q345&lt;40,"Bad",(Q345&gt;OS383*(Q345&lt;80)),"Ok")</f>
        <v>Good</v>
      </c>
      <c r="S345">
        <v>81</v>
      </c>
      <c r="T345" t="str" cm="1">
        <f t="array" ref="T345">_xlfn.IFS(S345&gt;50, "High", S345&lt;=50, "Low")</f>
        <v>High</v>
      </c>
      <c r="U345">
        <v>9</v>
      </c>
      <c r="V345">
        <v>0</v>
      </c>
      <c r="W345">
        <v>8</v>
      </c>
      <c r="X345">
        <v>4</v>
      </c>
      <c r="Y345">
        <f t="shared" ca="1" si="5"/>
        <v>25.690595643277312</v>
      </c>
    </row>
    <row r="346" spans="1:25" x14ac:dyDescent="0.3">
      <c r="A346" t="s">
        <v>772</v>
      </c>
      <c r="B346" t="s">
        <v>773</v>
      </c>
      <c r="C346">
        <v>2</v>
      </c>
      <c r="D346" s="1">
        <v>44870</v>
      </c>
      <c r="E346">
        <v>86</v>
      </c>
      <c r="F346">
        <v>0</v>
      </c>
      <c r="G346">
        <v>11</v>
      </c>
      <c r="H346">
        <v>101</v>
      </c>
      <c r="I346">
        <v>0</v>
      </c>
      <c r="J346">
        <v>0</v>
      </c>
      <c r="K346">
        <v>48</v>
      </c>
      <c r="L346">
        <v>139836056</v>
      </c>
      <c r="M346">
        <v>94</v>
      </c>
      <c r="N346" t="s">
        <v>37</v>
      </c>
      <c r="O346" t="s">
        <v>28</v>
      </c>
      <c r="P346">
        <v>59</v>
      </c>
      <c r="Q346">
        <v>44</v>
      </c>
      <c r="R346" t="str" cm="1">
        <f t="array" ref="R346">_xlfn.IFS(Q346&gt;70,"Good",Q346&lt;40,"Bad",(Q346&gt;OS384*(Q346&lt;80)),"Ok")</f>
        <v>Ok</v>
      </c>
      <c r="S346">
        <v>56</v>
      </c>
      <c r="T346" t="str" cm="1">
        <f t="array" ref="T346">_xlfn.IFS(S346&gt;50, "High", S346&lt;=50, "Low")</f>
        <v>High</v>
      </c>
      <c r="U346">
        <v>80</v>
      </c>
      <c r="V346">
        <v>0</v>
      </c>
      <c r="W346">
        <v>6</v>
      </c>
      <c r="X346">
        <v>3</v>
      </c>
      <c r="Y346">
        <f t="shared" ca="1" si="5"/>
        <v>0.49643924710210952</v>
      </c>
    </row>
    <row r="347" spans="1:25" x14ac:dyDescent="0.3">
      <c r="A347" t="s">
        <v>774</v>
      </c>
      <c r="B347" t="s">
        <v>775</v>
      </c>
      <c r="C347">
        <v>1</v>
      </c>
      <c r="D347" s="1">
        <v>44865</v>
      </c>
      <c r="E347">
        <v>629</v>
      </c>
      <c r="F347">
        <v>14</v>
      </c>
      <c r="G347">
        <v>32</v>
      </c>
      <c r="H347">
        <v>3</v>
      </c>
      <c r="I347">
        <v>9</v>
      </c>
      <c r="J347">
        <v>0</v>
      </c>
      <c r="K347">
        <v>0</v>
      </c>
      <c r="L347">
        <v>303216294</v>
      </c>
      <c r="M347">
        <v>94</v>
      </c>
      <c r="N347" t="s">
        <v>81</v>
      </c>
      <c r="O347" t="s">
        <v>28</v>
      </c>
      <c r="P347">
        <v>73</v>
      </c>
      <c r="Q347">
        <v>65</v>
      </c>
      <c r="R347" t="str" cm="1">
        <f t="array" ref="R347">_xlfn.IFS(Q347&gt;70,"Good",Q347&lt;40,"Bad",(Q347&gt;OS385*(Q347&lt;80)),"Ok")</f>
        <v>Ok</v>
      </c>
      <c r="S347">
        <v>79</v>
      </c>
      <c r="T347" t="str" cm="1">
        <f t="array" ref="T347">_xlfn.IFS(S347&gt;50, "High", S347&lt;=50, "Low")</f>
        <v>High</v>
      </c>
      <c r="U347">
        <v>5</v>
      </c>
      <c r="V347">
        <v>2</v>
      </c>
      <c r="W347">
        <v>11</v>
      </c>
      <c r="X347">
        <v>6</v>
      </c>
      <c r="Y347">
        <f t="shared" ca="1" si="5"/>
        <v>50.599333783667831</v>
      </c>
    </row>
    <row r="348" spans="1:25" x14ac:dyDescent="0.3">
      <c r="A348" t="s">
        <v>776</v>
      </c>
      <c r="B348" t="s">
        <v>777</v>
      </c>
      <c r="C348">
        <v>2</v>
      </c>
      <c r="D348" s="1">
        <v>44910</v>
      </c>
      <c r="E348">
        <v>1701</v>
      </c>
      <c r="F348">
        <v>15</v>
      </c>
      <c r="G348">
        <v>30</v>
      </c>
      <c r="H348">
        <v>15</v>
      </c>
      <c r="I348">
        <v>34</v>
      </c>
      <c r="J348">
        <v>2</v>
      </c>
      <c r="K348">
        <v>47</v>
      </c>
      <c r="L348">
        <v>221409663</v>
      </c>
      <c r="M348">
        <v>113</v>
      </c>
      <c r="N348" t="s">
        <v>94</v>
      </c>
      <c r="O348" t="s">
        <v>45</v>
      </c>
      <c r="P348">
        <v>79</v>
      </c>
      <c r="Q348">
        <v>66</v>
      </c>
      <c r="R348" t="str" cm="1">
        <f t="array" ref="R348">_xlfn.IFS(Q348&gt;70,"Good",Q348&lt;40,"Bad",(Q348&gt;OS386*(Q348&lt;80)),"Ok")</f>
        <v>Ok</v>
      </c>
      <c r="S348">
        <v>74</v>
      </c>
      <c r="T348" t="str" cm="1">
        <f t="array" ref="T348">_xlfn.IFS(S348&gt;50, "High", S348&lt;=50, "Low")</f>
        <v>High</v>
      </c>
      <c r="U348">
        <v>8</v>
      </c>
      <c r="V348">
        <v>0</v>
      </c>
      <c r="W348">
        <v>11</v>
      </c>
      <c r="X348">
        <v>5</v>
      </c>
      <c r="Y348">
        <f t="shared" ca="1" si="5"/>
        <v>86.904695275308853</v>
      </c>
    </row>
    <row r="349" spans="1:25" x14ac:dyDescent="0.3">
      <c r="A349" t="s">
        <v>778</v>
      </c>
      <c r="B349" t="s">
        <v>779</v>
      </c>
      <c r="C349">
        <v>2</v>
      </c>
      <c r="D349" s="1">
        <v>44988</v>
      </c>
      <c r="E349">
        <v>329</v>
      </c>
      <c r="F349">
        <v>0</v>
      </c>
      <c r="G349">
        <v>14</v>
      </c>
      <c r="H349">
        <v>35</v>
      </c>
      <c r="I349">
        <v>1</v>
      </c>
      <c r="J349">
        <v>0</v>
      </c>
      <c r="K349">
        <v>0</v>
      </c>
      <c r="L349">
        <v>58890931</v>
      </c>
      <c r="M349">
        <v>148</v>
      </c>
      <c r="N349" t="s">
        <v>134</v>
      </c>
      <c r="O349" t="s">
        <v>28</v>
      </c>
      <c r="P349">
        <v>50</v>
      </c>
      <c r="Q349">
        <v>49</v>
      </c>
      <c r="R349" t="str" cm="1">
        <f t="array" ref="R349">_xlfn.IFS(Q349&gt;70,"Good",Q349&lt;40,"Bad",(Q349&gt;OS387*(Q349&lt;80)),"Ok")</f>
        <v>Ok</v>
      </c>
      <c r="S349">
        <v>76</v>
      </c>
      <c r="T349" t="str" cm="1">
        <f t="array" ref="T349">_xlfn.IFS(S349&gt;50, "High", S349&lt;=50, "Low")</f>
        <v>High</v>
      </c>
      <c r="U349">
        <v>12</v>
      </c>
      <c r="V349">
        <v>0</v>
      </c>
      <c r="W349">
        <v>12</v>
      </c>
      <c r="X349">
        <v>3</v>
      </c>
      <c r="Y349">
        <f t="shared" ca="1" si="5"/>
        <v>65.870564595166897</v>
      </c>
    </row>
    <row r="350" spans="1:25" x14ac:dyDescent="0.3">
      <c r="A350" t="s">
        <v>780</v>
      </c>
      <c r="B350" t="s">
        <v>781</v>
      </c>
      <c r="C350">
        <v>1</v>
      </c>
      <c r="D350" s="1">
        <v>44988</v>
      </c>
      <c r="E350">
        <v>1168</v>
      </c>
      <c r="F350">
        <v>0</v>
      </c>
      <c r="G350">
        <v>45</v>
      </c>
      <c r="H350">
        <v>11</v>
      </c>
      <c r="I350">
        <v>20</v>
      </c>
      <c r="J350">
        <v>0</v>
      </c>
      <c r="K350">
        <v>21</v>
      </c>
      <c r="L350">
        <v>81419389</v>
      </c>
      <c r="M350">
        <v>98</v>
      </c>
      <c r="N350" t="s">
        <v>31</v>
      </c>
      <c r="O350" t="s">
        <v>28</v>
      </c>
      <c r="P350">
        <v>70</v>
      </c>
      <c r="Q350">
        <v>29</v>
      </c>
      <c r="R350" t="str" cm="1">
        <f t="array" ref="R350">_xlfn.IFS(Q350&gt;70,"Good",Q350&lt;40,"Bad",(Q350&gt;OS388*(Q350&lt;80)),"Ok")</f>
        <v>Bad</v>
      </c>
      <c r="S350">
        <v>73</v>
      </c>
      <c r="T350" t="str" cm="1">
        <f t="array" ref="T350">_xlfn.IFS(S350&gt;50, "High", S350&lt;=50, "Low")</f>
        <v>High</v>
      </c>
      <c r="U350">
        <v>12</v>
      </c>
      <c r="V350">
        <v>0</v>
      </c>
      <c r="W350">
        <v>11</v>
      </c>
      <c r="X350">
        <v>26</v>
      </c>
      <c r="Y350">
        <f t="shared" ca="1" si="5"/>
        <v>20.016632079640683</v>
      </c>
    </row>
    <row r="351" spans="1:25" x14ac:dyDescent="0.3">
      <c r="A351" t="s">
        <v>782</v>
      </c>
      <c r="B351" t="s">
        <v>783</v>
      </c>
      <c r="C351">
        <v>1</v>
      </c>
      <c r="D351" s="1">
        <v>44712</v>
      </c>
      <c r="E351">
        <v>162</v>
      </c>
      <c r="F351">
        <v>6</v>
      </c>
      <c r="G351">
        <v>1</v>
      </c>
      <c r="H351">
        <v>10</v>
      </c>
      <c r="I351">
        <v>1</v>
      </c>
      <c r="J351">
        <v>0</v>
      </c>
      <c r="K351">
        <v>1</v>
      </c>
      <c r="L351">
        <v>156777415</v>
      </c>
      <c r="M351">
        <v>140</v>
      </c>
      <c r="N351" t="s">
        <v>27</v>
      </c>
      <c r="O351" t="s">
        <v>28</v>
      </c>
      <c r="P351">
        <v>58</v>
      </c>
      <c r="Q351">
        <v>26</v>
      </c>
      <c r="R351" t="str" cm="1">
        <f t="array" ref="R351">_xlfn.IFS(Q351&gt;70,"Good",Q351&lt;40,"Bad",(Q351&gt;OS389*(Q351&lt;80)),"Ok")</f>
        <v>Bad</v>
      </c>
      <c r="S351">
        <v>38</v>
      </c>
      <c r="T351" t="str" cm="1">
        <f t="array" ref="T351">_xlfn.IFS(S351&gt;50, "High", S351&lt;=50, "Low")</f>
        <v>Low</v>
      </c>
      <c r="U351">
        <v>91</v>
      </c>
      <c r="V351">
        <v>0</v>
      </c>
      <c r="W351">
        <v>10</v>
      </c>
      <c r="X351">
        <v>4</v>
      </c>
      <c r="Y351">
        <f t="shared" ca="1" si="5"/>
        <v>11.994825508458284</v>
      </c>
    </row>
    <row r="352" spans="1:25" x14ac:dyDescent="0.3">
      <c r="A352" t="s">
        <v>784</v>
      </c>
      <c r="B352" t="s">
        <v>80</v>
      </c>
      <c r="C352">
        <v>1</v>
      </c>
      <c r="D352" s="1">
        <v>44904</v>
      </c>
      <c r="E352">
        <v>2536</v>
      </c>
      <c r="F352">
        <v>6</v>
      </c>
      <c r="G352">
        <v>59</v>
      </c>
      <c r="H352">
        <v>100</v>
      </c>
      <c r="I352">
        <v>58</v>
      </c>
      <c r="J352">
        <v>13</v>
      </c>
      <c r="K352">
        <v>2</v>
      </c>
      <c r="L352">
        <v>284908316</v>
      </c>
      <c r="M352">
        <v>100</v>
      </c>
      <c r="N352" t="s">
        <v>94</v>
      </c>
      <c r="O352" t="s">
        <v>28</v>
      </c>
      <c r="P352">
        <v>36</v>
      </c>
      <c r="Q352">
        <v>28</v>
      </c>
      <c r="R352" t="str" cm="1">
        <f t="array" ref="R352">_xlfn.IFS(Q352&gt;70,"Good",Q352&lt;40,"Bad",(Q352&gt;OS390*(Q352&lt;80)),"Ok")</f>
        <v>Bad</v>
      </c>
      <c r="S352">
        <v>28</v>
      </c>
      <c r="T352" t="str" cm="1">
        <f t="array" ref="T352">_xlfn.IFS(S352&gt;50, "High", S352&lt;=50, "Low")</f>
        <v>Low</v>
      </c>
      <c r="U352">
        <v>81</v>
      </c>
      <c r="V352">
        <v>0</v>
      </c>
      <c r="W352">
        <v>18</v>
      </c>
      <c r="X352">
        <v>3</v>
      </c>
      <c r="Y352">
        <f t="shared" ca="1" si="5"/>
        <v>18.300189751798936</v>
      </c>
    </row>
    <row r="353" spans="1:25" x14ac:dyDescent="0.3">
      <c r="A353" t="s">
        <v>785</v>
      </c>
      <c r="B353" t="s">
        <v>786</v>
      </c>
      <c r="C353">
        <v>2</v>
      </c>
      <c r="D353" s="1">
        <v>44980</v>
      </c>
      <c r="E353">
        <v>387</v>
      </c>
      <c r="F353">
        <v>11</v>
      </c>
      <c r="G353">
        <v>11</v>
      </c>
      <c r="H353">
        <v>15</v>
      </c>
      <c r="I353">
        <v>14</v>
      </c>
      <c r="J353">
        <v>3</v>
      </c>
      <c r="K353">
        <v>1</v>
      </c>
      <c r="L353">
        <v>93438910</v>
      </c>
      <c r="M353">
        <v>140</v>
      </c>
      <c r="N353" t="s">
        <v>65</v>
      </c>
      <c r="O353" t="s">
        <v>28</v>
      </c>
      <c r="P353">
        <v>86</v>
      </c>
      <c r="Q353">
        <v>68</v>
      </c>
      <c r="R353" t="str" cm="1">
        <f t="array" ref="R353">_xlfn.IFS(Q353&gt;70,"Good",Q353&lt;40,"Bad",(Q353&gt;OS391*(Q353&lt;80)),"Ok")</f>
        <v>Ok</v>
      </c>
      <c r="S353">
        <v>79</v>
      </c>
      <c r="T353" t="str" cm="1">
        <f t="array" ref="T353">_xlfn.IFS(S353&gt;50, "High", S353&lt;=50, "Low")</f>
        <v>High</v>
      </c>
      <c r="U353">
        <v>39</v>
      </c>
      <c r="V353">
        <v>0</v>
      </c>
      <c r="W353">
        <v>11</v>
      </c>
      <c r="X353">
        <v>29</v>
      </c>
      <c r="Y353">
        <f t="shared" ca="1" si="5"/>
        <v>49.693846183543734</v>
      </c>
    </row>
    <row r="354" spans="1:25" x14ac:dyDescent="0.3">
      <c r="A354" t="s">
        <v>111</v>
      </c>
      <c r="B354" t="s">
        <v>68</v>
      </c>
      <c r="C354">
        <v>1</v>
      </c>
      <c r="D354" s="1">
        <v>44774</v>
      </c>
      <c r="E354">
        <v>892</v>
      </c>
      <c r="F354">
        <v>17</v>
      </c>
      <c r="G354">
        <v>20</v>
      </c>
      <c r="H354">
        <v>119</v>
      </c>
      <c r="I354">
        <v>12</v>
      </c>
      <c r="J354">
        <v>2</v>
      </c>
      <c r="K354">
        <v>7</v>
      </c>
      <c r="L354">
        <v>363472647</v>
      </c>
      <c r="M354">
        <v>100</v>
      </c>
      <c r="N354" t="s">
        <v>134</v>
      </c>
      <c r="O354" t="s">
        <v>45</v>
      </c>
      <c r="P354">
        <v>59</v>
      </c>
      <c r="Q354">
        <v>78</v>
      </c>
      <c r="R354" t="str" cm="1">
        <f t="array" ref="R354">_xlfn.IFS(Q354&gt;70,"Good",Q354&lt;40,"Bad",(Q354&gt;OS392*(Q354&lt;80)),"Ok")</f>
        <v>Good</v>
      </c>
      <c r="S354">
        <v>94</v>
      </c>
      <c r="T354" t="str" cm="1">
        <f t="array" ref="T354">_xlfn.IFS(S354&gt;50, "High", S354&lt;=50, "Low")</f>
        <v>High</v>
      </c>
      <c r="U354">
        <v>27</v>
      </c>
      <c r="V354">
        <v>0</v>
      </c>
      <c r="W354">
        <v>29</v>
      </c>
      <c r="X354">
        <v>23</v>
      </c>
      <c r="Y354">
        <f t="shared" ca="1" si="5"/>
        <v>43.937081473843918</v>
      </c>
    </row>
    <row r="355" spans="1:25" x14ac:dyDescent="0.3">
      <c r="A355" t="s">
        <v>787</v>
      </c>
      <c r="B355" t="s">
        <v>788</v>
      </c>
      <c r="C355">
        <v>1</v>
      </c>
      <c r="D355" s="1">
        <v>40544</v>
      </c>
      <c r="E355">
        <v>3909</v>
      </c>
      <c r="F355">
        <v>0</v>
      </c>
      <c r="G355">
        <v>66</v>
      </c>
      <c r="H355">
        <v>26</v>
      </c>
      <c r="I355">
        <v>277</v>
      </c>
      <c r="J355">
        <v>3</v>
      </c>
      <c r="K355">
        <v>734</v>
      </c>
      <c r="L355">
        <v>372476382</v>
      </c>
      <c r="M355">
        <v>100</v>
      </c>
      <c r="N355" t="s">
        <v>37</v>
      </c>
      <c r="O355" t="s">
        <v>45</v>
      </c>
      <c r="P355">
        <v>59</v>
      </c>
      <c r="Q355">
        <v>49</v>
      </c>
      <c r="R355" t="str" cm="1">
        <f t="array" ref="R355">_xlfn.IFS(Q355&gt;70,"Good",Q355&lt;40,"Bad",(Q355&gt;OS393*(Q355&lt;80)),"Ok")</f>
        <v>Ok</v>
      </c>
      <c r="S355">
        <v>65</v>
      </c>
      <c r="T355" t="str" cm="1">
        <f t="array" ref="T355">_xlfn.IFS(S355&gt;50, "High", S355&lt;=50, "Low")</f>
        <v>High</v>
      </c>
      <c r="U355">
        <v>2</v>
      </c>
      <c r="V355">
        <v>0</v>
      </c>
      <c r="W355">
        <v>13</v>
      </c>
      <c r="X355">
        <v>3</v>
      </c>
      <c r="Y355">
        <f t="shared" ca="1" si="5"/>
        <v>44.849418106774408</v>
      </c>
    </row>
    <row r="356" spans="1:25" x14ac:dyDescent="0.3">
      <c r="A356" t="s">
        <v>408</v>
      </c>
      <c r="B356" t="s">
        <v>789</v>
      </c>
      <c r="C356">
        <v>2</v>
      </c>
      <c r="D356" s="1">
        <v>44853</v>
      </c>
      <c r="E356">
        <v>3645</v>
      </c>
      <c r="F356">
        <v>15</v>
      </c>
      <c r="G356">
        <v>118</v>
      </c>
      <c r="H356">
        <v>34</v>
      </c>
      <c r="I356">
        <v>150</v>
      </c>
      <c r="J356">
        <v>4</v>
      </c>
      <c r="K356">
        <v>19</v>
      </c>
      <c r="L356">
        <v>380726517</v>
      </c>
      <c r="M356">
        <v>132</v>
      </c>
      <c r="O356" t="s">
        <v>45</v>
      </c>
      <c r="P356">
        <v>87</v>
      </c>
      <c r="Q356">
        <v>82</v>
      </c>
      <c r="R356" t="str" cm="1">
        <f t="array" ref="R356">_xlfn.IFS(Q356&gt;70,"Good",Q356&lt;40,"Bad",(Q356&gt;OS394*(Q356&lt;80)),"Ok")</f>
        <v>Good</v>
      </c>
      <c r="S356">
        <v>70</v>
      </c>
      <c r="T356" t="str" cm="1">
        <f t="array" ref="T356">_xlfn.IFS(S356&gt;50, "High", S356&lt;=50, "Low")</f>
        <v>High</v>
      </c>
      <c r="U356">
        <v>42</v>
      </c>
      <c r="V356">
        <v>0</v>
      </c>
      <c r="W356">
        <v>21</v>
      </c>
      <c r="X356">
        <v>5</v>
      </c>
      <c r="Y356">
        <f t="shared" ca="1" si="5"/>
        <v>50.776604709513286</v>
      </c>
    </row>
    <row r="357" spans="1:25" x14ac:dyDescent="0.3">
      <c r="A357" t="s">
        <v>790</v>
      </c>
      <c r="B357" t="s">
        <v>119</v>
      </c>
      <c r="C357">
        <v>1</v>
      </c>
      <c r="D357" s="1">
        <v>44988</v>
      </c>
      <c r="E357">
        <v>282</v>
      </c>
      <c r="F357">
        <v>0</v>
      </c>
      <c r="G357">
        <v>6</v>
      </c>
      <c r="H357">
        <v>15</v>
      </c>
      <c r="I357">
        <v>0</v>
      </c>
      <c r="J357">
        <v>0</v>
      </c>
      <c r="K357">
        <v>0</v>
      </c>
      <c r="L357">
        <v>56533272</v>
      </c>
      <c r="M357">
        <v>142</v>
      </c>
      <c r="N357" t="s">
        <v>61</v>
      </c>
      <c r="O357" t="s">
        <v>28</v>
      </c>
      <c r="P357">
        <v>49</v>
      </c>
      <c r="Q357">
        <v>48</v>
      </c>
      <c r="R357" t="str" cm="1">
        <f t="array" ref="R357">_xlfn.IFS(Q357&gt;70,"Good",Q357&lt;40,"Bad",(Q357&gt;OS395*(Q357&lt;80)),"Ok")</f>
        <v>Ok</v>
      </c>
      <c r="S357">
        <v>67</v>
      </c>
      <c r="T357" t="str" cm="1">
        <f t="array" ref="T357">_xlfn.IFS(S357&gt;50, "High", S357&lt;=50, "Low")</f>
        <v>High</v>
      </c>
      <c r="U357">
        <v>10</v>
      </c>
      <c r="V357">
        <v>0</v>
      </c>
      <c r="W357">
        <v>26</v>
      </c>
      <c r="X357">
        <v>3</v>
      </c>
      <c r="Y357">
        <f t="shared" ca="1" si="5"/>
        <v>26.304443326271976</v>
      </c>
    </row>
    <row r="358" spans="1:25" x14ac:dyDescent="0.3">
      <c r="A358" t="s">
        <v>495</v>
      </c>
      <c r="B358" t="s">
        <v>54</v>
      </c>
      <c r="C358">
        <v>1</v>
      </c>
      <c r="D358" s="1">
        <v>44946</v>
      </c>
      <c r="E358">
        <v>888</v>
      </c>
      <c r="F358">
        <v>22</v>
      </c>
      <c r="G358">
        <v>11</v>
      </c>
      <c r="H358">
        <v>24</v>
      </c>
      <c r="I358">
        <v>7</v>
      </c>
      <c r="J358">
        <v>1</v>
      </c>
      <c r="K358">
        <v>7</v>
      </c>
      <c r="L358">
        <v>175399345</v>
      </c>
      <c r="M358">
        <v>176</v>
      </c>
      <c r="N358" t="s">
        <v>134</v>
      </c>
      <c r="O358" t="s">
        <v>45</v>
      </c>
      <c r="P358">
        <v>72</v>
      </c>
      <c r="Q358">
        <v>96</v>
      </c>
      <c r="R358" t="str" cm="1">
        <f t="array" ref="R358">_xlfn.IFS(Q358&gt;70,"Good",Q358&lt;40,"Bad",(Q358&gt;OS396*(Q358&lt;80)),"Ok")</f>
        <v>Good</v>
      </c>
      <c r="S358">
        <v>63</v>
      </c>
      <c r="T358" t="str" cm="1">
        <f t="array" ref="T358">_xlfn.IFS(S358&gt;50, "High", S358&lt;=50, "Low")</f>
        <v>High</v>
      </c>
      <c r="U358">
        <v>25</v>
      </c>
      <c r="V358">
        <v>0</v>
      </c>
      <c r="W358">
        <v>21</v>
      </c>
      <c r="X358">
        <v>7</v>
      </c>
      <c r="Y358">
        <f t="shared" ca="1" si="5"/>
        <v>23.920424041964004</v>
      </c>
    </row>
    <row r="359" spans="1:25" x14ac:dyDescent="0.3">
      <c r="A359" t="s">
        <v>791</v>
      </c>
      <c r="B359" t="s">
        <v>119</v>
      </c>
      <c r="C359">
        <v>1</v>
      </c>
      <c r="D359" s="1">
        <v>44687</v>
      </c>
      <c r="E359">
        <v>968</v>
      </c>
      <c r="F359">
        <v>4</v>
      </c>
      <c r="G359">
        <v>16</v>
      </c>
      <c r="H359">
        <v>53</v>
      </c>
      <c r="I359">
        <v>1</v>
      </c>
      <c r="J359">
        <v>0</v>
      </c>
      <c r="K359">
        <v>61</v>
      </c>
      <c r="L359">
        <v>203221468</v>
      </c>
      <c r="M359">
        <v>140</v>
      </c>
      <c r="N359" t="s">
        <v>65</v>
      </c>
      <c r="O359" t="s">
        <v>28</v>
      </c>
      <c r="P359">
        <v>53</v>
      </c>
      <c r="Q359">
        <v>51</v>
      </c>
      <c r="R359" t="str" cm="1">
        <f t="array" ref="R359">_xlfn.IFS(Q359&gt;70,"Good",Q359&lt;40,"Bad",(Q359&gt;OS397*(Q359&lt;80)),"Ok")</f>
        <v>Ok</v>
      </c>
      <c r="S359">
        <v>70</v>
      </c>
      <c r="T359" t="str" cm="1">
        <f t="array" ref="T359">_xlfn.IFS(S359&gt;50, "High", S359&lt;=50, "Low")</f>
        <v>High</v>
      </c>
      <c r="U359">
        <v>49</v>
      </c>
      <c r="V359">
        <v>0</v>
      </c>
      <c r="W359">
        <v>14</v>
      </c>
      <c r="X359">
        <v>3</v>
      </c>
      <c r="Y359">
        <f t="shared" ca="1" si="5"/>
        <v>70.219234855403698</v>
      </c>
    </row>
    <row r="360" spans="1:25" x14ac:dyDescent="0.3">
      <c r="A360" t="s">
        <v>792</v>
      </c>
      <c r="B360" t="s">
        <v>756</v>
      </c>
      <c r="C360">
        <v>1</v>
      </c>
      <c r="D360" s="1">
        <v>36823</v>
      </c>
      <c r="E360">
        <v>25065</v>
      </c>
      <c r="F360">
        <v>6</v>
      </c>
      <c r="G360">
        <v>63</v>
      </c>
      <c r="H360">
        <v>0</v>
      </c>
      <c r="I360" s="2">
        <v>6808</v>
      </c>
      <c r="J360">
        <v>2</v>
      </c>
      <c r="K360">
        <v>0</v>
      </c>
      <c r="L360">
        <v>1624165576</v>
      </c>
      <c r="M360">
        <v>105</v>
      </c>
      <c r="N360" t="s">
        <v>302</v>
      </c>
      <c r="O360" t="s">
        <v>45</v>
      </c>
      <c r="P360">
        <v>55</v>
      </c>
      <c r="Q360">
        <v>40</v>
      </c>
      <c r="R360" t="str" cm="1">
        <f t="array" ref="R360">_xlfn.IFS(Q360&gt;70,"Good",Q360&lt;40,"Bad",(Q360&gt;OS398*(Q360&lt;80)),"Ok")</f>
        <v>Ok</v>
      </c>
      <c r="S360">
        <v>90</v>
      </c>
      <c r="T360" t="str" cm="1">
        <f t="array" ref="T360">_xlfn.IFS(S360&gt;50, "High", S360&lt;=50, "Low")</f>
        <v>High</v>
      </c>
      <c r="U360">
        <v>1</v>
      </c>
      <c r="V360">
        <v>0</v>
      </c>
      <c r="W360">
        <v>32</v>
      </c>
      <c r="X360">
        <v>6</v>
      </c>
      <c r="Y360">
        <f t="shared" ca="1" si="5"/>
        <v>92.659985446027633</v>
      </c>
    </row>
    <row r="361" spans="1:25" x14ac:dyDescent="0.3">
      <c r="A361" t="s">
        <v>55</v>
      </c>
      <c r="B361" t="s">
        <v>793</v>
      </c>
      <c r="C361">
        <v>1</v>
      </c>
      <c r="D361" s="1">
        <v>44903</v>
      </c>
      <c r="E361">
        <v>531</v>
      </c>
      <c r="F361">
        <v>4</v>
      </c>
      <c r="G361">
        <v>20</v>
      </c>
      <c r="H361">
        <v>1</v>
      </c>
      <c r="I361">
        <v>71</v>
      </c>
      <c r="J361">
        <v>2</v>
      </c>
      <c r="K361">
        <v>0</v>
      </c>
      <c r="L361">
        <v>134294498</v>
      </c>
      <c r="M361">
        <v>135</v>
      </c>
      <c r="N361" t="s">
        <v>34</v>
      </c>
      <c r="O361" t="s">
        <v>28</v>
      </c>
      <c r="P361">
        <v>81</v>
      </c>
      <c r="Q361">
        <v>97</v>
      </c>
      <c r="R361" t="str" cm="1">
        <f t="array" ref="R361">_xlfn.IFS(Q361&gt;70,"Good",Q361&lt;40,"Bad",(Q361&gt;OS399*(Q361&lt;80)),"Ok")</f>
        <v>Good</v>
      </c>
      <c r="S361">
        <v>77</v>
      </c>
      <c r="T361" t="str" cm="1">
        <f t="array" ref="T361">_xlfn.IFS(S361&gt;50, "High", S361&lt;=50, "Low")</f>
        <v>High</v>
      </c>
      <c r="U361">
        <v>75</v>
      </c>
      <c r="V361">
        <v>0</v>
      </c>
      <c r="W361">
        <v>35</v>
      </c>
      <c r="X361">
        <v>3</v>
      </c>
      <c r="Y361">
        <f t="shared" ca="1" si="5"/>
        <v>62.3308698693263</v>
      </c>
    </row>
    <row r="362" spans="1:25" x14ac:dyDescent="0.3">
      <c r="A362" t="s">
        <v>794</v>
      </c>
      <c r="B362" t="s">
        <v>795</v>
      </c>
      <c r="C362">
        <v>1</v>
      </c>
      <c r="D362" s="1">
        <v>44770</v>
      </c>
      <c r="E362">
        <v>242</v>
      </c>
      <c r="F362">
        <v>0</v>
      </c>
      <c r="G362">
        <v>12</v>
      </c>
      <c r="H362">
        <v>2</v>
      </c>
      <c r="I362">
        <v>13</v>
      </c>
      <c r="J362">
        <v>0</v>
      </c>
      <c r="K362">
        <v>4</v>
      </c>
      <c r="L362">
        <v>70069745</v>
      </c>
      <c r="M362">
        <v>128</v>
      </c>
      <c r="N362" t="s">
        <v>134</v>
      </c>
      <c r="O362" t="s">
        <v>45</v>
      </c>
      <c r="P362">
        <v>82</v>
      </c>
      <c r="Q362">
        <v>61</v>
      </c>
      <c r="R362" t="str" cm="1">
        <f t="array" ref="R362">_xlfn.IFS(Q362&gt;70,"Good",Q362&lt;40,"Bad",(Q362&gt;OS400*(Q362&lt;80)),"Ok")</f>
        <v>Ok</v>
      </c>
      <c r="S362">
        <v>59</v>
      </c>
      <c r="T362" t="str" cm="1">
        <f t="array" ref="T362">_xlfn.IFS(S362&gt;50, "High", S362&lt;=50, "Low")</f>
        <v>High</v>
      </c>
      <c r="U362">
        <v>30</v>
      </c>
      <c r="V362">
        <v>0</v>
      </c>
      <c r="W362">
        <v>12</v>
      </c>
      <c r="X362">
        <v>4</v>
      </c>
      <c r="Y362">
        <f t="shared" ca="1" si="5"/>
        <v>42.611770763796272</v>
      </c>
    </row>
    <row r="363" spans="1:25" x14ac:dyDescent="0.3">
      <c r="A363" t="s">
        <v>796</v>
      </c>
      <c r="B363" t="s">
        <v>797</v>
      </c>
      <c r="C363">
        <v>2</v>
      </c>
      <c r="D363" s="1">
        <v>44715</v>
      </c>
      <c r="E363">
        <v>5281</v>
      </c>
      <c r="F363">
        <v>14</v>
      </c>
      <c r="G363">
        <v>94</v>
      </c>
      <c r="H363">
        <v>21</v>
      </c>
      <c r="I363">
        <v>80</v>
      </c>
      <c r="J363">
        <v>15</v>
      </c>
      <c r="K363">
        <v>38</v>
      </c>
      <c r="L363">
        <v>609293408</v>
      </c>
      <c r="M363">
        <v>101</v>
      </c>
      <c r="N363" t="s">
        <v>34</v>
      </c>
      <c r="O363" t="s">
        <v>28</v>
      </c>
      <c r="P363">
        <v>74</v>
      </c>
      <c r="Q363">
        <v>43</v>
      </c>
      <c r="R363" t="str" cm="1">
        <f t="array" ref="R363">_xlfn.IFS(Q363&gt;70,"Good",Q363&lt;40,"Bad",(Q363&gt;OS401*(Q363&lt;80)),"Ok")</f>
        <v>Ok</v>
      </c>
      <c r="S363">
        <v>69</v>
      </c>
      <c r="T363" t="str" cm="1">
        <f t="array" ref="T363">_xlfn.IFS(S363&gt;50, "High", S363&lt;=50, "Low")</f>
        <v>High</v>
      </c>
      <c r="U363">
        <v>12</v>
      </c>
      <c r="V363">
        <v>0</v>
      </c>
      <c r="W363">
        <v>12</v>
      </c>
      <c r="X363">
        <v>7</v>
      </c>
      <c r="Y363">
        <f t="shared" ca="1" si="5"/>
        <v>79.806257710121116</v>
      </c>
    </row>
    <row r="364" spans="1:25" x14ac:dyDescent="0.3">
      <c r="A364" t="s">
        <v>798</v>
      </c>
      <c r="B364" t="s">
        <v>44</v>
      </c>
      <c r="C364">
        <v>1</v>
      </c>
      <c r="D364" s="1">
        <v>44687</v>
      </c>
      <c r="E364">
        <v>2590</v>
      </c>
      <c r="F364">
        <v>30</v>
      </c>
      <c r="G364">
        <v>20</v>
      </c>
      <c r="H364">
        <v>64</v>
      </c>
      <c r="I364">
        <v>35</v>
      </c>
      <c r="J364">
        <v>6</v>
      </c>
      <c r="K364">
        <v>0</v>
      </c>
      <c r="L364">
        <v>671365962</v>
      </c>
      <c r="M364">
        <v>122</v>
      </c>
      <c r="N364" t="s">
        <v>181</v>
      </c>
      <c r="O364" t="s">
        <v>28</v>
      </c>
      <c r="P364">
        <v>88</v>
      </c>
      <c r="Q364">
        <v>43</v>
      </c>
      <c r="R364" t="str" cm="1">
        <f t="array" ref="R364">_xlfn.IFS(Q364&gt;70,"Good",Q364&lt;40,"Bad",(Q364&gt;OS402*(Q364&lt;80)),"Ok")</f>
        <v>Ok</v>
      </c>
      <c r="S364">
        <v>50</v>
      </c>
      <c r="T364" t="str" cm="1">
        <f t="array" ref="T364">_xlfn.IFS(S364&gt;50, "High", S364&lt;=50, "Low")</f>
        <v>Low</v>
      </c>
      <c r="U364">
        <v>7</v>
      </c>
      <c r="V364">
        <v>0</v>
      </c>
      <c r="W364">
        <v>14</v>
      </c>
      <c r="X364">
        <v>5</v>
      </c>
      <c r="Y364">
        <f t="shared" ca="1" si="5"/>
        <v>54.550877309812876</v>
      </c>
    </row>
    <row r="365" spans="1:25" x14ac:dyDescent="0.3">
      <c r="A365" t="s">
        <v>799</v>
      </c>
      <c r="B365" t="s">
        <v>54</v>
      </c>
      <c r="C365">
        <v>1</v>
      </c>
      <c r="D365" s="1">
        <v>44812</v>
      </c>
      <c r="E365">
        <v>1769</v>
      </c>
      <c r="F365">
        <v>34</v>
      </c>
      <c r="G365">
        <v>16</v>
      </c>
      <c r="H365">
        <v>19</v>
      </c>
      <c r="I365">
        <v>21</v>
      </c>
      <c r="J365">
        <v>3</v>
      </c>
      <c r="K365">
        <v>4</v>
      </c>
      <c r="L365">
        <v>362361576</v>
      </c>
      <c r="M365">
        <v>105</v>
      </c>
      <c r="O365" t="s">
        <v>45</v>
      </c>
      <c r="P365">
        <v>76</v>
      </c>
      <c r="Q365">
        <v>49</v>
      </c>
      <c r="R365" t="str" cm="1">
        <f t="array" ref="R365">_xlfn.IFS(Q365&gt;70,"Good",Q365&lt;40,"Bad",(Q365&gt;OS403*(Q365&lt;80)),"Ok")</f>
        <v>Ok</v>
      </c>
      <c r="S365">
        <v>56</v>
      </c>
      <c r="T365" t="str" cm="1">
        <f t="array" ref="T365">_xlfn.IFS(S365&gt;50, "High", S365&lt;=50, "Low")</f>
        <v>High</v>
      </c>
      <c r="U365">
        <v>80</v>
      </c>
      <c r="V365">
        <v>12</v>
      </c>
      <c r="W365">
        <v>10</v>
      </c>
      <c r="X365">
        <v>13</v>
      </c>
      <c r="Y365">
        <f t="shared" ca="1" si="5"/>
        <v>19.039670956219258</v>
      </c>
    </row>
    <row r="366" spans="1:25" x14ac:dyDescent="0.3">
      <c r="A366" t="s">
        <v>800</v>
      </c>
      <c r="B366" t="s">
        <v>801</v>
      </c>
      <c r="C366">
        <v>2</v>
      </c>
      <c r="D366" s="1">
        <v>44918</v>
      </c>
      <c r="E366">
        <v>454</v>
      </c>
      <c r="F366">
        <v>4</v>
      </c>
      <c r="G366">
        <v>6</v>
      </c>
      <c r="H366">
        <v>1</v>
      </c>
      <c r="I366">
        <v>21</v>
      </c>
      <c r="J366">
        <v>0</v>
      </c>
      <c r="K366">
        <v>1</v>
      </c>
      <c r="L366">
        <v>93587665</v>
      </c>
      <c r="M366">
        <v>83</v>
      </c>
      <c r="N366" t="s">
        <v>31</v>
      </c>
      <c r="O366" t="s">
        <v>28</v>
      </c>
      <c r="P366">
        <v>53</v>
      </c>
      <c r="Q366">
        <v>40</v>
      </c>
      <c r="R366" t="str" cm="1">
        <f t="array" ref="R366">_xlfn.IFS(Q366&gt;70,"Good",Q366&lt;40,"Bad",(Q366&gt;OS404*(Q366&lt;80)),"Ok")</f>
        <v>Ok</v>
      </c>
      <c r="S366">
        <v>36</v>
      </c>
      <c r="T366" t="str" cm="1">
        <f t="array" ref="T366">_xlfn.IFS(S366&gt;50, "High", S366&lt;=50, "Low")</f>
        <v>Low</v>
      </c>
      <c r="U366">
        <v>73</v>
      </c>
      <c r="V366">
        <v>0</v>
      </c>
      <c r="W366">
        <v>11</v>
      </c>
      <c r="X366">
        <v>33</v>
      </c>
      <c r="Y366">
        <f t="shared" ca="1" si="5"/>
        <v>56.880627533412273</v>
      </c>
    </row>
    <row r="367" spans="1:25" x14ac:dyDescent="0.3">
      <c r="A367" t="s">
        <v>802</v>
      </c>
      <c r="B367" t="s">
        <v>803</v>
      </c>
      <c r="C367">
        <v>4</v>
      </c>
      <c r="D367" s="1">
        <v>44442</v>
      </c>
      <c r="E367">
        <v>6180</v>
      </c>
      <c r="F367">
        <v>7</v>
      </c>
      <c r="G367">
        <v>122</v>
      </c>
      <c r="H367">
        <v>88</v>
      </c>
      <c r="I367">
        <v>580</v>
      </c>
      <c r="J367">
        <v>21</v>
      </c>
      <c r="K367">
        <v>10</v>
      </c>
      <c r="L367">
        <v>1223481149</v>
      </c>
      <c r="M367">
        <v>77</v>
      </c>
      <c r="N367" t="s">
        <v>27</v>
      </c>
      <c r="O367" t="s">
        <v>45</v>
      </c>
      <c r="P367">
        <v>72</v>
      </c>
      <c r="Q367">
        <v>59</v>
      </c>
      <c r="R367" t="str" cm="1">
        <f t="array" ref="R367">_xlfn.IFS(Q367&gt;70,"Good",Q367&lt;40,"Bad",(Q367&gt;OS405*(Q367&lt;80)),"Ok")</f>
        <v>Ok</v>
      </c>
      <c r="S367">
        <v>76</v>
      </c>
      <c r="T367" t="str" cm="1">
        <f t="array" ref="T367">_xlfn.IFS(S367&gt;50, "High", S367&lt;=50, "Low")</f>
        <v>High</v>
      </c>
      <c r="U367">
        <v>24</v>
      </c>
      <c r="V367">
        <v>0</v>
      </c>
      <c r="W367">
        <v>42</v>
      </c>
      <c r="X367">
        <v>28</v>
      </c>
      <c r="Y367">
        <f t="shared" ca="1" si="5"/>
        <v>61.779406331430607</v>
      </c>
    </row>
    <row r="368" spans="1:25" x14ac:dyDescent="0.3">
      <c r="A368" t="s">
        <v>804</v>
      </c>
      <c r="B368" t="s">
        <v>805</v>
      </c>
      <c r="C368">
        <v>1</v>
      </c>
      <c r="D368" s="1">
        <v>42972</v>
      </c>
      <c r="E368">
        <v>3600</v>
      </c>
      <c r="F368">
        <v>11</v>
      </c>
      <c r="G368">
        <v>7</v>
      </c>
      <c r="H368">
        <v>0</v>
      </c>
      <c r="I368">
        <v>203</v>
      </c>
      <c r="J368">
        <v>0</v>
      </c>
      <c r="K368">
        <v>2</v>
      </c>
      <c r="L368">
        <v>1022258230</v>
      </c>
      <c r="M368">
        <v>140</v>
      </c>
      <c r="N368" t="s">
        <v>27</v>
      </c>
      <c r="O368" t="s">
        <v>45</v>
      </c>
      <c r="P368">
        <v>75</v>
      </c>
      <c r="Q368">
        <v>18</v>
      </c>
      <c r="R368" t="str" cm="1">
        <f t="array" ref="R368">_xlfn.IFS(Q368&gt;70,"Good",Q368&lt;40,"Bad",(Q368&gt;OS406*(Q368&lt;80)),"Ok")</f>
        <v>Bad</v>
      </c>
      <c r="S368">
        <v>25</v>
      </c>
      <c r="T368" t="str" cm="1">
        <f t="array" ref="T368">_xlfn.IFS(S368&gt;50, "High", S368&lt;=50, "Low")</f>
        <v>Low</v>
      </c>
      <c r="U368">
        <v>78</v>
      </c>
      <c r="V368">
        <v>0</v>
      </c>
      <c r="W368">
        <v>11</v>
      </c>
      <c r="X368">
        <v>26</v>
      </c>
      <c r="Y368">
        <f t="shared" ca="1" si="5"/>
        <v>63.223989285783553</v>
      </c>
    </row>
    <row r="369" spans="1:25" x14ac:dyDescent="0.3">
      <c r="A369" t="s">
        <v>208</v>
      </c>
      <c r="B369" t="s">
        <v>806</v>
      </c>
      <c r="C369">
        <v>2</v>
      </c>
      <c r="D369" s="1">
        <v>44868</v>
      </c>
      <c r="E369">
        <v>1254</v>
      </c>
      <c r="F369">
        <v>6</v>
      </c>
      <c r="G369">
        <v>26</v>
      </c>
      <c r="H369">
        <v>69</v>
      </c>
      <c r="I369">
        <v>73</v>
      </c>
      <c r="J369">
        <v>2</v>
      </c>
      <c r="K369">
        <v>6</v>
      </c>
      <c r="L369">
        <v>263453310</v>
      </c>
      <c r="M369">
        <v>158</v>
      </c>
      <c r="N369" t="s">
        <v>31</v>
      </c>
      <c r="O369" t="s">
        <v>28</v>
      </c>
      <c r="P369">
        <v>65</v>
      </c>
      <c r="Q369">
        <v>72</v>
      </c>
      <c r="R369" t="str" cm="1">
        <f t="array" ref="R369">_xlfn.IFS(Q369&gt;70,"Good",Q369&lt;40,"Bad",(Q369&gt;OS407*(Q369&lt;80)),"Ok")</f>
        <v>Good</v>
      </c>
      <c r="S369">
        <v>95</v>
      </c>
      <c r="T369" t="str" cm="1">
        <f t="array" ref="T369">_xlfn.IFS(S369&gt;50, "High", S369&lt;=50, "Low")</f>
        <v>High</v>
      </c>
      <c r="U369">
        <v>31</v>
      </c>
      <c r="V369">
        <v>0</v>
      </c>
      <c r="W369">
        <v>92</v>
      </c>
      <c r="X369">
        <v>5</v>
      </c>
      <c r="Y369">
        <f t="shared" ca="1" si="5"/>
        <v>85.708821410213773</v>
      </c>
    </row>
    <row r="370" spans="1:25" x14ac:dyDescent="0.3">
      <c r="A370" t="s">
        <v>807</v>
      </c>
      <c r="B370" t="s">
        <v>808</v>
      </c>
      <c r="C370">
        <v>2</v>
      </c>
      <c r="D370" s="1">
        <v>43644</v>
      </c>
      <c r="E370">
        <v>6398</v>
      </c>
      <c r="F370">
        <v>31</v>
      </c>
      <c r="G370">
        <v>177</v>
      </c>
      <c r="H370">
        <v>109</v>
      </c>
      <c r="I370">
        <v>305</v>
      </c>
      <c r="J370">
        <v>3</v>
      </c>
      <c r="K370">
        <v>5</v>
      </c>
      <c r="L370">
        <v>1435127549</v>
      </c>
      <c r="M370">
        <v>176</v>
      </c>
      <c r="N370" t="s">
        <v>94</v>
      </c>
      <c r="O370" t="s">
        <v>28</v>
      </c>
      <c r="P370">
        <v>75</v>
      </c>
      <c r="Q370">
        <v>43</v>
      </c>
      <c r="R370" t="str" cm="1">
        <f t="array" ref="R370">_xlfn.IFS(Q370&gt;70,"Good",Q370&lt;40,"Bad",(Q370&gt;OS408*(Q370&lt;80)),"Ok")</f>
        <v>Ok</v>
      </c>
      <c r="S370">
        <v>65</v>
      </c>
      <c r="T370" t="str" cm="1">
        <f t="array" ref="T370">_xlfn.IFS(S370&gt;50, "High", S370&lt;=50, "Low")</f>
        <v>High</v>
      </c>
      <c r="U370">
        <v>15</v>
      </c>
      <c r="V370">
        <v>0</v>
      </c>
      <c r="W370">
        <v>11</v>
      </c>
      <c r="X370">
        <v>32</v>
      </c>
      <c r="Y370">
        <f t="shared" ca="1" si="5"/>
        <v>6.2193632036497632</v>
      </c>
    </row>
    <row r="371" spans="1:25" x14ac:dyDescent="0.3">
      <c r="A371" t="s">
        <v>204</v>
      </c>
      <c r="B371" t="s">
        <v>809</v>
      </c>
      <c r="C371">
        <v>2</v>
      </c>
      <c r="D371" s="1">
        <v>44854</v>
      </c>
      <c r="E371">
        <v>660</v>
      </c>
      <c r="F371">
        <v>15</v>
      </c>
      <c r="G371">
        <v>19</v>
      </c>
      <c r="H371">
        <v>59</v>
      </c>
      <c r="I371">
        <v>18</v>
      </c>
      <c r="J371">
        <v>5</v>
      </c>
      <c r="K371">
        <v>52</v>
      </c>
      <c r="L371">
        <v>236857112</v>
      </c>
      <c r="M371">
        <v>98</v>
      </c>
      <c r="N371" t="s">
        <v>27</v>
      </c>
      <c r="O371" t="s">
        <v>28</v>
      </c>
      <c r="P371">
        <v>73</v>
      </c>
      <c r="Q371">
        <v>88</v>
      </c>
      <c r="R371" t="str" cm="1">
        <f t="array" ref="R371">_xlfn.IFS(Q371&gt;70,"Good",Q371&lt;40,"Bad",(Q371&gt;OS409*(Q371&lt;80)),"Ok")</f>
        <v>Good</v>
      </c>
      <c r="S371">
        <v>57</v>
      </c>
      <c r="T371" t="str" cm="1">
        <f t="array" ref="T371">_xlfn.IFS(S371&gt;50, "High", S371&lt;=50, "Low")</f>
        <v>High</v>
      </c>
      <c r="U371">
        <v>56</v>
      </c>
      <c r="V371">
        <v>0</v>
      </c>
      <c r="W371">
        <v>5</v>
      </c>
      <c r="X371">
        <v>2</v>
      </c>
      <c r="Y371">
        <f t="shared" ca="1" si="5"/>
        <v>16.269046485659487</v>
      </c>
    </row>
    <row r="372" spans="1:25" x14ac:dyDescent="0.3">
      <c r="A372" t="s">
        <v>810</v>
      </c>
      <c r="B372" t="s">
        <v>811</v>
      </c>
      <c r="C372">
        <v>1</v>
      </c>
      <c r="D372" s="1">
        <v>44953</v>
      </c>
      <c r="E372">
        <v>1283</v>
      </c>
      <c r="F372">
        <v>0</v>
      </c>
      <c r="G372">
        <v>57</v>
      </c>
      <c r="H372">
        <v>4</v>
      </c>
      <c r="I372">
        <v>48</v>
      </c>
      <c r="J372">
        <v>0</v>
      </c>
      <c r="K372">
        <v>0</v>
      </c>
      <c r="L372">
        <v>147538971</v>
      </c>
      <c r="M372">
        <v>107</v>
      </c>
      <c r="N372" t="s">
        <v>27</v>
      </c>
      <c r="O372" t="s">
        <v>45</v>
      </c>
      <c r="P372">
        <v>66</v>
      </c>
      <c r="Q372">
        <v>47</v>
      </c>
      <c r="R372" t="str" cm="1">
        <f t="array" ref="R372">_xlfn.IFS(Q372&gt;70,"Good",Q372&lt;40,"Bad",(Q372&gt;OS410*(Q372&lt;80)),"Ok")</f>
        <v>Ok</v>
      </c>
      <c r="S372">
        <v>40</v>
      </c>
      <c r="T372" t="str" cm="1">
        <f t="array" ref="T372">_xlfn.IFS(S372&gt;50, "High", S372&lt;=50, "Low")</f>
        <v>Low</v>
      </c>
      <c r="U372">
        <v>72</v>
      </c>
      <c r="V372">
        <v>0</v>
      </c>
      <c r="W372">
        <v>11</v>
      </c>
      <c r="X372">
        <v>3</v>
      </c>
      <c r="Y372">
        <f t="shared" ca="1" si="5"/>
        <v>74.199823316066571</v>
      </c>
    </row>
    <row r="373" spans="1:25" x14ac:dyDescent="0.3">
      <c r="A373" t="s">
        <v>812</v>
      </c>
      <c r="B373" t="s">
        <v>171</v>
      </c>
      <c r="C373">
        <v>1</v>
      </c>
      <c r="D373" s="1">
        <v>43880</v>
      </c>
      <c r="E373">
        <v>8084</v>
      </c>
      <c r="F373">
        <v>6</v>
      </c>
      <c r="G373">
        <v>45</v>
      </c>
      <c r="H373">
        <v>115</v>
      </c>
      <c r="I373">
        <v>218</v>
      </c>
      <c r="J373">
        <v>1</v>
      </c>
      <c r="K373">
        <v>221</v>
      </c>
      <c r="L373">
        <v>698086140</v>
      </c>
      <c r="M373">
        <v>109</v>
      </c>
      <c r="N373" t="s">
        <v>34</v>
      </c>
      <c r="O373" t="s">
        <v>45</v>
      </c>
      <c r="P373">
        <v>66</v>
      </c>
      <c r="Q373">
        <v>16</v>
      </c>
      <c r="R373" t="str" cm="1">
        <f t="array" ref="R373">_xlfn.IFS(Q373&gt;70,"Good",Q373&lt;40,"Bad",(Q373&gt;OS411*(Q373&lt;80)),"Ok")</f>
        <v>Bad</v>
      </c>
      <c r="S373">
        <v>57</v>
      </c>
      <c r="T373" t="str" cm="1">
        <f t="array" ref="T373">_xlfn.IFS(S373&gt;50, "High", S373&lt;=50, "Low")</f>
        <v>High</v>
      </c>
      <c r="U373">
        <v>10</v>
      </c>
      <c r="V373">
        <v>1</v>
      </c>
      <c r="W373">
        <v>12</v>
      </c>
      <c r="X373">
        <v>3</v>
      </c>
      <c r="Y373">
        <f t="shared" ca="1" si="5"/>
        <v>15.555688126173372</v>
      </c>
    </row>
    <row r="374" spans="1:25" x14ac:dyDescent="0.3">
      <c r="A374" t="s">
        <v>46</v>
      </c>
      <c r="B374" t="s">
        <v>813</v>
      </c>
      <c r="C374">
        <v>1</v>
      </c>
      <c r="D374" s="1">
        <v>44757</v>
      </c>
      <c r="E374">
        <v>2332</v>
      </c>
      <c r="F374">
        <v>2</v>
      </c>
      <c r="G374">
        <v>0</v>
      </c>
      <c r="H374">
        <v>0</v>
      </c>
      <c r="I374">
        <v>25</v>
      </c>
      <c r="J374">
        <v>0</v>
      </c>
      <c r="K374">
        <v>0</v>
      </c>
      <c r="L374">
        <v>723894473</v>
      </c>
      <c r="M374">
        <v>109</v>
      </c>
      <c r="N374" t="s">
        <v>181</v>
      </c>
      <c r="O374" t="s">
        <v>45</v>
      </c>
      <c r="P374">
        <v>84</v>
      </c>
      <c r="Q374">
        <v>72</v>
      </c>
      <c r="R374" t="str" cm="1">
        <f t="array" ref="R374">_xlfn.IFS(Q374&gt;70,"Good",Q374&lt;40,"Bad",(Q374&gt;OS412*(Q374&lt;80)),"Ok")</f>
        <v>Good</v>
      </c>
      <c r="S374">
        <v>74</v>
      </c>
      <c r="T374" t="str" cm="1">
        <f t="array" ref="T374">_xlfn.IFS(S374&gt;50, "High", S374&lt;=50, "Low")</f>
        <v>High</v>
      </c>
      <c r="U374">
        <v>10</v>
      </c>
      <c r="V374">
        <v>0</v>
      </c>
      <c r="W374">
        <v>34</v>
      </c>
      <c r="X374">
        <v>7</v>
      </c>
      <c r="Y374">
        <f t="shared" ca="1" si="5"/>
        <v>25.692762141740388</v>
      </c>
    </row>
    <row r="375" spans="1:25" x14ac:dyDescent="0.3">
      <c r="A375" t="s">
        <v>814</v>
      </c>
      <c r="B375" t="s">
        <v>119</v>
      </c>
      <c r="C375">
        <v>1</v>
      </c>
      <c r="D375" s="1">
        <v>44988</v>
      </c>
      <c r="E375">
        <v>203</v>
      </c>
      <c r="F375">
        <v>0</v>
      </c>
      <c r="G375">
        <v>5</v>
      </c>
      <c r="H375">
        <v>9</v>
      </c>
      <c r="I375">
        <v>0</v>
      </c>
      <c r="J375">
        <v>0</v>
      </c>
      <c r="K375">
        <v>0</v>
      </c>
      <c r="L375">
        <v>34450974</v>
      </c>
      <c r="M375">
        <v>148</v>
      </c>
      <c r="O375" t="s">
        <v>28</v>
      </c>
      <c r="P375">
        <v>53</v>
      </c>
      <c r="Q375">
        <v>61</v>
      </c>
      <c r="R375" t="str" cm="1">
        <f t="array" ref="R375">_xlfn.IFS(Q375&gt;70,"Good",Q375&lt;40,"Bad",(Q375&gt;OS413*(Q375&lt;80)),"Ok")</f>
        <v>Ok</v>
      </c>
      <c r="S375">
        <v>81</v>
      </c>
      <c r="T375" t="str" cm="1">
        <f t="array" ref="T375">_xlfn.IFS(S375&gt;50, "High", S375&lt;=50, "Low")</f>
        <v>High</v>
      </c>
      <c r="U375">
        <v>5</v>
      </c>
      <c r="V375">
        <v>0</v>
      </c>
      <c r="W375">
        <v>36</v>
      </c>
      <c r="X375">
        <v>4</v>
      </c>
      <c r="Y375">
        <f t="shared" ca="1" si="5"/>
        <v>68.213330888139112</v>
      </c>
    </row>
    <row r="376" spans="1:25" x14ac:dyDescent="0.3">
      <c r="A376" t="s">
        <v>815</v>
      </c>
      <c r="B376" t="s">
        <v>816</v>
      </c>
      <c r="C376">
        <v>1</v>
      </c>
      <c r="D376" s="1">
        <v>43971</v>
      </c>
      <c r="E376">
        <v>685</v>
      </c>
      <c r="F376">
        <v>14</v>
      </c>
      <c r="G376">
        <v>24</v>
      </c>
      <c r="H376">
        <v>94</v>
      </c>
      <c r="I376">
        <v>9</v>
      </c>
      <c r="J376">
        <v>0</v>
      </c>
      <c r="K376">
        <v>23</v>
      </c>
      <c r="L376">
        <v>403097450</v>
      </c>
      <c r="M376">
        <v>158</v>
      </c>
      <c r="N376" t="s">
        <v>65</v>
      </c>
      <c r="O376" t="s">
        <v>45</v>
      </c>
      <c r="P376">
        <v>60</v>
      </c>
      <c r="Q376">
        <v>52</v>
      </c>
      <c r="R376" t="str" cm="1">
        <f t="array" ref="R376">_xlfn.IFS(Q376&gt;70,"Good",Q376&lt;40,"Bad",(Q376&gt;OS414*(Q376&lt;80)),"Ok")</f>
        <v>Ok</v>
      </c>
      <c r="S376">
        <v>76</v>
      </c>
      <c r="T376" t="str" cm="1">
        <f t="array" ref="T376">_xlfn.IFS(S376&gt;50, "High", S376&lt;=50, "Low")</f>
        <v>High</v>
      </c>
      <c r="U376">
        <v>17</v>
      </c>
      <c r="V376">
        <v>0</v>
      </c>
      <c r="W376">
        <v>19</v>
      </c>
      <c r="X376">
        <v>5</v>
      </c>
      <c r="Y376">
        <f t="shared" ca="1" si="5"/>
        <v>82.013018038098849</v>
      </c>
    </row>
    <row r="377" spans="1:25" x14ac:dyDescent="0.3">
      <c r="A377" t="s">
        <v>817</v>
      </c>
      <c r="B377" t="s">
        <v>818</v>
      </c>
      <c r="C377">
        <v>2</v>
      </c>
      <c r="D377" s="1">
        <v>44833</v>
      </c>
      <c r="E377">
        <v>2460</v>
      </c>
      <c r="F377">
        <v>13</v>
      </c>
      <c r="G377">
        <v>53</v>
      </c>
      <c r="H377">
        <v>7</v>
      </c>
      <c r="I377">
        <v>56</v>
      </c>
      <c r="J377">
        <v>3</v>
      </c>
      <c r="K377">
        <v>1</v>
      </c>
      <c r="L377">
        <v>309483971</v>
      </c>
      <c r="M377">
        <v>94</v>
      </c>
      <c r="N377" t="s">
        <v>34</v>
      </c>
      <c r="O377" t="s">
        <v>45</v>
      </c>
      <c r="P377">
        <v>74</v>
      </c>
      <c r="Q377">
        <v>64</v>
      </c>
      <c r="R377" t="str" cm="1">
        <f t="array" ref="R377">_xlfn.IFS(Q377&gt;70,"Good",Q377&lt;40,"Bad",(Q377&gt;OS415*(Q377&lt;80)),"Ok")</f>
        <v>Ok</v>
      </c>
      <c r="S377">
        <v>73</v>
      </c>
      <c r="T377" t="str" cm="1">
        <f t="array" ref="T377">_xlfn.IFS(S377&gt;50, "High", S377&lt;=50, "Low")</f>
        <v>High</v>
      </c>
      <c r="U377">
        <v>6</v>
      </c>
      <c r="V377">
        <v>0</v>
      </c>
      <c r="W377">
        <v>10</v>
      </c>
      <c r="X377">
        <v>6</v>
      </c>
      <c r="Y377">
        <f t="shared" ca="1" si="5"/>
        <v>11.32828744483656</v>
      </c>
    </row>
    <row r="378" spans="1:25" x14ac:dyDescent="0.3">
      <c r="A378" t="s">
        <v>819</v>
      </c>
      <c r="B378" t="s">
        <v>820</v>
      </c>
      <c r="C378">
        <v>1</v>
      </c>
      <c r="D378" s="1">
        <v>44846</v>
      </c>
      <c r="E378">
        <v>288</v>
      </c>
      <c r="F378">
        <v>6</v>
      </c>
      <c r="G378">
        <v>11</v>
      </c>
      <c r="H378">
        <v>80</v>
      </c>
      <c r="I378">
        <v>1</v>
      </c>
      <c r="J378">
        <v>0</v>
      </c>
      <c r="K378">
        <v>8</v>
      </c>
      <c r="L378">
        <v>319566866</v>
      </c>
      <c r="M378">
        <v>96</v>
      </c>
      <c r="N378" t="s">
        <v>65</v>
      </c>
      <c r="O378" t="s">
        <v>45</v>
      </c>
      <c r="P378">
        <v>70</v>
      </c>
      <c r="Q378">
        <v>40</v>
      </c>
      <c r="R378" t="str" cm="1">
        <f t="array" ref="R378">_xlfn.IFS(Q378&gt;70,"Good",Q378&lt;40,"Bad",(Q378&gt;OS416*(Q378&lt;80)),"Ok")</f>
        <v>Ok</v>
      </c>
      <c r="S378">
        <v>51</v>
      </c>
      <c r="T378" t="str" cm="1">
        <f t="array" ref="T378">_xlfn.IFS(S378&gt;50, "High", S378&lt;=50, "Low")</f>
        <v>High</v>
      </c>
      <c r="U378">
        <v>35</v>
      </c>
      <c r="V378">
        <v>0</v>
      </c>
      <c r="W378">
        <v>10</v>
      </c>
      <c r="X378">
        <v>4</v>
      </c>
      <c r="Y378">
        <f t="shared" ca="1" si="5"/>
        <v>73.96224948347907</v>
      </c>
    </row>
    <row r="379" spans="1:25" x14ac:dyDescent="0.3">
      <c r="A379" t="s">
        <v>821</v>
      </c>
      <c r="B379" t="s">
        <v>44</v>
      </c>
      <c r="C379">
        <v>1</v>
      </c>
      <c r="D379" s="1">
        <v>44687</v>
      </c>
      <c r="E379">
        <v>4572</v>
      </c>
      <c r="F379">
        <v>33</v>
      </c>
      <c r="G379">
        <v>74</v>
      </c>
      <c r="H379">
        <v>113</v>
      </c>
      <c r="I379">
        <v>85</v>
      </c>
      <c r="J379">
        <v>9</v>
      </c>
      <c r="K379">
        <v>2</v>
      </c>
      <c r="L379">
        <v>909001996</v>
      </c>
      <c r="M379">
        <v>100</v>
      </c>
      <c r="N379" t="s">
        <v>34</v>
      </c>
      <c r="O379" t="s">
        <v>45</v>
      </c>
      <c r="P379">
        <v>80</v>
      </c>
      <c r="Q379">
        <v>29</v>
      </c>
      <c r="R379" t="str" cm="1">
        <f t="array" ref="R379">_xlfn.IFS(Q379&gt;70,"Good",Q379&lt;40,"Bad",(Q379&gt;OS417*(Q379&lt;80)),"Ok")</f>
        <v>Bad</v>
      </c>
      <c r="S379">
        <v>67</v>
      </c>
      <c r="T379" t="str" cm="1">
        <f t="array" ref="T379">_xlfn.IFS(S379&gt;50, "High", S379&lt;=50, "Low")</f>
        <v>High</v>
      </c>
      <c r="U379">
        <v>29</v>
      </c>
      <c r="V379">
        <v>0</v>
      </c>
      <c r="W379">
        <v>12</v>
      </c>
      <c r="X379">
        <v>3</v>
      </c>
      <c r="Y379">
        <f t="shared" ca="1" si="5"/>
        <v>5.9992554784633834</v>
      </c>
    </row>
    <row r="380" spans="1:25" x14ac:dyDescent="0.3">
      <c r="A380" t="s">
        <v>822</v>
      </c>
      <c r="B380" t="s">
        <v>823</v>
      </c>
      <c r="C380">
        <v>2</v>
      </c>
      <c r="D380" s="1">
        <v>44463</v>
      </c>
      <c r="E380">
        <v>6127</v>
      </c>
      <c r="F380">
        <v>13</v>
      </c>
      <c r="G380">
        <v>0</v>
      </c>
      <c r="H380">
        <v>0</v>
      </c>
      <c r="I380">
        <v>0</v>
      </c>
      <c r="J380">
        <v>0</v>
      </c>
      <c r="K380">
        <v>0</v>
      </c>
      <c r="L380">
        <v>1061966512</v>
      </c>
      <c r="M380">
        <v>105</v>
      </c>
      <c r="N380" t="s">
        <v>37</v>
      </c>
      <c r="O380" t="s">
        <v>28</v>
      </c>
      <c r="P380">
        <v>58</v>
      </c>
      <c r="Q380">
        <v>42</v>
      </c>
      <c r="R380" t="str" cm="1">
        <f t="array" ref="R380">_xlfn.IFS(Q380&gt;70,"Good",Q380&lt;40,"Bad",(Q380&gt;OS418*(Q380&lt;80)),"Ok")</f>
        <v>Ok</v>
      </c>
      <c r="S380">
        <v>68</v>
      </c>
      <c r="T380" t="str" cm="1">
        <f t="array" ref="T380">_xlfn.IFS(S380&gt;50, "High", S380&lt;=50, "Low")</f>
        <v>High</v>
      </c>
      <c r="U380">
        <v>1</v>
      </c>
      <c r="V380">
        <v>0</v>
      </c>
      <c r="W380">
        <v>14</v>
      </c>
      <c r="X380">
        <v>4</v>
      </c>
      <c r="Y380">
        <f t="shared" ca="1" si="5"/>
        <v>36.729419850206511</v>
      </c>
    </row>
    <row r="381" spans="1:25" x14ac:dyDescent="0.3">
      <c r="A381" t="s">
        <v>824</v>
      </c>
      <c r="B381" t="s">
        <v>119</v>
      </c>
      <c r="C381">
        <v>1</v>
      </c>
      <c r="D381" s="1">
        <v>44988</v>
      </c>
      <c r="E381">
        <v>166</v>
      </c>
      <c r="F381">
        <v>0</v>
      </c>
      <c r="G381">
        <v>2</v>
      </c>
      <c r="H381">
        <v>10</v>
      </c>
      <c r="I381">
        <v>0</v>
      </c>
      <c r="J381">
        <v>0</v>
      </c>
      <c r="K381">
        <v>0</v>
      </c>
      <c r="L381">
        <v>32526947</v>
      </c>
      <c r="M381">
        <v>125</v>
      </c>
      <c r="O381" t="s">
        <v>28</v>
      </c>
      <c r="P381">
        <v>53</v>
      </c>
      <c r="Q381">
        <v>32</v>
      </c>
      <c r="R381" t="str" cm="1">
        <f t="array" ref="R381">_xlfn.IFS(Q381&gt;70,"Good",Q381&lt;40,"Bad",(Q381&gt;OS419*(Q381&lt;80)),"Ok")</f>
        <v>Bad</v>
      </c>
      <c r="S381">
        <v>66</v>
      </c>
      <c r="T381" t="str" cm="1">
        <f t="array" ref="T381">_xlfn.IFS(S381&gt;50, "High", S381&lt;=50, "Low")</f>
        <v>High</v>
      </c>
      <c r="U381">
        <v>38</v>
      </c>
      <c r="V381">
        <v>0</v>
      </c>
      <c r="W381">
        <v>9</v>
      </c>
      <c r="X381">
        <v>3</v>
      </c>
      <c r="Y381">
        <f t="shared" ca="1" si="5"/>
        <v>58.384416864829156</v>
      </c>
    </row>
    <row r="382" spans="1:25" x14ac:dyDescent="0.3">
      <c r="A382" t="s">
        <v>825</v>
      </c>
      <c r="B382" t="s">
        <v>680</v>
      </c>
      <c r="C382">
        <v>1</v>
      </c>
      <c r="D382" s="1">
        <v>44953</v>
      </c>
      <c r="E382">
        <v>1838</v>
      </c>
      <c r="F382">
        <v>0</v>
      </c>
      <c r="G382">
        <v>105</v>
      </c>
      <c r="H382">
        <v>41</v>
      </c>
      <c r="I382">
        <v>114</v>
      </c>
      <c r="J382">
        <v>1</v>
      </c>
      <c r="K382">
        <v>59</v>
      </c>
      <c r="L382">
        <v>124988687</v>
      </c>
      <c r="M382">
        <v>170</v>
      </c>
      <c r="N382" t="s">
        <v>65</v>
      </c>
      <c r="O382" t="s">
        <v>45</v>
      </c>
      <c r="P382">
        <v>56</v>
      </c>
      <c r="Q382">
        <v>56</v>
      </c>
      <c r="R382" t="str" cm="1">
        <f t="array" ref="R382">_xlfn.IFS(Q382&gt;70,"Good",Q382&lt;40,"Bad",(Q382&gt;OS420*(Q382&lt;80)),"Ok")</f>
        <v>Ok</v>
      </c>
      <c r="S382">
        <v>63</v>
      </c>
      <c r="T382" t="str" cm="1">
        <f t="array" ref="T382">_xlfn.IFS(S382&gt;50, "High", S382&lt;=50, "Low")</f>
        <v>High</v>
      </c>
      <c r="U382">
        <v>13</v>
      </c>
      <c r="V382">
        <v>0</v>
      </c>
      <c r="W382">
        <v>19</v>
      </c>
      <c r="X382">
        <v>27</v>
      </c>
      <c r="Y382">
        <f t="shared" ca="1" si="5"/>
        <v>7.7759828342915398</v>
      </c>
    </row>
    <row r="383" spans="1:25" x14ac:dyDescent="0.3">
      <c r="A383" t="s">
        <v>254</v>
      </c>
      <c r="B383" t="s">
        <v>826</v>
      </c>
      <c r="C383">
        <v>3</v>
      </c>
      <c r="D383" s="1">
        <v>44953</v>
      </c>
      <c r="E383">
        <v>1890</v>
      </c>
      <c r="F383">
        <v>0</v>
      </c>
      <c r="G383">
        <v>86</v>
      </c>
      <c r="H383">
        <v>1</v>
      </c>
      <c r="I383">
        <v>49</v>
      </c>
      <c r="J383">
        <v>0</v>
      </c>
      <c r="K383">
        <v>9</v>
      </c>
      <c r="L383">
        <v>103787664</v>
      </c>
      <c r="M383">
        <v>115</v>
      </c>
      <c r="O383" t="s">
        <v>28</v>
      </c>
      <c r="P383">
        <v>70</v>
      </c>
      <c r="Q383">
        <v>84</v>
      </c>
      <c r="R383" t="str" cm="1">
        <f t="array" ref="R383">_xlfn.IFS(Q383&gt;70,"Good",Q383&lt;40,"Bad",(Q383&gt;OS421*(Q383&lt;80)),"Ok")</f>
        <v>Good</v>
      </c>
      <c r="S383">
        <v>90</v>
      </c>
      <c r="T383" t="str" cm="1">
        <f t="array" ref="T383">_xlfn.IFS(S383&gt;50, "High", S383&lt;=50, "Low")</f>
        <v>High</v>
      </c>
      <c r="U383">
        <v>17</v>
      </c>
      <c r="V383">
        <v>0</v>
      </c>
      <c r="W383">
        <v>41</v>
      </c>
      <c r="X383">
        <v>6</v>
      </c>
      <c r="Y383">
        <f t="shared" ca="1" si="5"/>
        <v>76.004815504082558</v>
      </c>
    </row>
    <row r="384" spans="1:25" x14ac:dyDescent="0.3">
      <c r="A384" t="s">
        <v>827</v>
      </c>
      <c r="B384" t="s">
        <v>828</v>
      </c>
      <c r="C384">
        <v>1</v>
      </c>
      <c r="D384" s="1">
        <v>44953</v>
      </c>
      <c r="E384">
        <v>2098</v>
      </c>
      <c r="F384">
        <v>16</v>
      </c>
      <c r="G384">
        <v>88</v>
      </c>
      <c r="H384">
        <v>24</v>
      </c>
      <c r="I384">
        <v>101</v>
      </c>
      <c r="J384">
        <v>7</v>
      </c>
      <c r="K384">
        <v>451</v>
      </c>
      <c r="L384">
        <v>134255790</v>
      </c>
      <c r="M384">
        <v>122</v>
      </c>
      <c r="N384" t="s">
        <v>81</v>
      </c>
      <c r="O384" t="s">
        <v>28</v>
      </c>
      <c r="P384">
        <v>64</v>
      </c>
      <c r="Q384">
        <v>25</v>
      </c>
      <c r="R384" t="str" cm="1">
        <f t="array" ref="R384">_xlfn.IFS(Q384&gt;70,"Good",Q384&lt;40,"Bad",(Q384&gt;OS422*(Q384&lt;80)),"Ok")</f>
        <v>Bad</v>
      </c>
      <c r="S384">
        <v>89</v>
      </c>
      <c r="T384" t="str" cm="1">
        <f t="array" ref="T384">_xlfn.IFS(S384&gt;50, "High", S384&lt;=50, "Low")</f>
        <v>High</v>
      </c>
      <c r="U384">
        <v>0</v>
      </c>
      <c r="V384">
        <v>0</v>
      </c>
      <c r="W384">
        <v>15</v>
      </c>
      <c r="X384">
        <v>9</v>
      </c>
      <c r="Y384">
        <f t="shared" ca="1" si="5"/>
        <v>71.159461067102868</v>
      </c>
    </row>
    <row r="385" spans="1:25" x14ac:dyDescent="0.3">
      <c r="A385" t="s">
        <v>199</v>
      </c>
      <c r="B385" t="s">
        <v>829</v>
      </c>
      <c r="C385">
        <v>1</v>
      </c>
      <c r="D385" s="1">
        <v>44851</v>
      </c>
      <c r="E385">
        <v>761</v>
      </c>
      <c r="F385">
        <v>12</v>
      </c>
      <c r="G385">
        <v>23</v>
      </c>
      <c r="H385">
        <v>95</v>
      </c>
      <c r="I385">
        <v>11</v>
      </c>
      <c r="J385">
        <v>0</v>
      </c>
      <c r="K385">
        <v>3</v>
      </c>
      <c r="L385">
        <v>301051721</v>
      </c>
      <c r="M385">
        <v>105</v>
      </c>
      <c r="N385" t="s">
        <v>181</v>
      </c>
      <c r="O385" t="s">
        <v>45</v>
      </c>
      <c r="P385">
        <v>88</v>
      </c>
      <c r="Q385">
        <v>82</v>
      </c>
      <c r="R385" t="str" cm="1">
        <f t="array" ref="R385">_xlfn.IFS(Q385&gt;70,"Good",Q385&lt;40,"Bad",(Q385&gt;OS423*(Q385&lt;80)),"Ok")</f>
        <v>Good</v>
      </c>
      <c r="S385">
        <v>80</v>
      </c>
      <c r="T385" t="str" cm="1">
        <f t="array" ref="T385">_xlfn.IFS(S385&gt;50, "High", S385&lt;=50, "Low")</f>
        <v>High</v>
      </c>
      <c r="U385">
        <v>8</v>
      </c>
      <c r="V385">
        <v>0</v>
      </c>
      <c r="W385">
        <v>11</v>
      </c>
      <c r="X385">
        <v>8</v>
      </c>
      <c r="Y385">
        <f t="shared" ca="1" si="5"/>
        <v>86.164032203212699</v>
      </c>
    </row>
    <row r="386" spans="1:25" x14ac:dyDescent="0.3">
      <c r="A386" t="s">
        <v>522</v>
      </c>
      <c r="B386" t="s">
        <v>830</v>
      </c>
      <c r="C386">
        <v>1</v>
      </c>
      <c r="D386" s="1">
        <v>44895</v>
      </c>
      <c r="E386">
        <v>1225</v>
      </c>
      <c r="F386">
        <v>0</v>
      </c>
      <c r="G386">
        <v>27</v>
      </c>
      <c r="H386">
        <v>0</v>
      </c>
      <c r="I386">
        <v>28</v>
      </c>
      <c r="J386">
        <v>13</v>
      </c>
      <c r="K386">
        <v>0</v>
      </c>
      <c r="L386">
        <v>156338624</v>
      </c>
      <c r="M386">
        <v>133</v>
      </c>
      <c r="N386" t="s">
        <v>34</v>
      </c>
      <c r="O386" t="s">
        <v>28</v>
      </c>
      <c r="P386">
        <v>66</v>
      </c>
      <c r="Q386">
        <v>74</v>
      </c>
      <c r="R386" t="str" cm="1">
        <f t="array" ref="R386">_xlfn.IFS(Q386&gt;70,"Good",Q386&lt;40,"Bad",(Q386&gt;OS424*(Q386&lt;80)),"Ok")</f>
        <v>Good</v>
      </c>
      <c r="S386">
        <v>84</v>
      </c>
      <c r="T386" t="str" cm="1">
        <f t="array" ref="T386">_xlfn.IFS(S386&gt;50, "High", S386&lt;=50, "Low")</f>
        <v>High</v>
      </c>
      <c r="U386">
        <v>25</v>
      </c>
      <c r="V386">
        <v>0</v>
      </c>
      <c r="W386">
        <v>21</v>
      </c>
      <c r="X386">
        <v>4</v>
      </c>
      <c r="Y386">
        <f t="shared" ref="Y386:Y449" ca="1" si="6">RAND()*100</f>
        <v>86.400458399354136</v>
      </c>
    </row>
    <row r="387" spans="1:25" x14ac:dyDescent="0.3">
      <c r="A387" t="s">
        <v>831</v>
      </c>
      <c r="B387" t="s">
        <v>832</v>
      </c>
      <c r="C387">
        <v>2</v>
      </c>
      <c r="D387" s="1">
        <v>44939</v>
      </c>
      <c r="E387">
        <v>415</v>
      </c>
      <c r="F387">
        <v>2</v>
      </c>
      <c r="G387">
        <v>15</v>
      </c>
      <c r="H387">
        <v>40</v>
      </c>
      <c r="I387">
        <v>21</v>
      </c>
      <c r="J387">
        <v>1</v>
      </c>
      <c r="K387">
        <v>15</v>
      </c>
      <c r="L387">
        <v>152850295</v>
      </c>
      <c r="M387">
        <v>100</v>
      </c>
      <c r="O387" t="s">
        <v>28</v>
      </c>
      <c r="P387">
        <v>79</v>
      </c>
      <c r="Q387">
        <v>60</v>
      </c>
      <c r="R387" t="str" cm="1">
        <f t="array" ref="R387">_xlfn.IFS(Q387&gt;70,"Good",Q387&lt;40,"Bad",(Q387&gt;OS425*(Q387&lt;80)),"Ok")</f>
        <v>Ok</v>
      </c>
      <c r="S387">
        <v>68</v>
      </c>
      <c r="T387" t="str" cm="1">
        <f t="array" ref="T387">_xlfn.IFS(S387&gt;50, "High", S387&lt;=50, "Low")</f>
        <v>High</v>
      </c>
      <c r="U387">
        <v>7</v>
      </c>
      <c r="V387">
        <v>0</v>
      </c>
      <c r="W387">
        <v>26</v>
      </c>
      <c r="X387">
        <v>4</v>
      </c>
      <c r="Y387">
        <f t="shared" ca="1" si="6"/>
        <v>83.706435742583963</v>
      </c>
    </row>
    <row r="388" spans="1:25" x14ac:dyDescent="0.3">
      <c r="A388" t="s">
        <v>833</v>
      </c>
      <c r="B388" t="s">
        <v>80</v>
      </c>
      <c r="C388">
        <v>1</v>
      </c>
      <c r="D388" s="1">
        <v>44862</v>
      </c>
      <c r="E388">
        <v>3469</v>
      </c>
      <c r="F388">
        <v>0</v>
      </c>
      <c r="G388">
        <v>71</v>
      </c>
      <c r="H388">
        <v>95</v>
      </c>
      <c r="I388">
        <v>31</v>
      </c>
      <c r="J388">
        <v>0</v>
      </c>
      <c r="K388">
        <v>2</v>
      </c>
      <c r="L388">
        <v>309653982</v>
      </c>
      <c r="M388">
        <v>120</v>
      </c>
      <c r="N388" t="s">
        <v>302</v>
      </c>
      <c r="O388" t="s">
        <v>45</v>
      </c>
      <c r="P388">
        <v>82</v>
      </c>
      <c r="Q388">
        <v>55</v>
      </c>
      <c r="R388" t="str" cm="1">
        <f t="array" ref="R388">_xlfn.IFS(Q388&gt;70,"Good",Q388&lt;40,"Bad",(Q388&gt;OS426*(Q388&lt;80)),"Ok")</f>
        <v>Ok</v>
      </c>
      <c r="S388">
        <v>45</v>
      </c>
      <c r="T388" t="str" cm="1">
        <f t="array" ref="T388">_xlfn.IFS(S388&gt;50, "High", S388&lt;=50, "Low")</f>
        <v>Low</v>
      </c>
      <c r="U388">
        <v>15</v>
      </c>
      <c r="V388">
        <v>3</v>
      </c>
      <c r="W388">
        <v>9</v>
      </c>
      <c r="X388">
        <v>10</v>
      </c>
      <c r="Y388">
        <f t="shared" ca="1" si="6"/>
        <v>79.838683798108264</v>
      </c>
    </row>
    <row r="389" spans="1:25" x14ac:dyDescent="0.3">
      <c r="A389" t="s">
        <v>834</v>
      </c>
      <c r="B389" t="s">
        <v>835</v>
      </c>
      <c r="C389">
        <v>1</v>
      </c>
      <c r="D389" s="1">
        <v>44862</v>
      </c>
      <c r="E389">
        <v>3311</v>
      </c>
      <c r="F389">
        <v>0</v>
      </c>
      <c r="G389">
        <v>129</v>
      </c>
      <c r="H389">
        <v>31</v>
      </c>
      <c r="I389">
        <v>212</v>
      </c>
      <c r="J389">
        <v>1</v>
      </c>
      <c r="K389">
        <v>41</v>
      </c>
      <c r="L389">
        <v>297328960</v>
      </c>
      <c r="M389">
        <v>177</v>
      </c>
      <c r="N389" t="s">
        <v>37</v>
      </c>
      <c r="O389" t="s">
        <v>28</v>
      </c>
      <c r="P389">
        <v>25</v>
      </c>
      <c r="Q389">
        <v>17</v>
      </c>
      <c r="R389" t="str" cm="1">
        <f t="array" ref="R389">_xlfn.IFS(Q389&gt;70,"Good",Q389&lt;40,"Bad",(Q389&gt;OS427*(Q389&lt;80)),"Ok")</f>
        <v>Bad</v>
      </c>
      <c r="S389">
        <v>30</v>
      </c>
      <c r="T389" t="str" cm="1">
        <f t="array" ref="T389">_xlfn.IFS(S389&gt;50, "High", S389&lt;=50, "Low")</f>
        <v>Low</v>
      </c>
      <c r="U389">
        <v>90</v>
      </c>
      <c r="V389">
        <v>0</v>
      </c>
      <c r="W389">
        <v>13</v>
      </c>
      <c r="X389">
        <v>3</v>
      </c>
      <c r="Y389">
        <f t="shared" ca="1" si="6"/>
        <v>34.750584252371731</v>
      </c>
    </row>
    <row r="390" spans="1:25" x14ac:dyDescent="0.3">
      <c r="A390" t="s">
        <v>836</v>
      </c>
      <c r="B390" t="s">
        <v>837</v>
      </c>
      <c r="C390">
        <v>1</v>
      </c>
      <c r="D390" s="1">
        <v>44826</v>
      </c>
      <c r="E390">
        <v>2616</v>
      </c>
      <c r="F390">
        <v>0</v>
      </c>
      <c r="G390">
        <v>113</v>
      </c>
      <c r="H390">
        <v>17</v>
      </c>
      <c r="I390">
        <v>208</v>
      </c>
      <c r="J390">
        <v>0</v>
      </c>
      <c r="K390">
        <v>192</v>
      </c>
      <c r="L390">
        <v>332506354</v>
      </c>
      <c r="M390">
        <v>142</v>
      </c>
      <c r="N390" t="s">
        <v>61</v>
      </c>
      <c r="O390" t="s">
        <v>45</v>
      </c>
      <c r="P390">
        <v>64</v>
      </c>
      <c r="Q390">
        <v>31</v>
      </c>
      <c r="R390" t="str" cm="1">
        <f t="array" ref="R390">_xlfn.IFS(Q390&gt;70,"Good",Q390&lt;40,"Bad",(Q390&gt;OS428*(Q390&lt;80)),"Ok")</f>
        <v>Bad</v>
      </c>
      <c r="S390">
        <v>72</v>
      </c>
      <c r="T390" t="str" cm="1">
        <f t="array" ref="T390">_xlfn.IFS(S390&gt;50, "High", S390&lt;=50, "Low")</f>
        <v>High</v>
      </c>
      <c r="U390">
        <v>15</v>
      </c>
      <c r="V390">
        <v>0</v>
      </c>
      <c r="W390">
        <v>9</v>
      </c>
      <c r="X390">
        <v>5</v>
      </c>
      <c r="Y390">
        <f t="shared" ca="1" si="6"/>
        <v>8.8423994145621858</v>
      </c>
    </row>
    <row r="391" spans="1:25" x14ac:dyDescent="0.3">
      <c r="A391" t="s">
        <v>838</v>
      </c>
      <c r="B391" t="s">
        <v>839</v>
      </c>
      <c r="C391">
        <v>1</v>
      </c>
      <c r="D391" s="1">
        <v>42678</v>
      </c>
      <c r="E391">
        <v>3006</v>
      </c>
      <c r="F391">
        <v>16</v>
      </c>
      <c r="G391">
        <v>47</v>
      </c>
      <c r="H391">
        <v>60</v>
      </c>
      <c r="I391">
        <v>87</v>
      </c>
      <c r="J391">
        <v>12</v>
      </c>
      <c r="K391">
        <v>124</v>
      </c>
      <c r="L391">
        <v>480507035</v>
      </c>
      <c r="M391">
        <v>144</v>
      </c>
      <c r="N391" t="s">
        <v>134</v>
      </c>
      <c r="O391" t="s">
        <v>45</v>
      </c>
      <c r="P391">
        <v>57</v>
      </c>
      <c r="Q391">
        <v>47</v>
      </c>
      <c r="R391" t="str" cm="1">
        <f t="array" ref="R391">_xlfn.IFS(Q391&gt;70,"Good",Q391&lt;40,"Bad",(Q391&gt;OS429*(Q391&lt;80)),"Ok")</f>
        <v>Ok</v>
      </c>
      <c r="S391">
        <v>84</v>
      </c>
      <c r="T391" t="str" cm="1">
        <f t="array" ref="T391">_xlfn.IFS(S391&gt;50, "High", S391&lt;=50, "Low")</f>
        <v>High</v>
      </c>
      <c r="U391">
        <v>1</v>
      </c>
      <c r="V391">
        <v>1</v>
      </c>
      <c r="W391">
        <v>52</v>
      </c>
      <c r="X391">
        <v>4</v>
      </c>
      <c r="Y391">
        <f t="shared" ca="1" si="6"/>
        <v>1.2209305244920587</v>
      </c>
    </row>
    <row r="392" spans="1:25" x14ac:dyDescent="0.3">
      <c r="A392" t="s">
        <v>510</v>
      </c>
      <c r="B392" t="s">
        <v>840</v>
      </c>
      <c r="C392">
        <v>2</v>
      </c>
      <c r="D392" s="1">
        <v>43567</v>
      </c>
      <c r="E392">
        <v>4260</v>
      </c>
      <c r="F392">
        <v>0</v>
      </c>
      <c r="G392">
        <v>113</v>
      </c>
      <c r="H392">
        <v>92</v>
      </c>
      <c r="I392">
        <v>259</v>
      </c>
      <c r="J392">
        <v>0</v>
      </c>
      <c r="K392">
        <v>1</v>
      </c>
      <c r="L392">
        <v>1065580332</v>
      </c>
      <c r="M392">
        <v>120</v>
      </c>
      <c r="N392" t="s">
        <v>27</v>
      </c>
      <c r="O392" t="s">
        <v>45</v>
      </c>
      <c r="P392">
        <v>65</v>
      </c>
      <c r="Q392">
        <v>80</v>
      </c>
      <c r="R392" t="str" cm="1">
        <f t="array" ref="R392">_xlfn.IFS(Q392&gt;70,"Good",Q392&lt;40,"Bad",(Q392&gt;OS430*(Q392&lt;80)),"Ok")</f>
        <v>Good</v>
      </c>
      <c r="S392">
        <v>86</v>
      </c>
      <c r="T392" t="str" cm="1">
        <f t="array" ref="T392">_xlfn.IFS(S392&gt;50, "High", S392&lt;=50, "Low")</f>
        <v>High</v>
      </c>
      <c r="U392">
        <v>9</v>
      </c>
      <c r="V392">
        <v>0</v>
      </c>
      <c r="W392">
        <v>19</v>
      </c>
      <c r="X392">
        <v>10</v>
      </c>
      <c r="Y392">
        <f t="shared" ca="1" si="6"/>
        <v>75.439093526510732</v>
      </c>
    </row>
    <row r="393" spans="1:25" x14ac:dyDescent="0.3">
      <c r="A393" t="s">
        <v>346</v>
      </c>
      <c r="B393" t="s">
        <v>841</v>
      </c>
      <c r="C393">
        <v>1</v>
      </c>
      <c r="D393" s="1">
        <v>42640</v>
      </c>
      <c r="E393">
        <v>482</v>
      </c>
      <c r="F393">
        <v>0</v>
      </c>
      <c r="G393">
        <v>9</v>
      </c>
      <c r="H393">
        <v>1</v>
      </c>
      <c r="I393">
        <v>12</v>
      </c>
      <c r="J393">
        <v>4</v>
      </c>
      <c r="K393">
        <v>3</v>
      </c>
      <c r="L393">
        <v>122763672</v>
      </c>
      <c r="M393">
        <v>135</v>
      </c>
      <c r="N393" t="s">
        <v>61</v>
      </c>
      <c r="O393" t="s">
        <v>28</v>
      </c>
      <c r="P393">
        <v>92</v>
      </c>
      <c r="Q393">
        <v>73</v>
      </c>
      <c r="R393" t="str" cm="1">
        <f t="array" ref="R393">_xlfn.IFS(Q393&gt;70,"Good",Q393&lt;40,"Bad",(Q393&gt;OS431*(Q393&lt;80)),"Ok")</f>
        <v>Good</v>
      </c>
      <c r="S393">
        <v>51</v>
      </c>
      <c r="T393" t="str" cm="1">
        <f t="array" ref="T393">_xlfn.IFS(S393&gt;50, "High", S393&lt;=50, "Low")</f>
        <v>High</v>
      </c>
      <c r="U393">
        <v>55</v>
      </c>
      <c r="V393">
        <v>0</v>
      </c>
      <c r="W393">
        <v>15</v>
      </c>
      <c r="X393">
        <v>6</v>
      </c>
      <c r="Y393">
        <f t="shared" ca="1" si="6"/>
        <v>13.438151622935878</v>
      </c>
    </row>
    <row r="394" spans="1:25" x14ac:dyDescent="0.3">
      <c r="A394" t="s">
        <v>337</v>
      </c>
      <c r="B394" t="s">
        <v>842</v>
      </c>
      <c r="C394">
        <v>1</v>
      </c>
      <c r="D394" s="1">
        <v>44601</v>
      </c>
      <c r="E394">
        <v>4013</v>
      </c>
      <c r="F394">
        <v>10</v>
      </c>
      <c r="G394">
        <v>107</v>
      </c>
      <c r="H394">
        <v>44</v>
      </c>
      <c r="I394">
        <v>750</v>
      </c>
      <c r="J394">
        <v>22</v>
      </c>
      <c r="L394">
        <v>445763624</v>
      </c>
      <c r="M394">
        <v>107</v>
      </c>
      <c r="N394" t="s">
        <v>27</v>
      </c>
      <c r="O394" t="s">
        <v>28</v>
      </c>
      <c r="P394">
        <v>81</v>
      </c>
      <c r="Q394">
        <v>82</v>
      </c>
      <c r="R394" t="str" cm="1">
        <f t="array" ref="R394">_xlfn.IFS(Q394&gt;70,"Good",Q394&lt;40,"Bad",(Q394&gt;OS432*(Q394&lt;80)),"Ok")</f>
        <v>Good</v>
      </c>
      <c r="S394">
        <v>78</v>
      </c>
      <c r="T394" t="str" cm="1">
        <f t="array" ref="T394">_xlfn.IFS(S394&gt;50, "High", S394&lt;=50, "Low")</f>
        <v>High</v>
      </c>
      <c r="U394">
        <v>38</v>
      </c>
      <c r="V394">
        <v>0</v>
      </c>
      <c r="W394">
        <v>12</v>
      </c>
      <c r="X394">
        <v>4</v>
      </c>
      <c r="Y394">
        <f t="shared" ca="1" si="6"/>
        <v>52.205831258090541</v>
      </c>
    </row>
    <row r="395" spans="1:25" x14ac:dyDescent="0.3">
      <c r="A395" t="s">
        <v>843</v>
      </c>
      <c r="B395" t="s">
        <v>844</v>
      </c>
      <c r="C395">
        <v>6</v>
      </c>
      <c r="D395" s="1">
        <v>44917</v>
      </c>
      <c r="E395">
        <v>138</v>
      </c>
      <c r="F395">
        <v>4</v>
      </c>
      <c r="G395">
        <v>13</v>
      </c>
      <c r="H395">
        <v>78</v>
      </c>
      <c r="I395">
        <v>2</v>
      </c>
      <c r="J395">
        <v>0</v>
      </c>
      <c r="K395">
        <v>0</v>
      </c>
      <c r="L395">
        <v>1365184</v>
      </c>
      <c r="M395">
        <v>105</v>
      </c>
      <c r="N395" t="s">
        <v>94</v>
      </c>
      <c r="O395" t="s">
        <v>28</v>
      </c>
      <c r="P395">
        <v>82</v>
      </c>
      <c r="Q395">
        <v>62</v>
      </c>
      <c r="R395" t="str" cm="1">
        <f t="array" ref="R395">_xlfn.IFS(Q395&gt;70,"Good",Q395&lt;40,"Bad",(Q395&gt;OS433*(Q395&lt;80)),"Ok")</f>
        <v>Ok</v>
      </c>
      <c r="S395">
        <v>74</v>
      </c>
      <c r="T395" t="str" cm="1">
        <f t="array" ref="T395">_xlfn.IFS(S395&gt;50, "High", S395&lt;=50, "Low")</f>
        <v>High</v>
      </c>
      <c r="U395">
        <v>10</v>
      </c>
      <c r="V395">
        <v>0</v>
      </c>
      <c r="W395">
        <v>33</v>
      </c>
      <c r="X395">
        <v>7</v>
      </c>
      <c r="Y395">
        <f t="shared" ca="1" si="6"/>
        <v>19.095901705614249</v>
      </c>
    </row>
    <row r="396" spans="1:25" x14ac:dyDescent="0.3">
      <c r="A396" t="s">
        <v>845</v>
      </c>
      <c r="B396" t="s">
        <v>584</v>
      </c>
      <c r="C396">
        <v>2</v>
      </c>
      <c r="D396" s="1">
        <v>44890</v>
      </c>
      <c r="E396">
        <v>1368</v>
      </c>
      <c r="F396">
        <v>0</v>
      </c>
      <c r="G396">
        <v>12</v>
      </c>
      <c r="H396">
        <v>1</v>
      </c>
      <c r="I396">
        <v>11</v>
      </c>
      <c r="J396">
        <v>0</v>
      </c>
      <c r="K396">
        <v>8</v>
      </c>
      <c r="L396">
        <v>184308753</v>
      </c>
      <c r="M396">
        <v>108</v>
      </c>
      <c r="N396" t="s">
        <v>65</v>
      </c>
      <c r="O396" t="s">
        <v>45</v>
      </c>
      <c r="P396">
        <v>44</v>
      </c>
      <c r="Q396">
        <v>38</v>
      </c>
      <c r="R396" t="str" cm="1">
        <f t="array" ref="R396">_xlfn.IFS(Q396&gt;70,"Good",Q396&lt;40,"Bad",(Q396&gt;OS434*(Q396&lt;80)),"Ok")</f>
        <v>Bad</v>
      </c>
      <c r="S396">
        <v>77</v>
      </c>
      <c r="T396" t="str" cm="1">
        <f t="array" ref="T396">_xlfn.IFS(S396&gt;50, "High", S396&lt;=50, "Low")</f>
        <v>High</v>
      </c>
      <c r="U396">
        <v>9</v>
      </c>
      <c r="V396">
        <v>0</v>
      </c>
      <c r="W396">
        <v>9</v>
      </c>
      <c r="X396">
        <v>20</v>
      </c>
      <c r="Y396">
        <f t="shared" ca="1" si="6"/>
        <v>40.379943991873461</v>
      </c>
    </row>
    <row r="397" spans="1:25" x14ac:dyDescent="0.3">
      <c r="A397" t="s">
        <v>846</v>
      </c>
      <c r="B397" t="s">
        <v>847</v>
      </c>
      <c r="C397">
        <v>1</v>
      </c>
      <c r="D397" s="1">
        <v>42005</v>
      </c>
      <c r="E397">
        <v>17852</v>
      </c>
      <c r="F397">
        <v>4</v>
      </c>
      <c r="G397">
        <v>69</v>
      </c>
      <c r="H397">
        <v>76</v>
      </c>
      <c r="I397">
        <v>335</v>
      </c>
      <c r="J397">
        <v>0</v>
      </c>
      <c r="L397">
        <v>789753877</v>
      </c>
      <c r="M397">
        <v>147</v>
      </c>
      <c r="O397" t="s">
        <v>45</v>
      </c>
      <c r="P397">
        <v>51</v>
      </c>
      <c r="Q397">
        <v>62</v>
      </c>
      <c r="R397" t="str" cm="1">
        <f t="array" ref="R397">_xlfn.IFS(Q397&gt;70,"Good",Q397&lt;40,"Bad",(Q397&gt;OS435*(Q397&lt;80)),"Ok")</f>
        <v>Ok</v>
      </c>
      <c r="S397">
        <v>79</v>
      </c>
      <c r="T397" t="str" cm="1">
        <f t="array" ref="T397">_xlfn.IFS(S397&gt;50, "High", S397&lt;=50, "Low")</f>
        <v>High</v>
      </c>
      <c r="U397">
        <v>22</v>
      </c>
      <c r="V397">
        <v>13</v>
      </c>
      <c r="W397">
        <v>14</v>
      </c>
      <c r="X397">
        <v>3</v>
      </c>
      <c r="Y397">
        <f t="shared" ca="1" si="6"/>
        <v>46.250484967657322</v>
      </c>
    </row>
    <row r="398" spans="1:25" x14ac:dyDescent="0.3">
      <c r="A398" t="s">
        <v>848</v>
      </c>
      <c r="B398" t="s">
        <v>849</v>
      </c>
      <c r="C398">
        <v>3</v>
      </c>
      <c r="D398" s="1">
        <v>44885</v>
      </c>
      <c r="E398">
        <v>889</v>
      </c>
      <c r="F398">
        <v>20</v>
      </c>
      <c r="G398">
        <v>11</v>
      </c>
      <c r="H398">
        <v>78</v>
      </c>
      <c r="I398">
        <v>35</v>
      </c>
      <c r="J398">
        <v>0</v>
      </c>
      <c r="K398">
        <v>21</v>
      </c>
      <c r="L398">
        <v>323358833</v>
      </c>
      <c r="M398">
        <v>115</v>
      </c>
      <c r="O398" t="s">
        <v>28</v>
      </c>
      <c r="P398">
        <v>71</v>
      </c>
      <c r="Q398">
        <v>34</v>
      </c>
      <c r="R398" t="str" cm="1">
        <f t="array" ref="R398">_xlfn.IFS(Q398&gt;70,"Good",Q398&lt;40,"Bad",(Q398&gt;OS436*(Q398&lt;80)),"Ok")</f>
        <v>Bad</v>
      </c>
      <c r="S398">
        <v>88</v>
      </c>
      <c r="T398" t="str" cm="1">
        <f t="array" ref="T398">_xlfn.IFS(S398&gt;50, "High", S398&lt;=50, "Low")</f>
        <v>High</v>
      </c>
      <c r="U398">
        <v>16</v>
      </c>
      <c r="V398">
        <v>0</v>
      </c>
      <c r="W398">
        <v>44</v>
      </c>
      <c r="X398">
        <v>4</v>
      </c>
      <c r="Y398">
        <f t="shared" ca="1" si="6"/>
        <v>44.767047015645957</v>
      </c>
    </row>
    <row r="399" spans="1:25" x14ac:dyDescent="0.3">
      <c r="A399" t="s">
        <v>850</v>
      </c>
      <c r="B399" t="s">
        <v>851</v>
      </c>
      <c r="C399">
        <v>2</v>
      </c>
      <c r="D399" s="1">
        <v>44672</v>
      </c>
      <c r="E399">
        <v>4796</v>
      </c>
      <c r="F399">
        <v>9</v>
      </c>
      <c r="G399">
        <v>124</v>
      </c>
      <c r="H399">
        <v>66</v>
      </c>
      <c r="I399">
        <v>212</v>
      </c>
      <c r="J399">
        <v>13</v>
      </c>
      <c r="K399">
        <v>1</v>
      </c>
      <c r="L399">
        <v>606361689</v>
      </c>
      <c r="M399">
        <v>174</v>
      </c>
      <c r="N399" t="s">
        <v>34</v>
      </c>
      <c r="O399" t="s">
        <v>28</v>
      </c>
      <c r="P399">
        <v>70</v>
      </c>
      <c r="Q399">
        <v>57</v>
      </c>
      <c r="R399" t="str" cm="1">
        <f t="array" ref="R399">_xlfn.IFS(Q399&gt;70,"Good",Q399&lt;40,"Bad",(Q399&gt;OS437*(Q399&lt;80)),"Ok")</f>
        <v>Ok</v>
      </c>
      <c r="S399">
        <v>64</v>
      </c>
      <c r="T399" t="str" cm="1">
        <f t="array" ref="T399">_xlfn.IFS(S399&gt;50, "High", S399&lt;=50, "Low")</f>
        <v>High</v>
      </c>
      <c r="U399">
        <v>23</v>
      </c>
      <c r="V399">
        <v>0</v>
      </c>
      <c r="W399">
        <v>8</v>
      </c>
      <c r="X399">
        <v>32</v>
      </c>
      <c r="Y399">
        <f t="shared" ca="1" si="6"/>
        <v>72.939519496820424</v>
      </c>
    </row>
    <row r="400" spans="1:25" x14ac:dyDescent="0.3">
      <c r="A400" t="s">
        <v>331</v>
      </c>
      <c r="B400" t="s">
        <v>852</v>
      </c>
      <c r="C400">
        <v>3</v>
      </c>
      <c r="D400" s="1">
        <v>44938</v>
      </c>
      <c r="E400">
        <v>658</v>
      </c>
      <c r="F400">
        <v>6</v>
      </c>
      <c r="G400">
        <v>33</v>
      </c>
      <c r="H400">
        <v>7</v>
      </c>
      <c r="I400">
        <v>53</v>
      </c>
      <c r="J400">
        <v>2</v>
      </c>
      <c r="K400">
        <v>0</v>
      </c>
      <c r="L400">
        <v>120972253</v>
      </c>
      <c r="M400">
        <v>90</v>
      </c>
      <c r="N400" t="s">
        <v>181</v>
      </c>
      <c r="O400" t="s">
        <v>45</v>
      </c>
      <c r="P400">
        <v>68</v>
      </c>
      <c r="Q400">
        <v>83</v>
      </c>
      <c r="R400" t="str" cm="1">
        <f t="array" ref="R400">_xlfn.IFS(Q400&gt;70,"Good",Q400&lt;40,"Bad",(Q400&gt;OS438*(Q400&lt;80)),"Ok")</f>
        <v>Good</v>
      </c>
      <c r="S400">
        <v>71</v>
      </c>
      <c r="T400" t="str" cm="1">
        <f t="array" ref="T400">_xlfn.IFS(S400&gt;50, "High", S400&lt;=50, "Low")</f>
        <v>High</v>
      </c>
      <c r="U400">
        <v>3</v>
      </c>
      <c r="V400">
        <v>0</v>
      </c>
      <c r="W400">
        <v>31</v>
      </c>
      <c r="X400">
        <v>8</v>
      </c>
      <c r="Y400">
        <f t="shared" ca="1" si="6"/>
        <v>36.352193943134246</v>
      </c>
    </row>
    <row r="401" spans="1:25" x14ac:dyDescent="0.3">
      <c r="A401" t="s">
        <v>853</v>
      </c>
      <c r="B401" t="s">
        <v>87</v>
      </c>
      <c r="C401">
        <v>1</v>
      </c>
      <c r="D401" s="1">
        <v>44763</v>
      </c>
      <c r="E401">
        <v>3009</v>
      </c>
      <c r="F401">
        <v>2</v>
      </c>
      <c r="G401">
        <v>68</v>
      </c>
      <c r="H401">
        <v>89</v>
      </c>
      <c r="I401">
        <v>65</v>
      </c>
      <c r="J401">
        <v>0</v>
      </c>
      <c r="K401">
        <v>25</v>
      </c>
      <c r="L401">
        <v>338564981</v>
      </c>
      <c r="M401">
        <v>141</v>
      </c>
      <c r="N401" t="s">
        <v>134</v>
      </c>
      <c r="O401" t="s">
        <v>45</v>
      </c>
      <c r="P401">
        <v>41</v>
      </c>
      <c r="Q401">
        <v>9</v>
      </c>
      <c r="R401" t="str" cm="1">
        <f t="array" ref="R401">_xlfn.IFS(Q401&gt;70,"Good",Q401&lt;40,"Bad",(Q401&gt;OS439*(Q401&lt;80)),"Ok")</f>
        <v>Bad</v>
      </c>
      <c r="S401">
        <v>25</v>
      </c>
      <c r="T401" t="str" cm="1">
        <f t="array" ref="T401">_xlfn.IFS(S401&gt;50, "High", S401&lt;=50, "Low")</f>
        <v>Low</v>
      </c>
      <c r="U401">
        <v>84</v>
      </c>
      <c r="V401">
        <v>1</v>
      </c>
      <c r="W401">
        <v>14</v>
      </c>
      <c r="X401">
        <v>4</v>
      </c>
      <c r="Y401">
        <f t="shared" ca="1" si="6"/>
        <v>75.346228612343111</v>
      </c>
    </row>
    <row r="402" spans="1:25" x14ac:dyDescent="0.3">
      <c r="A402" t="s">
        <v>854</v>
      </c>
      <c r="B402" t="s">
        <v>855</v>
      </c>
      <c r="C402">
        <v>1</v>
      </c>
      <c r="D402" s="1">
        <v>41640</v>
      </c>
      <c r="E402">
        <v>17492</v>
      </c>
      <c r="F402">
        <v>3</v>
      </c>
      <c r="G402">
        <v>136</v>
      </c>
      <c r="H402">
        <v>24</v>
      </c>
      <c r="I402" s="2">
        <v>1959</v>
      </c>
      <c r="J402">
        <v>0</v>
      </c>
      <c r="K402">
        <v>30</v>
      </c>
      <c r="L402">
        <v>1606986953</v>
      </c>
      <c r="M402">
        <v>82</v>
      </c>
      <c r="N402" t="s">
        <v>34</v>
      </c>
      <c r="O402" t="s">
        <v>28</v>
      </c>
      <c r="P402">
        <v>68</v>
      </c>
      <c r="Q402">
        <v>50</v>
      </c>
      <c r="R402" t="str" cm="1">
        <f t="array" ref="R402">_xlfn.IFS(Q402&gt;70,"Good",Q402&lt;40,"Bad",(Q402&gt;OS440*(Q402&lt;80)),"Ok")</f>
        <v>Ok</v>
      </c>
      <c r="S402">
        <v>49</v>
      </c>
      <c r="T402" t="str" cm="1">
        <f t="array" ref="T402">_xlfn.IFS(S402&gt;50, "High", S402&lt;=50, "Low")</f>
        <v>Low</v>
      </c>
      <c r="U402">
        <v>56</v>
      </c>
      <c r="V402">
        <v>0</v>
      </c>
      <c r="W402">
        <v>8</v>
      </c>
      <c r="X402">
        <v>4</v>
      </c>
      <c r="Y402">
        <f t="shared" ca="1" si="6"/>
        <v>56.980906537579635</v>
      </c>
    </row>
    <row r="403" spans="1:25" x14ac:dyDescent="0.3">
      <c r="A403" t="s">
        <v>856</v>
      </c>
      <c r="B403" t="s">
        <v>857</v>
      </c>
      <c r="C403">
        <v>1</v>
      </c>
      <c r="D403" s="1">
        <v>43910</v>
      </c>
      <c r="E403">
        <v>6170</v>
      </c>
      <c r="F403">
        <v>7</v>
      </c>
      <c r="G403">
        <v>82</v>
      </c>
      <c r="H403">
        <v>1</v>
      </c>
      <c r="I403">
        <v>231</v>
      </c>
      <c r="J403">
        <v>0</v>
      </c>
      <c r="K403">
        <v>2</v>
      </c>
      <c r="L403">
        <v>1301799902</v>
      </c>
      <c r="M403">
        <v>92</v>
      </c>
      <c r="N403" t="s">
        <v>34</v>
      </c>
      <c r="O403" t="s">
        <v>28</v>
      </c>
      <c r="P403">
        <v>47</v>
      </c>
      <c r="Q403">
        <v>25</v>
      </c>
      <c r="R403" t="str" cm="1">
        <f t="array" ref="R403">_xlfn.IFS(Q403&gt;70,"Good",Q403&lt;40,"Bad",(Q403&gt;OS441*(Q403&lt;80)),"Ok")</f>
        <v>Bad</v>
      </c>
      <c r="S403">
        <v>43</v>
      </c>
      <c r="T403" t="str" cm="1">
        <f t="array" ref="T403">_xlfn.IFS(S403&gt;50, "High", S403&lt;=50, "Low")</f>
        <v>Low</v>
      </c>
      <c r="U403">
        <v>62</v>
      </c>
      <c r="V403">
        <v>0</v>
      </c>
      <c r="W403">
        <v>32</v>
      </c>
      <c r="X403">
        <v>3</v>
      </c>
      <c r="Y403">
        <f t="shared" ca="1" si="6"/>
        <v>51.407066903256784</v>
      </c>
    </row>
    <row r="404" spans="1:25" x14ac:dyDescent="0.3">
      <c r="A404" t="s">
        <v>858</v>
      </c>
      <c r="B404" t="s">
        <v>859</v>
      </c>
      <c r="C404">
        <v>6</v>
      </c>
      <c r="D404" s="1">
        <v>44907</v>
      </c>
      <c r="E404">
        <v>130</v>
      </c>
      <c r="F404">
        <v>4</v>
      </c>
      <c r="G404">
        <v>21</v>
      </c>
      <c r="H404">
        <v>79</v>
      </c>
      <c r="I404">
        <v>2</v>
      </c>
      <c r="J404">
        <v>0</v>
      </c>
      <c r="K404">
        <v>0</v>
      </c>
      <c r="L404">
        <v>140187018</v>
      </c>
      <c r="M404">
        <v>116</v>
      </c>
      <c r="N404" t="s">
        <v>81</v>
      </c>
      <c r="O404" t="s">
        <v>45</v>
      </c>
      <c r="P404">
        <v>77</v>
      </c>
      <c r="Q404">
        <v>65</v>
      </c>
      <c r="R404" t="str" cm="1">
        <f t="array" ref="R404">_xlfn.IFS(Q404&gt;70,"Good",Q404&lt;40,"Bad",(Q404&gt;OS442*(Q404&lt;80)),"Ok")</f>
        <v>Ok</v>
      </c>
      <c r="S404">
        <v>80</v>
      </c>
      <c r="T404" t="str" cm="1">
        <f t="array" ref="T404">_xlfn.IFS(S404&gt;50, "High", S404&lt;=50, "Low")</f>
        <v>High</v>
      </c>
      <c r="U404">
        <v>6</v>
      </c>
      <c r="V404">
        <v>0</v>
      </c>
      <c r="W404">
        <v>15</v>
      </c>
      <c r="X404">
        <v>4</v>
      </c>
      <c r="Y404">
        <f t="shared" ca="1" si="6"/>
        <v>76.022373806034281</v>
      </c>
    </row>
    <row r="405" spans="1:25" x14ac:dyDescent="0.3">
      <c r="A405" t="s">
        <v>860</v>
      </c>
      <c r="B405" t="s">
        <v>861</v>
      </c>
      <c r="C405">
        <v>2</v>
      </c>
      <c r="D405" s="1">
        <v>42888</v>
      </c>
      <c r="E405">
        <v>27705</v>
      </c>
      <c r="F405">
        <v>10</v>
      </c>
      <c r="G405">
        <v>537</v>
      </c>
      <c r="H405">
        <v>122</v>
      </c>
      <c r="I405" s="2">
        <v>2726</v>
      </c>
      <c r="J405">
        <v>6</v>
      </c>
      <c r="L405">
        <v>1897517891</v>
      </c>
      <c r="M405">
        <v>124</v>
      </c>
      <c r="N405" t="s">
        <v>37</v>
      </c>
      <c r="O405" t="s">
        <v>45</v>
      </c>
      <c r="P405">
        <v>79</v>
      </c>
      <c r="Q405">
        <v>59</v>
      </c>
      <c r="R405" t="str" cm="1">
        <f t="array" ref="R405">_xlfn.IFS(Q405&gt;70,"Good",Q405&lt;40,"Bad",(Q405&gt;OS443*(Q405&lt;80)),"Ok")</f>
        <v>Ok</v>
      </c>
      <c r="S405">
        <v>86</v>
      </c>
      <c r="T405" t="str" cm="1">
        <f t="array" ref="T405">_xlfn.IFS(S405&gt;50, "High", S405&lt;=50, "Low")</f>
        <v>High</v>
      </c>
      <c r="U405">
        <v>4</v>
      </c>
      <c r="V405">
        <v>0</v>
      </c>
      <c r="W405">
        <v>8</v>
      </c>
      <c r="X405">
        <v>11</v>
      </c>
      <c r="Y405">
        <f t="shared" ca="1" si="6"/>
        <v>40.689566225483176</v>
      </c>
    </row>
    <row r="406" spans="1:25" x14ac:dyDescent="0.3">
      <c r="A406" t="s">
        <v>409</v>
      </c>
      <c r="B406" t="s">
        <v>862</v>
      </c>
      <c r="C406">
        <v>1</v>
      </c>
      <c r="D406" s="1">
        <v>44953</v>
      </c>
      <c r="E406">
        <v>359</v>
      </c>
      <c r="F406">
        <v>0</v>
      </c>
      <c r="G406">
        <v>12</v>
      </c>
      <c r="H406">
        <v>56</v>
      </c>
      <c r="I406">
        <v>13</v>
      </c>
      <c r="J406">
        <v>0</v>
      </c>
      <c r="K406">
        <v>13</v>
      </c>
      <c r="L406">
        <v>107642809</v>
      </c>
      <c r="M406">
        <v>125</v>
      </c>
      <c r="N406" t="s">
        <v>181</v>
      </c>
      <c r="O406" t="s">
        <v>45</v>
      </c>
      <c r="P406">
        <v>71</v>
      </c>
      <c r="Q406">
        <v>83</v>
      </c>
      <c r="R406" t="str" cm="1">
        <f t="array" ref="R406">_xlfn.IFS(Q406&gt;70,"Good",Q406&lt;40,"Bad",(Q406&gt;OS444*(Q406&lt;80)),"Ok")</f>
        <v>Good</v>
      </c>
      <c r="S406">
        <v>89</v>
      </c>
      <c r="T406" t="str" cm="1">
        <f t="array" ref="T406">_xlfn.IFS(S406&gt;50, "High", S406&lt;=50, "Low")</f>
        <v>High</v>
      </c>
      <c r="U406">
        <v>1</v>
      </c>
      <c r="V406">
        <v>0</v>
      </c>
      <c r="W406">
        <v>17</v>
      </c>
      <c r="X406">
        <v>9</v>
      </c>
      <c r="Y406">
        <f t="shared" ca="1" si="6"/>
        <v>8.4825710886898165</v>
      </c>
    </row>
    <row r="407" spans="1:25" x14ac:dyDescent="0.3">
      <c r="A407" t="s">
        <v>132</v>
      </c>
      <c r="B407" t="s">
        <v>701</v>
      </c>
      <c r="C407">
        <v>1</v>
      </c>
      <c r="D407" s="1">
        <v>44792</v>
      </c>
      <c r="E407">
        <v>1963</v>
      </c>
      <c r="F407">
        <v>16</v>
      </c>
      <c r="G407">
        <v>57</v>
      </c>
      <c r="H407">
        <v>119</v>
      </c>
      <c r="I407">
        <v>77</v>
      </c>
      <c r="J407">
        <v>1</v>
      </c>
      <c r="K407">
        <v>13</v>
      </c>
      <c r="L407">
        <v>551305895</v>
      </c>
      <c r="M407">
        <v>90</v>
      </c>
      <c r="O407" t="s">
        <v>28</v>
      </c>
      <c r="P407">
        <v>80</v>
      </c>
      <c r="Q407">
        <v>71</v>
      </c>
      <c r="R407" t="str" cm="1">
        <f t="array" ref="R407">_xlfn.IFS(Q407&gt;70,"Good",Q407&lt;40,"Bad",(Q407&gt;OS445*(Q407&lt;80)),"Ok")</f>
        <v>Good</v>
      </c>
      <c r="S407">
        <v>69</v>
      </c>
      <c r="T407" t="str" cm="1">
        <f t="array" ref="T407">_xlfn.IFS(S407&gt;50, "High", S407&lt;=50, "Low")</f>
        <v>High</v>
      </c>
      <c r="U407">
        <v>2</v>
      </c>
      <c r="V407">
        <v>0</v>
      </c>
      <c r="W407">
        <v>27</v>
      </c>
      <c r="X407">
        <v>10</v>
      </c>
      <c r="Y407">
        <f t="shared" ca="1" si="6"/>
        <v>40.339370781079154</v>
      </c>
    </row>
    <row r="408" spans="1:25" x14ac:dyDescent="0.3">
      <c r="A408" t="s">
        <v>863</v>
      </c>
      <c r="B408" t="s">
        <v>864</v>
      </c>
      <c r="C408">
        <v>3</v>
      </c>
      <c r="D408" s="1">
        <v>44678</v>
      </c>
      <c r="E408">
        <v>5491</v>
      </c>
      <c r="F408">
        <v>14</v>
      </c>
      <c r="G408">
        <v>128</v>
      </c>
      <c r="H408">
        <v>84</v>
      </c>
      <c r="I408">
        <v>75</v>
      </c>
      <c r="J408">
        <v>0</v>
      </c>
      <c r="K408">
        <v>35</v>
      </c>
      <c r="L408">
        <v>556585270</v>
      </c>
      <c r="M408">
        <v>83</v>
      </c>
      <c r="N408" t="s">
        <v>31</v>
      </c>
      <c r="O408" t="s">
        <v>28</v>
      </c>
      <c r="P408">
        <v>46</v>
      </c>
      <c r="Q408">
        <v>34</v>
      </c>
      <c r="R408" t="str" cm="1">
        <f t="array" ref="R408">_xlfn.IFS(Q408&gt;70,"Good",Q408&lt;40,"Bad",(Q408&gt;OS446*(Q408&lt;80)),"Ok")</f>
        <v>Bad</v>
      </c>
      <c r="S408">
        <v>64</v>
      </c>
      <c r="T408" t="str" cm="1">
        <f t="array" ref="T408">_xlfn.IFS(S408&gt;50, "High", S408&lt;=50, "Low")</f>
        <v>High</v>
      </c>
      <c r="U408">
        <v>31</v>
      </c>
      <c r="V408">
        <v>0</v>
      </c>
      <c r="W408">
        <v>7</v>
      </c>
      <c r="X408">
        <v>34</v>
      </c>
      <c r="Y408">
        <f t="shared" ca="1" si="6"/>
        <v>67.651636701685263</v>
      </c>
    </row>
    <row r="409" spans="1:25" x14ac:dyDescent="0.3">
      <c r="A409" t="s">
        <v>865</v>
      </c>
      <c r="B409" t="s">
        <v>122</v>
      </c>
      <c r="C409">
        <v>1</v>
      </c>
      <c r="D409" s="1">
        <v>43769</v>
      </c>
      <c r="E409">
        <v>27119</v>
      </c>
      <c r="F409">
        <v>0</v>
      </c>
      <c r="G409">
        <v>532</v>
      </c>
      <c r="H409">
        <v>77</v>
      </c>
      <c r="I409" s="2">
        <v>1535</v>
      </c>
      <c r="J409">
        <v>3</v>
      </c>
      <c r="K409">
        <v>8</v>
      </c>
      <c r="L409">
        <v>2303033973</v>
      </c>
      <c r="M409">
        <v>124</v>
      </c>
      <c r="N409" t="s">
        <v>27</v>
      </c>
      <c r="O409" t="s">
        <v>45</v>
      </c>
      <c r="P409">
        <v>79</v>
      </c>
      <c r="Q409">
        <v>68</v>
      </c>
      <c r="R409" t="str" cm="1">
        <f t="array" ref="R409">_xlfn.IFS(Q409&gt;70,"Good",Q409&lt;40,"Bad",(Q409&gt;OS447*(Q409&lt;80)),"Ok")</f>
        <v>Ok</v>
      </c>
      <c r="S409">
        <v>79</v>
      </c>
      <c r="T409" t="str" cm="1">
        <f t="array" ref="T409">_xlfn.IFS(S409&gt;50, "High", S409&lt;=50, "Low")</f>
        <v>High</v>
      </c>
      <c r="U409">
        <v>1</v>
      </c>
      <c r="V409">
        <v>0</v>
      </c>
      <c r="W409">
        <v>10</v>
      </c>
      <c r="X409">
        <v>8</v>
      </c>
      <c r="Y409">
        <f t="shared" ca="1" si="6"/>
        <v>7.7518831205345418</v>
      </c>
    </row>
    <row r="410" spans="1:25" x14ac:dyDescent="0.3">
      <c r="A410" t="s">
        <v>866</v>
      </c>
      <c r="B410" t="s">
        <v>867</v>
      </c>
      <c r="C410">
        <v>1</v>
      </c>
      <c r="D410" s="1">
        <v>41859</v>
      </c>
      <c r="E410">
        <v>1776</v>
      </c>
      <c r="F410">
        <v>14</v>
      </c>
      <c r="G410">
        <v>1</v>
      </c>
      <c r="H410">
        <v>9</v>
      </c>
      <c r="I410">
        <v>3</v>
      </c>
      <c r="J410">
        <v>0</v>
      </c>
      <c r="K410">
        <v>0</v>
      </c>
      <c r="L410">
        <v>646886885</v>
      </c>
      <c r="M410">
        <v>140</v>
      </c>
      <c r="N410" t="s">
        <v>81</v>
      </c>
      <c r="O410" t="s">
        <v>28</v>
      </c>
      <c r="P410">
        <v>58</v>
      </c>
      <c r="Q410">
        <v>4</v>
      </c>
      <c r="R410" t="str" cm="1">
        <f t="array" ref="R410">_xlfn.IFS(Q410&gt;70,"Good",Q410&lt;40,"Bad",(Q410&gt;OS448*(Q410&lt;80)),"Ok")</f>
        <v>Bad</v>
      </c>
      <c r="S410">
        <v>60</v>
      </c>
      <c r="T410" t="str" cm="1">
        <f t="array" ref="T410">_xlfn.IFS(S410&gt;50, "High", S410&lt;=50, "Low")</f>
        <v>High</v>
      </c>
      <c r="U410">
        <v>7</v>
      </c>
      <c r="V410">
        <v>41</v>
      </c>
      <c r="W410">
        <v>8</v>
      </c>
      <c r="X410">
        <v>3</v>
      </c>
      <c r="Y410">
        <f t="shared" ca="1" si="6"/>
        <v>9.8867978190188328</v>
      </c>
    </row>
    <row r="411" spans="1:25" x14ac:dyDescent="0.3">
      <c r="A411" t="s">
        <v>868</v>
      </c>
      <c r="B411" t="s">
        <v>869</v>
      </c>
      <c r="C411">
        <v>2</v>
      </c>
      <c r="D411" s="1">
        <v>44820</v>
      </c>
      <c r="E411">
        <v>1473</v>
      </c>
      <c r="F411">
        <v>4</v>
      </c>
      <c r="G411">
        <v>27</v>
      </c>
      <c r="H411">
        <v>64</v>
      </c>
      <c r="I411">
        <v>66</v>
      </c>
      <c r="J411">
        <v>1</v>
      </c>
      <c r="K411">
        <v>4</v>
      </c>
      <c r="L411">
        <v>222612678</v>
      </c>
      <c r="M411">
        <v>154</v>
      </c>
      <c r="O411" t="s">
        <v>28</v>
      </c>
      <c r="P411">
        <v>64</v>
      </c>
      <c r="Q411">
        <v>61</v>
      </c>
      <c r="R411" t="str" cm="1">
        <f t="array" ref="R411">_xlfn.IFS(Q411&gt;70,"Good",Q411&lt;40,"Bad",(Q411&gt;OS449*(Q411&lt;80)),"Ok")</f>
        <v>Ok</v>
      </c>
      <c r="S411">
        <v>91</v>
      </c>
      <c r="T411" t="str" cm="1">
        <f t="array" ref="T411">_xlfn.IFS(S411&gt;50, "High", S411&lt;=50, "Low")</f>
        <v>High</v>
      </c>
      <c r="U411">
        <v>15</v>
      </c>
      <c r="V411">
        <v>0</v>
      </c>
      <c r="W411">
        <v>72</v>
      </c>
      <c r="X411">
        <v>4</v>
      </c>
      <c r="Y411">
        <f t="shared" ca="1" si="6"/>
        <v>43.537585204806959</v>
      </c>
    </row>
    <row r="412" spans="1:25" x14ac:dyDescent="0.3">
      <c r="A412" t="s">
        <v>416</v>
      </c>
      <c r="B412" t="s">
        <v>870</v>
      </c>
      <c r="C412">
        <v>2</v>
      </c>
      <c r="D412" s="1">
        <v>44400</v>
      </c>
      <c r="E412">
        <v>13315</v>
      </c>
      <c r="F412">
        <v>0</v>
      </c>
      <c r="G412">
        <v>300</v>
      </c>
      <c r="H412">
        <v>47</v>
      </c>
      <c r="I412">
        <v>690</v>
      </c>
      <c r="J412">
        <v>0</v>
      </c>
      <c r="L412">
        <v>1814349763</v>
      </c>
      <c r="M412">
        <v>150</v>
      </c>
      <c r="N412" t="s">
        <v>302</v>
      </c>
      <c r="O412" t="s">
        <v>45</v>
      </c>
      <c r="P412">
        <v>74</v>
      </c>
      <c r="Q412">
        <v>89</v>
      </c>
      <c r="R412" t="str" cm="1">
        <f t="array" ref="R412">_xlfn.IFS(Q412&gt;70,"Good",Q412&lt;40,"Bad",(Q412&gt;OS450*(Q412&lt;80)),"Ok")</f>
        <v>Good</v>
      </c>
      <c r="S412">
        <v>70</v>
      </c>
      <c r="T412" t="str" cm="1">
        <f t="array" ref="T412">_xlfn.IFS(S412&gt;50, "High", S412&lt;=50, "Low")</f>
        <v>High</v>
      </c>
      <c r="U412">
        <v>2</v>
      </c>
      <c r="V412">
        <v>0</v>
      </c>
      <c r="W412">
        <v>5</v>
      </c>
      <c r="X412">
        <v>6</v>
      </c>
      <c r="Y412">
        <f t="shared" ca="1" si="6"/>
        <v>76.227259682870951</v>
      </c>
    </row>
    <row r="413" spans="1:25" x14ac:dyDescent="0.3">
      <c r="A413" t="s">
        <v>871</v>
      </c>
      <c r="B413" t="s">
        <v>872</v>
      </c>
      <c r="C413">
        <v>1</v>
      </c>
      <c r="D413" s="1">
        <v>43840</v>
      </c>
      <c r="E413">
        <v>4057</v>
      </c>
      <c r="F413">
        <v>8</v>
      </c>
      <c r="G413">
        <v>78</v>
      </c>
      <c r="H413">
        <v>21</v>
      </c>
      <c r="I413">
        <v>240</v>
      </c>
      <c r="J413">
        <v>1</v>
      </c>
      <c r="K413">
        <v>52</v>
      </c>
      <c r="L413">
        <v>872137015</v>
      </c>
      <c r="M413">
        <v>186</v>
      </c>
      <c r="N413" t="s">
        <v>134</v>
      </c>
      <c r="O413" t="s">
        <v>45</v>
      </c>
      <c r="P413">
        <v>41</v>
      </c>
      <c r="Q413">
        <v>9</v>
      </c>
      <c r="R413" t="str" cm="1">
        <f t="array" ref="R413">_xlfn.IFS(Q413&gt;70,"Good",Q413&lt;40,"Bad",(Q413&gt;OS451*(Q413&lt;80)),"Ok")</f>
        <v>Bad</v>
      </c>
      <c r="S413">
        <v>61</v>
      </c>
      <c r="T413" t="str" cm="1">
        <f t="array" ref="T413">_xlfn.IFS(S413&gt;50, "High", S413&lt;=50, "Low")</f>
        <v>High</v>
      </c>
      <c r="U413">
        <v>2</v>
      </c>
      <c r="V413">
        <v>0</v>
      </c>
      <c r="W413">
        <v>12</v>
      </c>
      <c r="X413">
        <v>5</v>
      </c>
      <c r="Y413">
        <f t="shared" ca="1" si="6"/>
        <v>87.374311155355144</v>
      </c>
    </row>
    <row r="414" spans="1:25" x14ac:dyDescent="0.3">
      <c r="A414" t="s">
        <v>873</v>
      </c>
      <c r="B414" t="s">
        <v>874</v>
      </c>
      <c r="C414">
        <v>1</v>
      </c>
      <c r="D414" s="1">
        <v>42116</v>
      </c>
      <c r="E414">
        <v>3045</v>
      </c>
      <c r="F414">
        <v>6</v>
      </c>
      <c r="G414">
        <v>43</v>
      </c>
      <c r="H414">
        <v>53</v>
      </c>
      <c r="I414">
        <v>134</v>
      </c>
      <c r="J414">
        <v>1</v>
      </c>
      <c r="K414">
        <v>32</v>
      </c>
      <c r="L414">
        <v>571386359</v>
      </c>
      <c r="M414">
        <v>166</v>
      </c>
      <c r="N414" t="s">
        <v>81</v>
      </c>
      <c r="O414" t="s">
        <v>45</v>
      </c>
      <c r="P414">
        <v>40</v>
      </c>
      <c r="Q414">
        <v>23</v>
      </c>
      <c r="R414" t="str" cm="1">
        <f t="array" ref="R414">_xlfn.IFS(Q414&gt;70,"Good",Q414&lt;40,"Bad",(Q414&gt;OS452*(Q414&lt;80)),"Ok")</f>
        <v>Bad</v>
      </c>
      <c r="S414">
        <v>48</v>
      </c>
      <c r="T414" t="str" cm="1">
        <f t="array" ref="T414">_xlfn.IFS(S414&gt;50, "High", S414&lt;=50, "Low")</f>
        <v>Low</v>
      </c>
      <c r="U414">
        <v>5</v>
      </c>
      <c r="V414">
        <v>0</v>
      </c>
      <c r="W414">
        <v>12</v>
      </c>
      <c r="X414">
        <v>3</v>
      </c>
      <c r="Y414">
        <f t="shared" ca="1" si="6"/>
        <v>90.589139332195543</v>
      </c>
    </row>
    <row r="415" spans="1:25" x14ac:dyDescent="0.3">
      <c r="A415" t="s">
        <v>875</v>
      </c>
      <c r="B415" t="s">
        <v>876</v>
      </c>
      <c r="C415">
        <v>2</v>
      </c>
      <c r="D415" s="1">
        <v>44826</v>
      </c>
      <c r="E415">
        <v>3006</v>
      </c>
      <c r="F415">
        <v>12</v>
      </c>
      <c r="G415">
        <v>54</v>
      </c>
      <c r="H415">
        <v>32</v>
      </c>
      <c r="I415">
        <v>66</v>
      </c>
      <c r="J415">
        <v>2</v>
      </c>
      <c r="K415">
        <v>0</v>
      </c>
      <c r="L415">
        <v>304079786</v>
      </c>
      <c r="M415">
        <v>107</v>
      </c>
      <c r="O415" t="s">
        <v>28</v>
      </c>
      <c r="P415">
        <v>87</v>
      </c>
      <c r="Q415">
        <v>20</v>
      </c>
      <c r="R415" t="str" cm="1">
        <f t="array" ref="R415">_xlfn.IFS(Q415&gt;70,"Good",Q415&lt;40,"Bad",(Q415&gt;OS453*(Q415&lt;80)),"Ok")</f>
        <v>Bad</v>
      </c>
      <c r="S415">
        <v>83</v>
      </c>
      <c r="T415" t="str" cm="1">
        <f t="array" ref="T415">_xlfn.IFS(S415&gt;50, "High", S415&lt;=50, "Low")</f>
        <v>High</v>
      </c>
      <c r="U415">
        <v>0</v>
      </c>
      <c r="V415">
        <v>4</v>
      </c>
      <c r="W415">
        <v>31</v>
      </c>
      <c r="X415">
        <v>9</v>
      </c>
      <c r="Y415">
        <f t="shared" ca="1" si="6"/>
        <v>46.734537416795042</v>
      </c>
    </row>
    <row r="416" spans="1:25" x14ac:dyDescent="0.3">
      <c r="A416" t="s">
        <v>877</v>
      </c>
      <c r="B416" t="s">
        <v>878</v>
      </c>
      <c r="C416">
        <v>3</v>
      </c>
      <c r="D416" s="1">
        <v>44813</v>
      </c>
      <c r="E416">
        <v>852</v>
      </c>
      <c r="F416">
        <v>0</v>
      </c>
      <c r="G416">
        <v>14</v>
      </c>
      <c r="H416">
        <v>1</v>
      </c>
      <c r="I416">
        <v>50</v>
      </c>
      <c r="J416">
        <v>0</v>
      </c>
      <c r="K416">
        <v>0</v>
      </c>
      <c r="L416">
        <v>174006928</v>
      </c>
      <c r="M416">
        <v>87</v>
      </c>
      <c r="N416" t="s">
        <v>94</v>
      </c>
      <c r="O416" t="s">
        <v>28</v>
      </c>
      <c r="P416">
        <v>87</v>
      </c>
      <c r="Q416">
        <v>52</v>
      </c>
      <c r="R416" t="str" cm="1">
        <f t="array" ref="R416">_xlfn.IFS(Q416&gt;70,"Good",Q416&lt;40,"Bad",(Q416&gt;OS454*(Q416&lt;80)),"Ok")</f>
        <v>Ok</v>
      </c>
      <c r="S416">
        <v>52</v>
      </c>
      <c r="T416" t="str" cm="1">
        <f t="array" ref="T416">_xlfn.IFS(S416&gt;50, "High", S416&lt;=50, "Low")</f>
        <v>High</v>
      </c>
      <c r="U416">
        <v>31</v>
      </c>
      <c r="V416">
        <v>0</v>
      </c>
      <c r="W416">
        <v>28</v>
      </c>
      <c r="X416">
        <v>24</v>
      </c>
      <c r="Y416">
        <f t="shared" ca="1" si="6"/>
        <v>84.028249557826797</v>
      </c>
    </row>
    <row r="417" spans="1:25" x14ac:dyDescent="0.3">
      <c r="A417" t="s">
        <v>879</v>
      </c>
      <c r="B417" t="s">
        <v>880</v>
      </c>
      <c r="C417">
        <v>1</v>
      </c>
      <c r="D417" s="1">
        <v>44778</v>
      </c>
      <c r="E417">
        <v>2163</v>
      </c>
      <c r="F417">
        <v>15</v>
      </c>
      <c r="G417">
        <v>72</v>
      </c>
      <c r="H417">
        <v>97</v>
      </c>
      <c r="I417">
        <v>58</v>
      </c>
      <c r="J417">
        <v>0</v>
      </c>
      <c r="K417">
        <v>154</v>
      </c>
      <c r="L417">
        <v>284785823</v>
      </c>
      <c r="M417">
        <v>82</v>
      </c>
      <c r="N417" t="s">
        <v>81</v>
      </c>
      <c r="O417" t="s">
        <v>28</v>
      </c>
      <c r="P417">
        <v>40</v>
      </c>
      <c r="Q417">
        <v>39</v>
      </c>
      <c r="R417" t="str" cm="1">
        <f t="array" ref="R417">_xlfn.IFS(Q417&gt;70,"Good",Q417&lt;40,"Bad",(Q417&gt;OS455*(Q417&lt;80)),"Ok")</f>
        <v>Bad</v>
      </c>
      <c r="S417">
        <v>64</v>
      </c>
      <c r="T417" t="str" cm="1">
        <f t="array" ref="T417">_xlfn.IFS(S417&gt;50, "High", S417&lt;=50, "Low")</f>
        <v>High</v>
      </c>
      <c r="U417">
        <v>21</v>
      </c>
      <c r="V417">
        <v>0</v>
      </c>
      <c r="W417">
        <v>7</v>
      </c>
      <c r="X417">
        <v>7</v>
      </c>
      <c r="Y417">
        <f t="shared" ca="1" si="6"/>
        <v>49.991713071295443</v>
      </c>
    </row>
    <row r="418" spans="1:25" x14ac:dyDescent="0.3">
      <c r="A418" t="s">
        <v>881</v>
      </c>
      <c r="B418" t="s">
        <v>80</v>
      </c>
      <c r="C418">
        <v>1</v>
      </c>
      <c r="D418" s="1">
        <v>44904</v>
      </c>
      <c r="E418">
        <v>1484</v>
      </c>
      <c r="F418">
        <v>0</v>
      </c>
      <c r="G418">
        <v>22</v>
      </c>
      <c r="H418">
        <v>51</v>
      </c>
      <c r="I418">
        <v>12</v>
      </c>
      <c r="J418">
        <v>0</v>
      </c>
      <c r="K418">
        <v>0</v>
      </c>
      <c r="L418">
        <v>163284000</v>
      </c>
      <c r="M418">
        <v>114</v>
      </c>
      <c r="N418" t="s">
        <v>37</v>
      </c>
      <c r="O418" t="s">
        <v>45</v>
      </c>
      <c r="P418">
        <v>46</v>
      </c>
      <c r="Q418">
        <v>60</v>
      </c>
      <c r="R418" t="str" cm="1">
        <f t="array" ref="R418">_xlfn.IFS(Q418&gt;70,"Good",Q418&lt;40,"Bad",(Q418&gt;OS456*(Q418&lt;80)),"Ok")</f>
        <v>Ok</v>
      </c>
      <c r="S418">
        <v>28</v>
      </c>
      <c r="T418" t="str" cm="1">
        <f t="array" ref="T418">_xlfn.IFS(S418&gt;50, "High", S418&lt;=50, "Low")</f>
        <v>Low</v>
      </c>
      <c r="U418">
        <v>91</v>
      </c>
      <c r="V418">
        <v>0</v>
      </c>
      <c r="W418">
        <v>21</v>
      </c>
      <c r="X418">
        <v>4</v>
      </c>
      <c r="Y418">
        <f t="shared" ca="1" si="6"/>
        <v>42.747199024959002</v>
      </c>
    </row>
    <row r="419" spans="1:25" x14ac:dyDescent="0.3">
      <c r="A419" t="s">
        <v>170</v>
      </c>
      <c r="B419" t="s">
        <v>645</v>
      </c>
      <c r="C419">
        <v>1</v>
      </c>
      <c r="D419" s="1">
        <v>44869</v>
      </c>
      <c r="E419">
        <v>1703</v>
      </c>
      <c r="F419">
        <v>0</v>
      </c>
      <c r="G419">
        <v>38</v>
      </c>
      <c r="H419">
        <v>45</v>
      </c>
      <c r="I419">
        <v>36</v>
      </c>
      <c r="J419">
        <v>16</v>
      </c>
      <c r="K419">
        <v>0</v>
      </c>
      <c r="L419">
        <v>246390068</v>
      </c>
      <c r="M419">
        <v>148</v>
      </c>
      <c r="N419" t="s">
        <v>81</v>
      </c>
      <c r="O419" t="s">
        <v>28</v>
      </c>
      <c r="P419">
        <v>47</v>
      </c>
      <c r="Q419">
        <v>15</v>
      </c>
      <c r="R419" t="str" cm="1">
        <f t="array" ref="R419">_xlfn.IFS(Q419&gt;70,"Good",Q419&lt;40,"Bad",(Q419&gt;OS457*(Q419&lt;80)),"Ok")</f>
        <v>Bad</v>
      </c>
      <c r="S419">
        <v>52</v>
      </c>
      <c r="T419" t="str" cm="1">
        <f t="array" ref="T419">_xlfn.IFS(S419&gt;50, "High", S419&lt;=50, "Low")</f>
        <v>High</v>
      </c>
      <c r="U419">
        <v>38</v>
      </c>
      <c r="V419">
        <v>13</v>
      </c>
      <c r="W419">
        <v>29</v>
      </c>
      <c r="X419">
        <v>5</v>
      </c>
      <c r="Y419">
        <f t="shared" ca="1" si="6"/>
        <v>78.756302679517745</v>
      </c>
    </row>
    <row r="420" spans="1:25" x14ac:dyDescent="0.3">
      <c r="A420" t="s">
        <v>100</v>
      </c>
      <c r="B420" t="s">
        <v>769</v>
      </c>
      <c r="C420">
        <v>1</v>
      </c>
      <c r="D420" s="1">
        <v>44762</v>
      </c>
      <c r="E420">
        <v>4169</v>
      </c>
      <c r="F420">
        <v>44</v>
      </c>
      <c r="G420">
        <v>57</v>
      </c>
      <c r="H420">
        <v>44</v>
      </c>
      <c r="I420">
        <v>183</v>
      </c>
      <c r="J420">
        <v>1</v>
      </c>
      <c r="K420">
        <v>11</v>
      </c>
      <c r="L420">
        <v>482257456</v>
      </c>
      <c r="M420">
        <v>140</v>
      </c>
      <c r="N420" t="s">
        <v>65</v>
      </c>
      <c r="O420" t="s">
        <v>28</v>
      </c>
      <c r="P420">
        <v>91</v>
      </c>
      <c r="Q420">
        <v>97</v>
      </c>
      <c r="R420" t="str" cm="1">
        <f t="array" ref="R420">_xlfn.IFS(Q420&gt;70,"Good",Q420&lt;40,"Bad",(Q420&gt;OS458*(Q420&lt;80)),"Ok")</f>
        <v>Good</v>
      </c>
      <c r="S420">
        <v>57</v>
      </c>
      <c r="T420" t="str" cm="1">
        <f t="array" ref="T420">_xlfn.IFS(S420&gt;50, "High", S420&lt;=50, "Low")</f>
        <v>High</v>
      </c>
      <c r="U420">
        <v>38</v>
      </c>
      <c r="V420">
        <v>0</v>
      </c>
      <c r="W420">
        <v>40</v>
      </c>
      <c r="X420">
        <v>29</v>
      </c>
      <c r="Y420">
        <f t="shared" ca="1" si="6"/>
        <v>28.941216588447759</v>
      </c>
    </row>
    <row r="421" spans="1:25" x14ac:dyDescent="0.3">
      <c r="A421" t="s">
        <v>78</v>
      </c>
      <c r="B421" t="s">
        <v>882</v>
      </c>
      <c r="C421">
        <v>1</v>
      </c>
      <c r="D421" s="1">
        <v>44837</v>
      </c>
      <c r="E421">
        <v>1054</v>
      </c>
      <c r="F421">
        <v>0</v>
      </c>
      <c r="G421">
        <v>9</v>
      </c>
      <c r="H421">
        <v>0</v>
      </c>
      <c r="I421">
        <v>15</v>
      </c>
      <c r="J421">
        <v>0</v>
      </c>
      <c r="K421">
        <v>1</v>
      </c>
      <c r="L421">
        <v>168684524</v>
      </c>
      <c r="M421">
        <v>101</v>
      </c>
      <c r="N421" t="s">
        <v>94</v>
      </c>
      <c r="O421" t="s">
        <v>28</v>
      </c>
      <c r="P421">
        <v>90</v>
      </c>
      <c r="Q421">
        <v>76</v>
      </c>
      <c r="R421" t="str" cm="1">
        <f t="array" ref="R421">_xlfn.IFS(Q421&gt;70,"Good",Q421&lt;40,"Bad",(Q421&gt;OS459*(Q421&lt;80)),"Ok")</f>
        <v>Good</v>
      </c>
      <c r="S421">
        <v>81</v>
      </c>
      <c r="T421" t="str" cm="1">
        <f t="array" ref="T421">_xlfn.IFS(S421&gt;50, "High", S421&lt;=50, "Low")</f>
        <v>High</v>
      </c>
      <c r="U421">
        <v>15</v>
      </c>
      <c r="V421">
        <v>24</v>
      </c>
      <c r="W421">
        <v>33</v>
      </c>
      <c r="X421">
        <v>6</v>
      </c>
      <c r="Y421">
        <f t="shared" ca="1" si="6"/>
        <v>41.212609253915275</v>
      </c>
    </row>
    <row r="422" spans="1:25" x14ac:dyDescent="0.3">
      <c r="A422" t="s">
        <v>883</v>
      </c>
      <c r="B422" t="s">
        <v>884</v>
      </c>
      <c r="C422">
        <v>3</v>
      </c>
      <c r="D422" s="1">
        <v>44578</v>
      </c>
      <c r="E422">
        <v>2849</v>
      </c>
      <c r="F422">
        <v>0</v>
      </c>
      <c r="G422">
        <v>39</v>
      </c>
      <c r="H422">
        <v>45</v>
      </c>
      <c r="I422">
        <v>27</v>
      </c>
      <c r="J422">
        <v>0</v>
      </c>
      <c r="K422">
        <v>1</v>
      </c>
      <c r="L422">
        <v>78489819</v>
      </c>
      <c r="M422">
        <v>140</v>
      </c>
      <c r="N422" t="s">
        <v>31</v>
      </c>
      <c r="O422" t="s">
        <v>45</v>
      </c>
      <c r="P422">
        <v>81</v>
      </c>
      <c r="Q422">
        <v>6</v>
      </c>
      <c r="R422" t="str" cm="1">
        <f t="array" ref="R422">_xlfn.IFS(Q422&gt;70,"Good",Q422&lt;40,"Bad",(Q422&gt;OS460*(Q422&lt;80)),"Ok")</f>
        <v>Bad</v>
      </c>
      <c r="S422">
        <v>84</v>
      </c>
      <c r="T422" t="str" cm="1">
        <f t="array" ref="T422">_xlfn.IFS(S422&gt;50, "High", S422&lt;=50, "Low")</f>
        <v>High</v>
      </c>
      <c r="U422">
        <v>5</v>
      </c>
      <c r="V422">
        <v>23</v>
      </c>
      <c r="W422">
        <v>6</v>
      </c>
      <c r="X422">
        <v>6</v>
      </c>
      <c r="Y422">
        <f t="shared" ca="1" si="6"/>
        <v>94.442892769985392</v>
      </c>
    </row>
    <row r="423" spans="1:25" x14ac:dyDescent="0.3">
      <c r="A423" t="s">
        <v>885</v>
      </c>
      <c r="B423" t="s">
        <v>886</v>
      </c>
      <c r="C423">
        <v>3</v>
      </c>
      <c r="D423" s="1">
        <v>44897</v>
      </c>
      <c r="E423">
        <v>1602</v>
      </c>
      <c r="F423">
        <v>0</v>
      </c>
      <c r="G423">
        <v>12</v>
      </c>
      <c r="H423">
        <v>22</v>
      </c>
      <c r="I423">
        <v>12</v>
      </c>
      <c r="J423">
        <v>0</v>
      </c>
      <c r="K423">
        <v>2</v>
      </c>
      <c r="L423">
        <v>195516622</v>
      </c>
      <c r="M423">
        <v>88</v>
      </c>
      <c r="N423" t="s">
        <v>94</v>
      </c>
      <c r="O423" t="s">
        <v>45</v>
      </c>
      <c r="P423">
        <v>49</v>
      </c>
      <c r="Q423">
        <v>24</v>
      </c>
      <c r="R423" t="str" cm="1">
        <f t="array" ref="R423">_xlfn.IFS(Q423&gt;70,"Good",Q423&lt;40,"Bad",(Q423&gt;OS461*(Q423&lt;80)),"Ok")</f>
        <v>Bad</v>
      </c>
      <c r="S423">
        <v>66</v>
      </c>
      <c r="T423" t="str" cm="1">
        <f t="array" ref="T423">_xlfn.IFS(S423&gt;50, "High", S423&lt;=50, "Low")</f>
        <v>High</v>
      </c>
      <c r="U423">
        <v>19</v>
      </c>
      <c r="V423">
        <v>0</v>
      </c>
      <c r="W423">
        <v>18</v>
      </c>
      <c r="X423">
        <v>29</v>
      </c>
      <c r="Y423">
        <f t="shared" ca="1" si="6"/>
        <v>82.484588859634968</v>
      </c>
    </row>
    <row r="424" spans="1:25" x14ac:dyDescent="0.3">
      <c r="A424" t="s">
        <v>887</v>
      </c>
      <c r="B424" t="s">
        <v>44</v>
      </c>
      <c r="C424">
        <v>1</v>
      </c>
      <c r="D424" s="1">
        <v>44351</v>
      </c>
      <c r="E424">
        <v>9644</v>
      </c>
      <c r="F424">
        <v>28</v>
      </c>
      <c r="G424">
        <v>120</v>
      </c>
      <c r="H424">
        <v>86</v>
      </c>
      <c r="I424">
        <v>164</v>
      </c>
      <c r="J424">
        <v>4</v>
      </c>
      <c r="K424">
        <v>0</v>
      </c>
      <c r="L424">
        <v>1260594497</v>
      </c>
      <c r="M424">
        <v>180</v>
      </c>
      <c r="N424" t="s">
        <v>31</v>
      </c>
      <c r="O424" t="s">
        <v>28</v>
      </c>
      <c r="P424">
        <v>64</v>
      </c>
      <c r="Q424">
        <v>44</v>
      </c>
      <c r="R424" t="str" cm="1">
        <f t="array" ref="R424">_xlfn.IFS(Q424&gt;70,"Good",Q424&lt;40,"Bad",(Q424&gt;OS462*(Q424&lt;80)),"Ok")</f>
        <v>Ok</v>
      </c>
      <c r="S424">
        <v>65</v>
      </c>
      <c r="T424" t="str" cm="1">
        <f t="array" ref="T424">_xlfn.IFS(S424&gt;50, "High", S424&lt;=50, "Low")</f>
        <v>High</v>
      </c>
      <c r="U424">
        <v>28</v>
      </c>
      <c r="V424">
        <v>0</v>
      </c>
      <c r="W424">
        <v>14</v>
      </c>
      <c r="X424">
        <v>12</v>
      </c>
      <c r="Y424">
        <f t="shared" ca="1" si="6"/>
        <v>63.127398274291423</v>
      </c>
    </row>
    <row r="425" spans="1:25" x14ac:dyDescent="0.3">
      <c r="A425" t="s">
        <v>153</v>
      </c>
      <c r="B425" t="s">
        <v>781</v>
      </c>
      <c r="C425">
        <v>1</v>
      </c>
      <c r="D425" s="1">
        <v>44785</v>
      </c>
      <c r="E425">
        <v>4827</v>
      </c>
      <c r="F425">
        <v>0</v>
      </c>
      <c r="G425">
        <v>104</v>
      </c>
      <c r="H425">
        <v>17</v>
      </c>
      <c r="I425">
        <v>76</v>
      </c>
      <c r="J425">
        <v>9</v>
      </c>
      <c r="K425">
        <v>2</v>
      </c>
      <c r="L425">
        <v>428685680</v>
      </c>
      <c r="M425">
        <v>133</v>
      </c>
      <c r="N425" t="s">
        <v>61</v>
      </c>
      <c r="O425" t="s">
        <v>28</v>
      </c>
      <c r="P425">
        <v>95</v>
      </c>
      <c r="Q425">
        <v>91</v>
      </c>
      <c r="R425" t="str" cm="1">
        <f t="array" ref="R425">_xlfn.IFS(Q425&gt;70,"Good",Q425&lt;40,"Bad",(Q425&gt;OS463*(Q425&lt;80)),"Ok")</f>
        <v>Good</v>
      </c>
      <c r="S425">
        <v>89</v>
      </c>
      <c r="T425" t="str" cm="1">
        <f t="array" ref="T425">_xlfn.IFS(S425&gt;50, "High", S425&lt;=50, "Low")</f>
        <v>High</v>
      </c>
      <c r="U425">
        <v>6</v>
      </c>
      <c r="V425">
        <v>0</v>
      </c>
      <c r="W425">
        <v>31</v>
      </c>
      <c r="X425">
        <v>24</v>
      </c>
      <c r="Y425">
        <f t="shared" ca="1" si="6"/>
        <v>71.713815729767731</v>
      </c>
    </row>
    <row r="426" spans="1:25" x14ac:dyDescent="0.3">
      <c r="A426" t="s">
        <v>888</v>
      </c>
      <c r="B426" t="s">
        <v>889</v>
      </c>
      <c r="C426">
        <v>1</v>
      </c>
      <c r="D426" s="1">
        <v>31306</v>
      </c>
      <c r="E426">
        <v>21811</v>
      </c>
      <c r="F426">
        <v>0</v>
      </c>
      <c r="G426">
        <v>117</v>
      </c>
      <c r="H426">
        <v>1</v>
      </c>
      <c r="I426">
        <v>676</v>
      </c>
      <c r="J426">
        <v>3</v>
      </c>
      <c r="K426">
        <v>0</v>
      </c>
      <c r="L426">
        <v>1024858327</v>
      </c>
      <c r="M426">
        <v>108</v>
      </c>
      <c r="N426" t="s">
        <v>181</v>
      </c>
      <c r="O426" t="s">
        <v>45</v>
      </c>
      <c r="P426">
        <v>63</v>
      </c>
      <c r="Q426">
        <v>20</v>
      </c>
      <c r="R426" t="str" cm="1">
        <f t="array" ref="R426">_xlfn.IFS(Q426&gt;70,"Good",Q426&lt;40,"Bad",(Q426&gt;OS464*(Q426&lt;80)),"Ok")</f>
        <v>Bad</v>
      </c>
      <c r="S426">
        <v>55</v>
      </c>
      <c r="T426" t="str" cm="1">
        <f t="array" ref="T426">_xlfn.IFS(S426&gt;50, "High", S426&lt;=50, "Low")</f>
        <v>High</v>
      </c>
      <c r="U426">
        <v>72</v>
      </c>
      <c r="V426">
        <v>0</v>
      </c>
      <c r="W426">
        <v>6</v>
      </c>
      <c r="X426">
        <v>6</v>
      </c>
      <c r="Y426">
        <f t="shared" ca="1" si="6"/>
        <v>91.05204752577643</v>
      </c>
    </row>
    <row r="427" spans="1:25" x14ac:dyDescent="0.3">
      <c r="A427" t="s">
        <v>890</v>
      </c>
      <c r="B427" t="s">
        <v>891</v>
      </c>
      <c r="C427">
        <v>1</v>
      </c>
      <c r="D427" s="1">
        <v>26669</v>
      </c>
      <c r="E427">
        <v>168</v>
      </c>
      <c r="F427">
        <v>0</v>
      </c>
      <c r="G427">
        <v>0</v>
      </c>
      <c r="H427">
        <v>0</v>
      </c>
      <c r="I427">
        <v>5</v>
      </c>
      <c r="J427">
        <v>0</v>
      </c>
      <c r="K427">
        <v>0</v>
      </c>
      <c r="L427">
        <v>838586769</v>
      </c>
      <c r="M427">
        <v>80</v>
      </c>
      <c r="N427" t="s">
        <v>34</v>
      </c>
      <c r="O427" t="s">
        <v>45</v>
      </c>
      <c r="P427">
        <v>39</v>
      </c>
      <c r="Q427">
        <v>24</v>
      </c>
      <c r="R427" t="str" cm="1">
        <f t="array" ref="R427">_xlfn.IFS(Q427&gt;70,"Good",Q427&lt;40,"Bad",(Q427&gt;OS465*(Q427&lt;80)),"Ok")</f>
        <v>Bad</v>
      </c>
      <c r="S427">
        <v>43</v>
      </c>
      <c r="T427" t="str" cm="1">
        <f t="array" ref="T427">_xlfn.IFS(S427&gt;50, "High", S427&lt;=50, "Low")</f>
        <v>Low</v>
      </c>
      <c r="U427">
        <v>39</v>
      </c>
      <c r="V427">
        <v>0</v>
      </c>
      <c r="W427">
        <v>23</v>
      </c>
      <c r="X427">
        <v>3</v>
      </c>
      <c r="Y427">
        <f t="shared" ca="1" si="6"/>
        <v>73.081267091812677</v>
      </c>
    </row>
    <row r="428" spans="1:25" x14ac:dyDescent="0.3">
      <c r="A428" t="s">
        <v>892</v>
      </c>
      <c r="B428" t="s">
        <v>893</v>
      </c>
      <c r="C428">
        <v>1</v>
      </c>
      <c r="D428" s="1">
        <v>44784</v>
      </c>
      <c r="E428">
        <v>688</v>
      </c>
      <c r="F428">
        <v>0</v>
      </c>
      <c r="G428">
        <v>14</v>
      </c>
      <c r="H428">
        <v>1</v>
      </c>
      <c r="I428">
        <v>17</v>
      </c>
      <c r="J428">
        <v>0</v>
      </c>
      <c r="K428">
        <v>2</v>
      </c>
      <c r="L428">
        <v>199386237</v>
      </c>
      <c r="M428">
        <v>75</v>
      </c>
      <c r="N428" t="s">
        <v>27</v>
      </c>
      <c r="O428" t="s">
        <v>45</v>
      </c>
      <c r="P428">
        <v>80</v>
      </c>
      <c r="Q428">
        <v>46</v>
      </c>
      <c r="R428" t="str" cm="1">
        <f t="array" ref="R428">_xlfn.IFS(Q428&gt;70,"Good",Q428&lt;40,"Bad",(Q428&gt;OS466*(Q428&lt;80)),"Ok")</f>
        <v>Ok</v>
      </c>
      <c r="S428">
        <v>62</v>
      </c>
      <c r="T428" t="str" cm="1">
        <f t="array" ref="T428">_xlfn.IFS(S428&gt;50, "High", S428&lt;=50, "Low")</f>
        <v>High</v>
      </c>
      <c r="U428">
        <v>3</v>
      </c>
      <c r="V428">
        <v>6</v>
      </c>
      <c r="W428">
        <v>11</v>
      </c>
      <c r="X428">
        <v>46</v>
      </c>
      <c r="Y428">
        <f t="shared" ca="1" si="6"/>
        <v>7.4709629365978021</v>
      </c>
    </row>
    <row r="429" spans="1:25" x14ac:dyDescent="0.3">
      <c r="A429" t="s">
        <v>894</v>
      </c>
      <c r="B429" t="s">
        <v>895</v>
      </c>
      <c r="C429">
        <v>2</v>
      </c>
      <c r="D429" s="1">
        <v>44407</v>
      </c>
      <c r="E429">
        <v>10565</v>
      </c>
      <c r="F429">
        <v>44</v>
      </c>
      <c r="G429">
        <v>238</v>
      </c>
      <c r="H429">
        <v>122</v>
      </c>
      <c r="I429">
        <v>557</v>
      </c>
      <c r="J429">
        <v>17</v>
      </c>
      <c r="K429">
        <v>58</v>
      </c>
      <c r="L429">
        <v>972509632</v>
      </c>
      <c r="M429">
        <v>121</v>
      </c>
      <c r="N429" t="s">
        <v>65</v>
      </c>
      <c r="O429" t="s">
        <v>45</v>
      </c>
      <c r="P429">
        <v>67</v>
      </c>
      <c r="Q429">
        <v>26</v>
      </c>
      <c r="R429" t="str" cm="1">
        <f t="array" ref="R429">_xlfn.IFS(Q429&gt;70,"Good",Q429&lt;40,"Bad",(Q429&gt;OS467*(Q429&lt;80)),"Ok")</f>
        <v>Bad</v>
      </c>
      <c r="S429">
        <v>64</v>
      </c>
      <c r="T429" t="str" cm="1">
        <f t="array" ref="T429">_xlfn.IFS(S429&gt;50, "High", S429&lt;=50, "Low")</f>
        <v>High</v>
      </c>
      <c r="U429">
        <v>52</v>
      </c>
      <c r="V429">
        <v>0</v>
      </c>
      <c r="W429">
        <v>17</v>
      </c>
      <c r="X429">
        <v>10</v>
      </c>
      <c r="Y429">
        <f t="shared" ca="1" si="6"/>
        <v>10.326541963768076</v>
      </c>
    </row>
    <row r="430" spans="1:25" x14ac:dyDescent="0.3">
      <c r="A430" t="s">
        <v>896</v>
      </c>
      <c r="B430" t="s">
        <v>897</v>
      </c>
      <c r="C430">
        <v>2</v>
      </c>
      <c r="D430" s="1">
        <v>44832</v>
      </c>
      <c r="E430">
        <v>1612</v>
      </c>
      <c r="F430">
        <v>0</v>
      </c>
      <c r="G430">
        <v>34</v>
      </c>
      <c r="H430">
        <v>54</v>
      </c>
      <c r="I430">
        <v>34</v>
      </c>
      <c r="J430">
        <v>0</v>
      </c>
      <c r="K430">
        <v>2</v>
      </c>
      <c r="L430">
        <v>213438580</v>
      </c>
      <c r="M430">
        <v>140</v>
      </c>
      <c r="N430" t="s">
        <v>61</v>
      </c>
      <c r="O430" t="s">
        <v>45</v>
      </c>
      <c r="P430">
        <v>58</v>
      </c>
      <c r="Q430">
        <v>17</v>
      </c>
      <c r="R430" t="str" cm="1">
        <f t="array" ref="R430">_xlfn.IFS(Q430&gt;70,"Good",Q430&lt;40,"Bad",(Q430&gt;OS468*(Q430&lt;80)),"Ok")</f>
        <v>Bad</v>
      </c>
      <c r="S430">
        <v>62</v>
      </c>
      <c r="T430" t="str" cm="1">
        <f t="array" ref="T430">_xlfn.IFS(S430&gt;50, "High", S430&lt;=50, "Low")</f>
        <v>High</v>
      </c>
      <c r="U430">
        <v>18</v>
      </c>
      <c r="V430">
        <v>0</v>
      </c>
      <c r="W430">
        <v>20</v>
      </c>
      <c r="X430">
        <v>8</v>
      </c>
      <c r="Y430">
        <f t="shared" ca="1" si="6"/>
        <v>3.3302326986307862</v>
      </c>
    </row>
    <row r="431" spans="1:25" x14ac:dyDescent="0.3">
      <c r="A431" t="s">
        <v>898</v>
      </c>
      <c r="B431" t="s">
        <v>405</v>
      </c>
      <c r="C431">
        <v>1</v>
      </c>
      <c r="D431" s="1">
        <v>44077</v>
      </c>
      <c r="E431">
        <v>12755</v>
      </c>
      <c r="F431">
        <v>8</v>
      </c>
      <c r="G431">
        <v>344</v>
      </c>
      <c r="H431">
        <v>97</v>
      </c>
      <c r="I431">
        <v>945</v>
      </c>
      <c r="J431">
        <v>15</v>
      </c>
      <c r="L431">
        <v>1555511105</v>
      </c>
      <c r="M431">
        <v>126</v>
      </c>
      <c r="N431" t="s">
        <v>27</v>
      </c>
      <c r="O431" t="s">
        <v>45</v>
      </c>
      <c r="P431">
        <v>81</v>
      </c>
      <c r="Q431">
        <v>59</v>
      </c>
      <c r="R431" t="str" cm="1">
        <f t="array" ref="R431">_xlfn.IFS(Q431&gt;70,"Good",Q431&lt;40,"Bad",(Q431&gt;OS469*(Q431&lt;80)),"Ok")</f>
        <v>Ok</v>
      </c>
      <c r="S431">
        <v>90</v>
      </c>
      <c r="T431" t="str" cm="1">
        <f t="array" ref="T431">_xlfn.IFS(S431&gt;50, "High", S431&lt;=50, "Low")</f>
        <v>High</v>
      </c>
      <c r="U431">
        <v>5</v>
      </c>
      <c r="V431">
        <v>0</v>
      </c>
      <c r="W431">
        <v>36</v>
      </c>
      <c r="X431">
        <v>3</v>
      </c>
      <c r="Y431">
        <f t="shared" ca="1" si="6"/>
        <v>60.538077808866277</v>
      </c>
    </row>
    <row r="432" spans="1:25" x14ac:dyDescent="0.3">
      <c r="A432" t="s">
        <v>899</v>
      </c>
      <c r="B432" t="s">
        <v>900</v>
      </c>
      <c r="C432">
        <v>1</v>
      </c>
      <c r="D432" s="1">
        <v>44846</v>
      </c>
      <c r="E432">
        <v>574</v>
      </c>
      <c r="F432">
        <v>4</v>
      </c>
      <c r="G432">
        <v>38</v>
      </c>
      <c r="H432">
        <v>101</v>
      </c>
      <c r="I432">
        <v>26</v>
      </c>
      <c r="J432">
        <v>0</v>
      </c>
      <c r="K432">
        <v>0</v>
      </c>
      <c r="L432">
        <v>210038833</v>
      </c>
      <c r="M432">
        <v>102</v>
      </c>
      <c r="N432" t="s">
        <v>31</v>
      </c>
      <c r="O432" t="s">
        <v>28</v>
      </c>
      <c r="P432">
        <v>58</v>
      </c>
      <c r="Q432">
        <v>29</v>
      </c>
      <c r="R432" t="str" cm="1">
        <f t="array" ref="R432">_xlfn.IFS(Q432&gt;70,"Good",Q432&lt;40,"Bad",(Q432&gt;OS470*(Q432&lt;80)),"Ok")</f>
        <v>Bad</v>
      </c>
      <c r="S432">
        <v>94</v>
      </c>
      <c r="T432" t="str" cm="1">
        <f t="array" ref="T432">_xlfn.IFS(S432&gt;50, "High", S432&lt;=50, "Low")</f>
        <v>High</v>
      </c>
      <c r="U432">
        <v>0</v>
      </c>
      <c r="V432">
        <v>0</v>
      </c>
      <c r="W432">
        <v>9</v>
      </c>
      <c r="X432">
        <v>11</v>
      </c>
      <c r="Y432">
        <f t="shared" ca="1" si="6"/>
        <v>80.099771332545572</v>
      </c>
    </row>
    <row r="433" spans="1:25" x14ac:dyDescent="0.3">
      <c r="A433" t="s">
        <v>901</v>
      </c>
      <c r="B433" t="s">
        <v>902</v>
      </c>
      <c r="C433">
        <v>1</v>
      </c>
      <c r="D433" s="1">
        <v>44659</v>
      </c>
      <c r="E433">
        <v>2499</v>
      </c>
      <c r="F433">
        <v>0</v>
      </c>
      <c r="G433">
        <v>70</v>
      </c>
      <c r="H433">
        <v>0</v>
      </c>
      <c r="I433">
        <v>49</v>
      </c>
      <c r="J433">
        <v>0</v>
      </c>
      <c r="K433">
        <v>0</v>
      </c>
      <c r="L433">
        <v>227918678</v>
      </c>
      <c r="M433">
        <v>82</v>
      </c>
      <c r="N433" t="s">
        <v>37</v>
      </c>
      <c r="O433" t="s">
        <v>28</v>
      </c>
      <c r="P433">
        <v>70</v>
      </c>
      <c r="Q433">
        <v>31</v>
      </c>
      <c r="R433" t="str" cm="1">
        <f t="array" ref="R433">_xlfn.IFS(Q433&gt;70,"Good",Q433&lt;40,"Bad",(Q433&gt;OS471*(Q433&lt;80)),"Ok")</f>
        <v>Bad</v>
      </c>
      <c r="S433">
        <v>34</v>
      </c>
      <c r="T433" t="str" cm="1">
        <f t="array" ref="T433">_xlfn.IFS(S433&gt;50, "High", S433&lt;=50, "Low")</f>
        <v>Low</v>
      </c>
      <c r="U433">
        <v>60</v>
      </c>
      <c r="V433">
        <v>1</v>
      </c>
      <c r="W433">
        <v>11</v>
      </c>
      <c r="X433">
        <v>4</v>
      </c>
      <c r="Y433">
        <f t="shared" ca="1" si="6"/>
        <v>74.445009058938055</v>
      </c>
    </row>
    <row r="434" spans="1:25" x14ac:dyDescent="0.3">
      <c r="A434" t="s">
        <v>903</v>
      </c>
      <c r="B434" t="s">
        <v>80</v>
      </c>
      <c r="C434">
        <v>1</v>
      </c>
      <c r="D434" s="1">
        <v>44189</v>
      </c>
      <c r="E434">
        <v>10426</v>
      </c>
      <c r="F434">
        <v>2</v>
      </c>
      <c r="G434">
        <v>133</v>
      </c>
      <c r="H434">
        <v>109</v>
      </c>
      <c r="I434">
        <v>182</v>
      </c>
      <c r="J434">
        <v>1</v>
      </c>
      <c r="K434">
        <v>10</v>
      </c>
      <c r="L434">
        <v>826623384</v>
      </c>
      <c r="M434">
        <v>121</v>
      </c>
      <c r="N434" t="s">
        <v>31</v>
      </c>
      <c r="O434" t="s">
        <v>45</v>
      </c>
      <c r="P434">
        <v>46</v>
      </c>
      <c r="Q434">
        <v>53</v>
      </c>
      <c r="R434" t="str" cm="1">
        <f t="array" ref="R434">_xlfn.IFS(Q434&gt;70,"Good",Q434&lt;40,"Bad",(Q434&gt;OS472*(Q434&lt;80)),"Ok")</f>
        <v>Ok</v>
      </c>
      <c r="S434">
        <v>78</v>
      </c>
      <c r="T434" t="str" cm="1">
        <f t="array" ref="T434">_xlfn.IFS(S434&gt;50, "High", S434&lt;=50, "Low")</f>
        <v>High</v>
      </c>
      <c r="U434">
        <v>23</v>
      </c>
      <c r="V434">
        <v>0</v>
      </c>
      <c r="W434">
        <v>72</v>
      </c>
      <c r="X434">
        <v>6</v>
      </c>
      <c r="Y434">
        <f t="shared" ca="1" si="6"/>
        <v>66.466676654356377</v>
      </c>
    </row>
    <row r="435" spans="1:25" x14ac:dyDescent="0.3">
      <c r="A435" t="s">
        <v>272</v>
      </c>
      <c r="B435" t="s">
        <v>904</v>
      </c>
      <c r="C435">
        <v>2</v>
      </c>
      <c r="D435" s="1">
        <v>43917</v>
      </c>
      <c r="E435">
        <v>15894</v>
      </c>
      <c r="F435">
        <v>8</v>
      </c>
      <c r="G435">
        <v>198</v>
      </c>
      <c r="H435">
        <v>13</v>
      </c>
      <c r="I435">
        <v>544</v>
      </c>
      <c r="J435">
        <v>0</v>
      </c>
      <c r="K435">
        <v>60</v>
      </c>
      <c r="L435">
        <v>1802514301</v>
      </c>
      <c r="M435">
        <v>103</v>
      </c>
      <c r="N435" t="s">
        <v>65</v>
      </c>
      <c r="O435" t="s">
        <v>45</v>
      </c>
      <c r="P435">
        <v>70</v>
      </c>
      <c r="Q435">
        <v>92</v>
      </c>
      <c r="R435" t="str" cm="1">
        <f t="array" ref="R435">_xlfn.IFS(Q435&gt;70,"Good",Q435&lt;40,"Bad",(Q435&gt;OS473*(Q435&lt;80)),"Ok")</f>
        <v>Good</v>
      </c>
      <c r="S435">
        <v>83</v>
      </c>
      <c r="T435" t="str" cm="1">
        <f t="array" ref="T435">_xlfn.IFS(S435&gt;50, "High", S435&lt;=50, "Low")</f>
        <v>High</v>
      </c>
      <c r="U435">
        <v>1</v>
      </c>
      <c r="V435">
        <v>0</v>
      </c>
      <c r="W435">
        <v>7</v>
      </c>
      <c r="X435">
        <v>6</v>
      </c>
      <c r="Y435">
        <f t="shared" ca="1" si="6"/>
        <v>31.269264632643758</v>
      </c>
    </row>
    <row r="436" spans="1:25" x14ac:dyDescent="0.3">
      <c r="A436" t="s">
        <v>448</v>
      </c>
      <c r="B436" t="s">
        <v>905</v>
      </c>
      <c r="C436">
        <v>1</v>
      </c>
      <c r="D436" s="1">
        <v>44372</v>
      </c>
      <c r="E436">
        <v>9424</v>
      </c>
      <c r="F436">
        <v>0</v>
      </c>
      <c r="G436">
        <v>202</v>
      </c>
      <c r="H436">
        <v>50</v>
      </c>
      <c r="I436">
        <v>463</v>
      </c>
      <c r="J436">
        <v>4</v>
      </c>
      <c r="L436">
        <v>1329090101</v>
      </c>
      <c r="M436">
        <v>108</v>
      </c>
      <c r="N436" t="s">
        <v>34</v>
      </c>
      <c r="O436" t="s">
        <v>45</v>
      </c>
      <c r="P436">
        <v>82</v>
      </c>
      <c r="Q436">
        <v>88</v>
      </c>
      <c r="R436" t="str" cm="1">
        <f t="array" ref="R436">_xlfn.IFS(Q436&gt;70,"Good",Q436&lt;40,"Bad",(Q436&gt;OS474*(Q436&lt;80)),"Ok")</f>
        <v>Good</v>
      </c>
      <c r="S436">
        <v>76</v>
      </c>
      <c r="T436" t="str" cm="1">
        <f t="array" ref="T436">_xlfn.IFS(S436&gt;50, "High", S436&lt;=50, "Low")</f>
        <v>High</v>
      </c>
      <c r="U436">
        <v>9</v>
      </c>
      <c r="V436">
        <v>0</v>
      </c>
      <c r="W436">
        <v>12</v>
      </c>
      <c r="X436">
        <v>9</v>
      </c>
      <c r="Y436">
        <f t="shared" ca="1" si="6"/>
        <v>86.721487171511384</v>
      </c>
    </row>
    <row r="437" spans="1:25" x14ac:dyDescent="0.3">
      <c r="A437" t="s">
        <v>906</v>
      </c>
      <c r="B437" t="s">
        <v>535</v>
      </c>
      <c r="C437">
        <v>1</v>
      </c>
      <c r="D437" s="1">
        <v>44818</v>
      </c>
      <c r="E437">
        <v>713</v>
      </c>
      <c r="F437">
        <v>7</v>
      </c>
      <c r="G437">
        <v>2</v>
      </c>
      <c r="H437">
        <v>4</v>
      </c>
      <c r="I437">
        <v>6</v>
      </c>
      <c r="J437">
        <v>0</v>
      </c>
      <c r="K437">
        <v>0</v>
      </c>
      <c r="L437">
        <v>181831132</v>
      </c>
      <c r="M437">
        <v>85</v>
      </c>
      <c r="N437" t="s">
        <v>34</v>
      </c>
      <c r="O437" t="s">
        <v>45</v>
      </c>
      <c r="P437">
        <v>65</v>
      </c>
      <c r="Q437">
        <v>36</v>
      </c>
      <c r="R437" t="str" cm="1">
        <f t="array" ref="R437">_xlfn.IFS(Q437&gt;70,"Good",Q437&lt;40,"Bad",(Q437&gt;OS475*(Q437&lt;80)),"Ok")</f>
        <v>Bad</v>
      </c>
      <c r="S437">
        <v>47</v>
      </c>
      <c r="T437" t="str" cm="1">
        <f t="array" ref="T437">_xlfn.IFS(S437&gt;50, "High", S437&lt;=50, "Low")</f>
        <v>Low</v>
      </c>
      <c r="U437">
        <v>31</v>
      </c>
      <c r="V437">
        <v>0</v>
      </c>
      <c r="W437">
        <v>12</v>
      </c>
      <c r="X437">
        <v>10</v>
      </c>
      <c r="Y437">
        <f t="shared" ca="1" si="6"/>
        <v>10.513336257578942</v>
      </c>
    </row>
    <row r="438" spans="1:25" x14ac:dyDescent="0.3">
      <c r="A438" t="s">
        <v>907</v>
      </c>
      <c r="B438" t="s">
        <v>908</v>
      </c>
      <c r="C438">
        <v>2</v>
      </c>
      <c r="D438" s="1">
        <v>44634</v>
      </c>
      <c r="E438">
        <v>7758</v>
      </c>
      <c r="F438">
        <v>28</v>
      </c>
      <c r="G438">
        <v>173</v>
      </c>
      <c r="H438">
        <v>79</v>
      </c>
      <c r="I438">
        <v>175</v>
      </c>
      <c r="J438">
        <v>0</v>
      </c>
      <c r="K438">
        <v>168</v>
      </c>
      <c r="L438">
        <v>462791599</v>
      </c>
      <c r="M438">
        <v>125</v>
      </c>
      <c r="N438" t="s">
        <v>31</v>
      </c>
      <c r="O438" t="s">
        <v>45</v>
      </c>
      <c r="P438">
        <v>84</v>
      </c>
      <c r="Q438">
        <v>70</v>
      </c>
      <c r="R438" t="str" cm="1">
        <f t="array" ref="R438">_xlfn.IFS(Q438&gt;70,"Good",Q438&lt;40,"Bad",(Q438&gt;OS476*(Q438&lt;80)),"Ok")</f>
        <v>Ok</v>
      </c>
      <c r="S438">
        <v>69</v>
      </c>
      <c r="T438" t="str" cm="1">
        <f t="array" ref="T438">_xlfn.IFS(S438&gt;50, "High", S438&lt;=50, "Low")</f>
        <v>High</v>
      </c>
      <c r="U438">
        <v>1</v>
      </c>
      <c r="V438">
        <v>0</v>
      </c>
      <c r="W438">
        <v>5</v>
      </c>
      <c r="X438">
        <v>5</v>
      </c>
      <c r="Y438">
        <f t="shared" ca="1" si="6"/>
        <v>19.193400250705352</v>
      </c>
    </row>
    <row r="439" spans="1:25" x14ac:dyDescent="0.3">
      <c r="A439" t="s">
        <v>909</v>
      </c>
      <c r="B439" t="s">
        <v>36</v>
      </c>
      <c r="C439">
        <v>1</v>
      </c>
      <c r="D439" s="1">
        <v>44855</v>
      </c>
      <c r="E439">
        <v>2537</v>
      </c>
      <c r="F439">
        <v>2</v>
      </c>
      <c r="G439">
        <v>8</v>
      </c>
      <c r="H439">
        <v>18</v>
      </c>
      <c r="I439">
        <v>20</v>
      </c>
      <c r="J439">
        <v>0</v>
      </c>
      <c r="K439">
        <v>1</v>
      </c>
      <c r="L439">
        <v>348647203</v>
      </c>
      <c r="M439">
        <v>120</v>
      </c>
      <c r="N439" t="s">
        <v>61</v>
      </c>
      <c r="O439" t="s">
        <v>28</v>
      </c>
      <c r="P439">
        <v>69</v>
      </c>
      <c r="Q439">
        <v>40</v>
      </c>
      <c r="R439" t="str" cm="1">
        <f t="array" ref="R439">_xlfn.IFS(Q439&gt;70,"Good",Q439&lt;40,"Bad",(Q439&gt;OS477*(Q439&lt;80)),"Ok")</f>
        <v>Ok</v>
      </c>
      <c r="S439">
        <v>39</v>
      </c>
      <c r="T439" t="str" cm="1">
        <f t="array" ref="T439">_xlfn.IFS(S439&gt;50, "High", S439&lt;=50, "Low")</f>
        <v>Low</v>
      </c>
      <c r="U439">
        <v>41</v>
      </c>
      <c r="V439">
        <v>0</v>
      </c>
      <c r="W439">
        <v>13</v>
      </c>
      <c r="X439">
        <v>6</v>
      </c>
      <c r="Y439">
        <f t="shared" ca="1" si="6"/>
        <v>0.41959780456100049</v>
      </c>
    </row>
    <row r="440" spans="1:25" x14ac:dyDescent="0.3">
      <c r="A440" t="s">
        <v>910</v>
      </c>
      <c r="B440" t="s">
        <v>911</v>
      </c>
      <c r="C440">
        <v>3</v>
      </c>
      <c r="D440" s="1">
        <v>44759</v>
      </c>
      <c r="E440">
        <v>292</v>
      </c>
      <c r="F440">
        <v>6</v>
      </c>
      <c r="G440">
        <v>26</v>
      </c>
      <c r="H440">
        <v>98</v>
      </c>
      <c r="I440">
        <v>4</v>
      </c>
      <c r="J440">
        <v>0</v>
      </c>
      <c r="K440">
        <v>0</v>
      </c>
      <c r="L440">
        <v>366599607</v>
      </c>
      <c r="M440">
        <v>94</v>
      </c>
      <c r="O440" t="s">
        <v>28</v>
      </c>
      <c r="P440">
        <v>58</v>
      </c>
      <c r="Q440">
        <v>44</v>
      </c>
      <c r="R440" t="str" cm="1">
        <f t="array" ref="R440">_xlfn.IFS(Q440&gt;70,"Good",Q440&lt;40,"Bad",(Q440&gt;OS478*(Q440&lt;80)),"Ok")</f>
        <v>Ok</v>
      </c>
      <c r="S440">
        <v>57</v>
      </c>
      <c r="T440" t="str" cm="1">
        <f t="array" ref="T440">_xlfn.IFS(S440&gt;50, "High", S440&lt;=50, "Low")</f>
        <v>High</v>
      </c>
      <c r="U440">
        <v>57</v>
      </c>
      <c r="V440">
        <v>0</v>
      </c>
      <c r="W440">
        <v>10</v>
      </c>
      <c r="X440">
        <v>3</v>
      </c>
      <c r="Y440">
        <f t="shared" ca="1" si="6"/>
        <v>45.050127699422127</v>
      </c>
    </row>
    <row r="441" spans="1:25" x14ac:dyDescent="0.3">
      <c r="A441" t="s">
        <v>912</v>
      </c>
      <c r="B441" t="s">
        <v>913</v>
      </c>
      <c r="C441">
        <v>3</v>
      </c>
      <c r="D441" s="1">
        <v>10959</v>
      </c>
      <c r="E441">
        <v>323</v>
      </c>
      <c r="F441">
        <v>0</v>
      </c>
      <c r="G441">
        <v>4</v>
      </c>
      <c r="H441">
        <v>0</v>
      </c>
      <c r="I441">
        <v>14</v>
      </c>
      <c r="J441">
        <v>0</v>
      </c>
      <c r="K441">
        <v>0</v>
      </c>
      <c r="L441">
        <v>90598517</v>
      </c>
      <c r="M441">
        <v>130</v>
      </c>
      <c r="N441" t="s">
        <v>65</v>
      </c>
      <c r="O441" t="s">
        <v>45</v>
      </c>
      <c r="P441">
        <v>65</v>
      </c>
      <c r="Q441">
        <v>49</v>
      </c>
      <c r="R441" t="str" cm="1">
        <f t="array" ref="R441">_xlfn.IFS(Q441&gt;70,"Good",Q441&lt;40,"Bad",(Q441&gt;OS479*(Q441&lt;80)),"Ok")</f>
        <v>Ok</v>
      </c>
      <c r="S441">
        <v>80</v>
      </c>
      <c r="T441" t="str" cm="1">
        <f t="array" ref="T441">_xlfn.IFS(S441&gt;50, "High", S441&lt;=50, "Low")</f>
        <v>High</v>
      </c>
      <c r="U441">
        <v>22</v>
      </c>
      <c r="V441">
        <v>4</v>
      </c>
      <c r="W441">
        <v>7</v>
      </c>
      <c r="X441">
        <v>5</v>
      </c>
      <c r="Y441">
        <f t="shared" ca="1" si="6"/>
        <v>37.723052108334024</v>
      </c>
    </row>
    <row r="442" spans="1:25" x14ac:dyDescent="0.3">
      <c r="A442" t="s">
        <v>914</v>
      </c>
      <c r="B442" t="s">
        <v>915</v>
      </c>
      <c r="C442">
        <v>2</v>
      </c>
      <c r="D442" s="1">
        <v>40909</v>
      </c>
      <c r="E442">
        <v>14143</v>
      </c>
      <c r="F442">
        <v>4</v>
      </c>
      <c r="G442">
        <v>56</v>
      </c>
      <c r="H442">
        <v>38</v>
      </c>
      <c r="I442" s="2">
        <v>1891</v>
      </c>
      <c r="J442">
        <v>1</v>
      </c>
      <c r="L442">
        <v>1479264469</v>
      </c>
      <c r="M442">
        <v>110</v>
      </c>
      <c r="N442" t="s">
        <v>134</v>
      </c>
      <c r="O442" t="s">
        <v>28</v>
      </c>
      <c r="P442">
        <v>74</v>
      </c>
      <c r="Q442">
        <v>51</v>
      </c>
      <c r="R442" t="str" cm="1">
        <f t="array" ref="R442">_xlfn.IFS(Q442&gt;70,"Good",Q442&lt;40,"Bad",(Q442&gt;OS480*(Q442&lt;80)),"Ok")</f>
        <v>Ok</v>
      </c>
      <c r="S442">
        <v>74</v>
      </c>
      <c r="T442" t="str" cm="1">
        <f t="array" ref="T442">_xlfn.IFS(S442&gt;50, "High", S442&lt;=50, "Low")</f>
        <v>High</v>
      </c>
      <c r="U442">
        <v>2</v>
      </c>
      <c r="V442">
        <v>0</v>
      </c>
      <c r="W442">
        <v>29</v>
      </c>
      <c r="X442">
        <v>4</v>
      </c>
      <c r="Y442">
        <f t="shared" ca="1" si="6"/>
        <v>95.042699210021638</v>
      </c>
    </row>
    <row r="443" spans="1:25" x14ac:dyDescent="0.3">
      <c r="A443" t="s">
        <v>916</v>
      </c>
      <c r="B443" t="s">
        <v>917</v>
      </c>
      <c r="C443">
        <v>1</v>
      </c>
      <c r="D443" s="1">
        <v>34635</v>
      </c>
      <c r="E443">
        <v>25653</v>
      </c>
      <c r="F443">
        <v>0</v>
      </c>
      <c r="G443">
        <v>387</v>
      </c>
      <c r="H443">
        <v>132</v>
      </c>
      <c r="I443" s="2">
        <v>2094</v>
      </c>
      <c r="J443">
        <v>0</v>
      </c>
      <c r="L443">
        <v>1449779435</v>
      </c>
      <c r="M443">
        <v>150</v>
      </c>
      <c r="N443" t="s">
        <v>94</v>
      </c>
      <c r="O443" t="s">
        <v>28</v>
      </c>
      <c r="P443">
        <v>34</v>
      </c>
      <c r="Q443">
        <v>33</v>
      </c>
      <c r="R443" t="str" cm="1">
        <f t="array" ref="R443">_xlfn.IFS(Q443&gt;70,"Good",Q443&lt;40,"Bad",(Q443&gt;OS481*(Q443&lt;80)),"Ok")</f>
        <v>Bad</v>
      </c>
      <c r="S443">
        <v>63</v>
      </c>
      <c r="T443" t="str" cm="1">
        <f t="array" ref="T443">_xlfn.IFS(S443&gt;50, "High", S443&lt;=50, "Low")</f>
        <v>High</v>
      </c>
      <c r="U443">
        <v>16</v>
      </c>
      <c r="V443">
        <v>0</v>
      </c>
      <c r="W443">
        <v>7</v>
      </c>
      <c r="X443">
        <v>4</v>
      </c>
      <c r="Y443">
        <f t="shared" ca="1" si="6"/>
        <v>99.948338218197975</v>
      </c>
    </row>
    <row r="444" spans="1:25" x14ac:dyDescent="0.3">
      <c r="A444" t="s">
        <v>58</v>
      </c>
      <c r="B444" t="s">
        <v>918</v>
      </c>
      <c r="C444">
        <v>1</v>
      </c>
      <c r="D444" s="1">
        <v>30682</v>
      </c>
      <c r="E444">
        <v>22153</v>
      </c>
      <c r="F444">
        <v>0</v>
      </c>
      <c r="G444">
        <v>274</v>
      </c>
      <c r="H444">
        <v>111</v>
      </c>
      <c r="I444" s="2">
        <v>1302</v>
      </c>
      <c r="J444">
        <v>0</v>
      </c>
      <c r="L444">
        <v>1159176109</v>
      </c>
      <c r="M444">
        <v>107</v>
      </c>
      <c r="N444" t="s">
        <v>27</v>
      </c>
      <c r="O444" t="s">
        <v>45</v>
      </c>
      <c r="P444">
        <v>74</v>
      </c>
      <c r="Q444">
        <v>88</v>
      </c>
      <c r="R444" t="str" cm="1">
        <f t="array" ref="R444">_xlfn.IFS(Q444&gt;70,"Good",Q444&lt;40,"Bad",(Q444&gt;OS482*(Q444&lt;80)),"Ok")</f>
        <v>Good</v>
      </c>
      <c r="S444">
        <v>65</v>
      </c>
      <c r="T444" t="str" cm="1">
        <f t="array" ref="T444">_xlfn.IFS(S444&gt;50, "High", S444&lt;=50, "Low")</f>
        <v>High</v>
      </c>
      <c r="U444">
        <v>28</v>
      </c>
      <c r="V444">
        <v>0</v>
      </c>
      <c r="W444">
        <v>46</v>
      </c>
      <c r="X444">
        <v>3</v>
      </c>
      <c r="Y444">
        <f t="shared" ca="1" si="6"/>
        <v>44.653169678234818</v>
      </c>
    </row>
    <row r="445" spans="1:25" x14ac:dyDescent="0.3">
      <c r="A445" t="s">
        <v>919</v>
      </c>
      <c r="B445" t="s">
        <v>920</v>
      </c>
      <c r="C445">
        <v>1</v>
      </c>
      <c r="D445" s="1">
        <v>21186</v>
      </c>
      <c r="E445">
        <v>14994</v>
      </c>
      <c r="F445">
        <v>0</v>
      </c>
      <c r="G445">
        <v>191</v>
      </c>
      <c r="H445">
        <v>168</v>
      </c>
      <c r="I445">
        <v>206</v>
      </c>
      <c r="J445">
        <v>0</v>
      </c>
      <c r="L445">
        <v>769213520</v>
      </c>
      <c r="M445">
        <v>140</v>
      </c>
      <c r="N445" t="s">
        <v>81</v>
      </c>
      <c r="O445" t="s">
        <v>28</v>
      </c>
      <c r="P445">
        <v>70</v>
      </c>
      <c r="Q445">
        <v>85</v>
      </c>
      <c r="R445" t="str" cm="1">
        <f t="array" ref="R445">_xlfn.IFS(Q445&gt;70,"Good",Q445&lt;40,"Bad",(Q445&gt;OS483*(Q445&lt;80)),"Ok")</f>
        <v>Good</v>
      </c>
      <c r="S445">
        <v>41</v>
      </c>
      <c r="T445" t="str" cm="1">
        <f t="array" ref="T445">_xlfn.IFS(S445&gt;50, "High", S445&lt;=50, "Low")</f>
        <v>Low</v>
      </c>
      <c r="U445">
        <v>71</v>
      </c>
      <c r="V445">
        <v>0</v>
      </c>
      <c r="W445">
        <v>45</v>
      </c>
      <c r="X445">
        <v>5</v>
      </c>
      <c r="Y445">
        <f t="shared" ca="1" si="6"/>
        <v>23.234082429843241</v>
      </c>
    </row>
    <row r="446" spans="1:25" x14ac:dyDescent="0.3">
      <c r="A446" t="s">
        <v>921</v>
      </c>
      <c r="B446" t="s">
        <v>922</v>
      </c>
      <c r="C446">
        <v>1</v>
      </c>
      <c r="D446" s="1">
        <v>20821</v>
      </c>
      <c r="E446">
        <v>10326</v>
      </c>
      <c r="F446">
        <v>0</v>
      </c>
      <c r="G446">
        <v>165</v>
      </c>
      <c r="H446">
        <v>99</v>
      </c>
      <c r="I446">
        <v>104</v>
      </c>
      <c r="J446">
        <v>0</v>
      </c>
      <c r="L446">
        <v>741301563</v>
      </c>
      <c r="M446">
        <v>119</v>
      </c>
      <c r="N446" t="s">
        <v>61</v>
      </c>
      <c r="O446" t="s">
        <v>28</v>
      </c>
      <c r="P446">
        <v>74</v>
      </c>
      <c r="Q446">
        <v>78</v>
      </c>
      <c r="R446" t="str" cm="1">
        <f t="array" ref="R446">_xlfn.IFS(Q446&gt;70,"Good",Q446&lt;40,"Bad",(Q446&gt;OS484*(Q446&lt;80)),"Ok")</f>
        <v>Good</v>
      </c>
      <c r="S446">
        <v>37</v>
      </c>
      <c r="T446" t="str" cm="1">
        <f t="array" ref="T446">_xlfn.IFS(S446&gt;50, "High", S446&lt;=50, "Low")</f>
        <v>Low</v>
      </c>
      <c r="U446">
        <v>84</v>
      </c>
      <c r="V446">
        <v>0</v>
      </c>
      <c r="W446">
        <v>6</v>
      </c>
      <c r="X446">
        <v>3</v>
      </c>
      <c r="Y446">
        <f t="shared" ca="1" si="6"/>
        <v>35.794386634773566</v>
      </c>
    </row>
    <row r="447" spans="1:25" x14ac:dyDescent="0.3">
      <c r="A447" t="s">
        <v>923</v>
      </c>
      <c r="B447" t="s">
        <v>924</v>
      </c>
      <c r="C447">
        <v>1</v>
      </c>
      <c r="D447" s="1">
        <v>40830</v>
      </c>
      <c r="E447">
        <v>12353</v>
      </c>
      <c r="F447">
        <v>0</v>
      </c>
      <c r="G447">
        <v>35</v>
      </c>
      <c r="H447">
        <v>0</v>
      </c>
      <c r="I447">
        <v>549</v>
      </c>
      <c r="J447">
        <v>0</v>
      </c>
      <c r="K447">
        <v>0</v>
      </c>
      <c r="L447">
        <v>807561936</v>
      </c>
      <c r="M447">
        <v>93</v>
      </c>
      <c r="N447" t="s">
        <v>134</v>
      </c>
      <c r="O447" t="s">
        <v>28</v>
      </c>
      <c r="P447">
        <v>35</v>
      </c>
      <c r="Q447">
        <v>38</v>
      </c>
      <c r="R447" t="str" cm="1">
        <f t="array" ref="R447">_xlfn.IFS(Q447&gt;70,"Good",Q447&lt;40,"Bad",(Q447&gt;OS485*(Q447&lt;80)),"Ok")</f>
        <v>Bad</v>
      </c>
      <c r="S447">
        <v>23</v>
      </c>
      <c r="T447" t="str" cm="1">
        <f t="array" ref="T447">_xlfn.IFS(S447&gt;50, "High", S447&lt;=50, "Low")</f>
        <v>Low</v>
      </c>
      <c r="U447">
        <v>91</v>
      </c>
      <c r="V447">
        <v>0</v>
      </c>
      <c r="W447">
        <v>29</v>
      </c>
      <c r="X447">
        <v>3</v>
      </c>
      <c r="Y447">
        <f t="shared" ca="1" si="6"/>
        <v>89.078902927222487</v>
      </c>
    </row>
    <row r="448" spans="1:25" x14ac:dyDescent="0.3">
      <c r="A448" t="s">
        <v>925</v>
      </c>
      <c r="B448" t="s">
        <v>926</v>
      </c>
      <c r="C448">
        <v>1</v>
      </c>
      <c r="D448" s="1">
        <v>41621</v>
      </c>
      <c r="E448">
        <v>9408</v>
      </c>
      <c r="F448">
        <v>0</v>
      </c>
      <c r="G448">
        <v>231</v>
      </c>
      <c r="H448">
        <v>106</v>
      </c>
      <c r="I448">
        <v>439</v>
      </c>
      <c r="J448">
        <v>0</v>
      </c>
      <c r="L448">
        <v>834129063</v>
      </c>
      <c r="M448">
        <v>133</v>
      </c>
      <c r="N448" t="s">
        <v>94</v>
      </c>
      <c r="O448" t="s">
        <v>28</v>
      </c>
      <c r="P448">
        <v>46</v>
      </c>
      <c r="Q448">
        <v>53</v>
      </c>
      <c r="R448" t="str" cm="1">
        <f t="array" ref="R448">_xlfn.IFS(Q448&gt;70,"Good",Q448&lt;40,"Bad",(Q448&gt;OS486*(Q448&lt;80)),"Ok")</f>
        <v>Ok</v>
      </c>
      <c r="S448">
        <v>63</v>
      </c>
      <c r="T448" t="str" cm="1">
        <f t="array" ref="T448">_xlfn.IFS(S448&gt;50, "High", S448&lt;=50, "Low")</f>
        <v>High</v>
      </c>
      <c r="U448">
        <v>5</v>
      </c>
      <c r="V448">
        <v>0</v>
      </c>
      <c r="W448">
        <v>30</v>
      </c>
      <c r="X448">
        <v>18</v>
      </c>
      <c r="Y448">
        <f t="shared" ca="1" si="6"/>
        <v>0.57793474339079554</v>
      </c>
    </row>
    <row r="449" spans="1:25" x14ac:dyDescent="0.3">
      <c r="A449" t="s">
        <v>397</v>
      </c>
      <c r="B449" t="s">
        <v>927</v>
      </c>
      <c r="C449">
        <v>1</v>
      </c>
      <c r="D449" s="1">
        <v>23298</v>
      </c>
      <c r="E449">
        <v>8879</v>
      </c>
      <c r="F449">
        <v>0</v>
      </c>
      <c r="G449">
        <v>182</v>
      </c>
      <c r="H449">
        <v>107</v>
      </c>
      <c r="I449">
        <v>160</v>
      </c>
      <c r="J449">
        <v>0</v>
      </c>
      <c r="K449">
        <v>1</v>
      </c>
      <c r="L449">
        <v>663832097</v>
      </c>
      <c r="M449">
        <v>202</v>
      </c>
      <c r="N449" t="s">
        <v>94</v>
      </c>
      <c r="O449" t="s">
        <v>28</v>
      </c>
      <c r="P449">
        <v>24</v>
      </c>
      <c r="Q449">
        <v>76</v>
      </c>
      <c r="R449" t="str" cm="1">
        <f t="array" ref="R449">_xlfn.IFS(Q449&gt;70,"Good",Q449&lt;40,"Bad",(Q449&gt;OS487*(Q449&lt;80)),"Ok")</f>
        <v>Good</v>
      </c>
      <c r="S449">
        <v>60</v>
      </c>
      <c r="T449" t="str" cm="1">
        <f t="array" ref="T449">_xlfn.IFS(S449&gt;50, "High", S449&lt;=50, "Low")</f>
        <v>High</v>
      </c>
      <c r="U449">
        <v>77</v>
      </c>
      <c r="V449">
        <v>0</v>
      </c>
      <c r="W449">
        <v>12</v>
      </c>
      <c r="X449">
        <v>4</v>
      </c>
      <c r="Y449">
        <f t="shared" ca="1" si="6"/>
        <v>77.959790386492074</v>
      </c>
    </row>
    <row r="450" spans="1:25" x14ac:dyDescent="0.3">
      <c r="A450" t="s">
        <v>928</v>
      </c>
      <c r="B450" t="s">
        <v>929</v>
      </c>
      <c r="C450">
        <v>1</v>
      </c>
      <c r="D450" s="1">
        <v>21870</v>
      </c>
      <c r="E450">
        <v>6512</v>
      </c>
      <c r="F450">
        <v>0</v>
      </c>
      <c r="G450">
        <v>88</v>
      </c>
      <c r="H450">
        <v>1</v>
      </c>
      <c r="I450">
        <v>277</v>
      </c>
      <c r="J450">
        <v>0</v>
      </c>
      <c r="K450">
        <v>0</v>
      </c>
      <c r="L450">
        <v>446390129</v>
      </c>
      <c r="M450">
        <v>134</v>
      </c>
      <c r="N450" t="s">
        <v>31</v>
      </c>
      <c r="O450" t="s">
        <v>28</v>
      </c>
      <c r="P450">
        <v>45</v>
      </c>
      <c r="Q450">
        <v>72</v>
      </c>
      <c r="R450" t="str" cm="1">
        <f t="array" ref="R450">_xlfn.IFS(Q450&gt;70,"Good",Q450&lt;40,"Bad",(Q450&gt;OS488*(Q450&lt;80)),"Ok")</f>
        <v>Good</v>
      </c>
      <c r="S450">
        <v>24</v>
      </c>
      <c r="T450" t="str" cm="1">
        <f t="array" ref="T450">_xlfn.IFS(S450&gt;50, "High", S450&lt;=50, "Low")</f>
        <v>Low</v>
      </c>
      <c r="U450">
        <v>91</v>
      </c>
      <c r="V450">
        <v>0</v>
      </c>
      <c r="W450">
        <v>18</v>
      </c>
      <c r="X450">
        <v>4</v>
      </c>
      <c r="Y450">
        <f t="shared" ref="Y450:Y513" ca="1" si="7">RAND()*100</f>
        <v>77.707791404526574</v>
      </c>
    </row>
    <row r="451" spans="1:25" x14ac:dyDescent="0.3">
      <c r="A451" t="s">
        <v>930</v>
      </c>
      <c r="B451" t="s">
        <v>630</v>
      </c>
      <c r="C451">
        <v>1</v>
      </c>
      <c r="D451" s="1">
        <v>42736</v>
      </c>
      <c r="E451">
        <v>5140</v>
      </c>
      <c r="F451">
        <v>0</v>
      </c>
      <c r="G451">
        <v>85</v>
      </c>
      <c r="H451">
        <v>110</v>
      </c>
      <c r="I451">
        <v>500</v>
      </c>
      <c r="J451">
        <v>0</v>
      </c>
      <c r="L451">
        <v>690104769</v>
      </c>
      <c r="M451">
        <v>105</v>
      </c>
      <c r="N451" t="s">
        <v>31</v>
      </c>
      <c r="O451" t="s">
        <v>28</v>
      </c>
      <c r="P451">
        <v>72</v>
      </c>
      <c r="Q451">
        <v>33</v>
      </c>
      <c r="R451" t="str" cm="1">
        <f t="array" ref="R451">_xlfn.IFS(Q451&gt;70,"Good",Q451&lt;40,"Bad",(Q451&gt;OS489*(Q451&lt;80)),"Ok")</f>
        <v>Bad</v>
      </c>
      <c r="S451">
        <v>51</v>
      </c>
      <c r="T451" t="str" cm="1">
        <f t="array" ref="T451">_xlfn.IFS(S451&gt;50, "High", S451&lt;=50, "Low")</f>
        <v>High</v>
      </c>
      <c r="U451">
        <v>48</v>
      </c>
      <c r="V451">
        <v>0</v>
      </c>
      <c r="W451">
        <v>9</v>
      </c>
      <c r="X451">
        <v>3</v>
      </c>
      <c r="Y451">
        <f t="shared" ca="1" si="7"/>
        <v>3.1831792950629545</v>
      </c>
    </row>
    <row r="452" spans="1:25" x14ac:dyDescent="0.3">
      <c r="A452" t="s">
        <v>931</v>
      </c>
      <c r="B452" t="s">
        <v>932</v>
      </c>
      <c r="C452">
        <v>1</v>
      </c>
      <c r="D452" s="1">
        <v>41572</v>
      </c>
      <c r="E452">
        <v>6596</v>
      </c>
      <c r="F452">
        <v>0</v>
      </c>
      <c r="G452">
        <v>144</v>
      </c>
      <c r="H452">
        <v>99</v>
      </c>
      <c r="I452">
        <v>251</v>
      </c>
      <c r="J452">
        <v>0</v>
      </c>
      <c r="K452">
        <v>0</v>
      </c>
      <c r="L452">
        <v>485285717</v>
      </c>
      <c r="M452">
        <v>160</v>
      </c>
      <c r="N452" t="s">
        <v>81</v>
      </c>
      <c r="O452" t="s">
        <v>28</v>
      </c>
      <c r="P452">
        <v>51</v>
      </c>
      <c r="Q452">
        <v>69</v>
      </c>
      <c r="R452" t="str" cm="1">
        <f t="array" ref="R452">_xlfn.IFS(Q452&gt;70,"Good",Q452&lt;40,"Bad",(Q452&gt;OS490*(Q452&lt;80)),"Ok")</f>
        <v>Ok</v>
      </c>
      <c r="S452">
        <v>81</v>
      </c>
      <c r="T452" t="str" cm="1">
        <f t="array" ref="T452">_xlfn.IFS(S452&gt;50, "High", S452&lt;=50, "Low")</f>
        <v>High</v>
      </c>
      <c r="U452">
        <v>0</v>
      </c>
      <c r="V452">
        <v>0</v>
      </c>
      <c r="W452">
        <v>21</v>
      </c>
      <c r="X452">
        <v>5</v>
      </c>
      <c r="Y452">
        <f t="shared" ca="1" si="7"/>
        <v>27.355261440380364</v>
      </c>
    </row>
    <row r="453" spans="1:25" x14ac:dyDescent="0.3">
      <c r="A453" t="s">
        <v>568</v>
      </c>
      <c r="B453" t="s">
        <v>933</v>
      </c>
      <c r="C453">
        <v>1</v>
      </c>
      <c r="D453" s="1">
        <v>25873</v>
      </c>
      <c r="E453">
        <v>3788</v>
      </c>
      <c r="F453">
        <v>0</v>
      </c>
      <c r="G453">
        <v>21</v>
      </c>
      <c r="H453">
        <v>3</v>
      </c>
      <c r="I453">
        <v>10</v>
      </c>
      <c r="J453">
        <v>0</v>
      </c>
      <c r="K453">
        <v>0</v>
      </c>
      <c r="L453">
        <v>520034544</v>
      </c>
      <c r="M453">
        <v>148</v>
      </c>
      <c r="N453" t="s">
        <v>61</v>
      </c>
      <c r="O453" t="s">
        <v>28</v>
      </c>
      <c r="P453">
        <v>50</v>
      </c>
      <c r="Q453">
        <v>96</v>
      </c>
      <c r="R453" t="str" cm="1">
        <f t="array" ref="R453">_xlfn.IFS(Q453&gt;70,"Good",Q453&lt;40,"Bad",(Q453&gt;OS491*(Q453&lt;80)),"Ok")</f>
        <v>Good</v>
      </c>
      <c r="S453">
        <v>82</v>
      </c>
      <c r="T453" t="str" cm="1">
        <f t="array" ref="T453">_xlfn.IFS(S453&gt;50, "High", S453&lt;=50, "Low")</f>
        <v>High</v>
      </c>
      <c r="U453">
        <v>47</v>
      </c>
      <c r="V453">
        <v>0</v>
      </c>
      <c r="W453">
        <v>34</v>
      </c>
      <c r="X453">
        <v>4</v>
      </c>
      <c r="Y453">
        <f t="shared" ca="1" si="7"/>
        <v>27.443768164418447</v>
      </c>
    </row>
    <row r="454" spans="1:25" x14ac:dyDescent="0.3">
      <c r="A454" t="s">
        <v>934</v>
      </c>
      <c r="B454" t="s">
        <v>924</v>
      </c>
      <c r="C454">
        <v>1</v>
      </c>
      <c r="D454" s="1">
        <v>40830</v>
      </c>
      <c r="E454">
        <v>7655</v>
      </c>
      <c r="F454">
        <v>0</v>
      </c>
      <c r="G454">
        <v>5</v>
      </c>
      <c r="H454">
        <v>0</v>
      </c>
      <c r="I454">
        <v>291</v>
      </c>
      <c r="J454">
        <v>0</v>
      </c>
      <c r="K454">
        <v>0</v>
      </c>
      <c r="L454">
        <v>476244795</v>
      </c>
      <c r="M454">
        <v>151</v>
      </c>
      <c r="N454" t="s">
        <v>94</v>
      </c>
      <c r="O454" t="s">
        <v>28</v>
      </c>
      <c r="P454">
        <v>65</v>
      </c>
      <c r="Q454">
        <v>70</v>
      </c>
      <c r="R454" t="str" cm="1">
        <f t="array" ref="R454">_xlfn.IFS(Q454&gt;70,"Good",Q454&lt;40,"Bad",(Q454&gt;OS492*(Q454&lt;80)),"Ok")</f>
        <v>Ok</v>
      </c>
      <c r="S454">
        <v>47</v>
      </c>
      <c r="T454" t="str" cm="1">
        <f t="array" ref="T454">_xlfn.IFS(S454&gt;50, "High", S454&lt;=50, "Low")</f>
        <v>Low</v>
      </c>
      <c r="U454">
        <v>87</v>
      </c>
      <c r="V454">
        <v>0</v>
      </c>
      <c r="W454">
        <v>9</v>
      </c>
      <c r="X454">
        <v>4</v>
      </c>
      <c r="Y454">
        <f t="shared" ca="1" si="7"/>
        <v>21.407758524398723</v>
      </c>
    </row>
    <row r="455" spans="1:25" x14ac:dyDescent="0.3">
      <c r="A455" t="s">
        <v>217</v>
      </c>
      <c r="B455" t="s">
        <v>451</v>
      </c>
      <c r="C455">
        <v>1</v>
      </c>
      <c r="D455" s="1">
        <v>40544</v>
      </c>
      <c r="E455">
        <v>9577</v>
      </c>
      <c r="F455">
        <v>0</v>
      </c>
      <c r="G455">
        <v>195</v>
      </c>
      <c r="H455">
        <v>111</v>
      </c>
      <c r="I455">
        <v>310</v>
      </c>
      <c r="J455">
        <v>0</v>
      </c>
      <c r="K455">
        <v>0</v>
      </c>
      <c r="L455">
        <v>629173063</v>
      </c>
      <c r="M455">
        <v>162</v>
      </c>
      <c r="N455" t="s">
        <v>65</v>
      </c>
      <c r="O455" t="s">
        <v>45</v>
      </c>
      <c r="P455">
        <v>67</v>
      </c>
      <c r="Q455">
        <v>88</v>
      </c>
      <c r="R455" t="str" cm="1">
        <f t="array" ref="R455">_xlfn.IFS(Q455&gt;70,"Good",Q455&lt;40,"Bad",(Q455&gt;OS493*(Q455&lt;80)),"Ok")</f>
        <v>Good</v>
      </c>
      <c r="S455">
        <v>54</v>
      </c>
      <c r="T455" t="str" cm="1">
        <f t="array" ref="T455">_xlfn.IFS(S455&gt;50, "High", S455&lt;=50, "Low")</f>
        <v>High</v>
      </c>
      <c r="U455">
        <v>51</v>
      </c>
      <c r="V455">
        <v>0</v>
      </c>
      <c r="W455">
        <v>9</v>
      </c>
      <c r="X455">
        <v>4</v>
      </c>
      <c r="Y455">
        <f t="shared" ca="1" si="7"/>
        <v>51.853424185115706</v>
      </c>
    </row>
    <row r="456" spans="1:25" x14ac:dyDescent="0.3">
      <c r="A456" t="s">
        <v>369</v>
      </c>
      <c r="B456" t="s">
        <v>935</v>
      </c>
      <c r="C456">
        <v>1</v>
      </c>
      <c r="D456" s="1">
        <v>23337</v>
      </c>
      <c r="E456">
        <v>10114</v>
      </c>
      <c r="F456">
        <v>0</v>
      </c>
      <c r="G456">
        <v>114</v>
      </c>
      <c r="H456">
        <v>74</v>
      </c>
      <c r="I456">
        <v>262</v>
      </c>
      <c r="J456">
        <v>0</v>
      </c>
      <c r="K456">
        <v>0</v>
      </c>
      <c r="L456">
        <v>404664135</v>
      </c>
      <c r="M456">
        <v>92</v>
      </c>
      <c r="N456" t="s">
        <v>61</v>
      </c>
      <c r="O456" t="s">
        <v>28</v>
      </c>
      <c r="P456">
        <v>53</v>
      </c>
      <c r="Q456">
        <v>84</v>
      </c>
      <c r="R456" t="str" cm="1">
        <f t="array" ref="R456">_xlfn.IFS(Q456&gt;70,"Good",Q456&lt;40,"Bad",(Q456&gt;OS494*(Q456&lt;80)),"Ok")</f>
        <v>Good</v>
      </c>
      <c r="S456">
        <v>77</v>
      </c>
      <c r="T456" t="str" cm="1">
        <f t="array" ref="T456">_xlfn.IFS(S456&gt;50, "High", S456&lt;=50, "Low")</f>
        <v>High</v>
      </c>
      <c r="U456">
        <v>40</v>
      </c>
      <c r="V456">
        <v>0</v>
      </c>
      <c r="W456">
        <v>32</v>
      </c>
      <c r="X456">
        <v>3</v>
      </c>
      <c r="Y456">
        <f t="shared" ca="1" si="7"/>
        <v>74.151111108432005</v>
      </c>
    </row>
    <row r="457" spans="1:25" x14ac:dyDescent="0.3">
      <c r="A457" t="s">
        <v>936</v>
      </c>
      <c r="B457" t="s">
        <v>80</v>
      </c>
      <c r="C457">
        <v>1</v>
      </c>
      <c r="D457" s="1">
        <v>44904</v>
      </c>
      <c r="E457">
        <v>1007</v>
      </c>
      <c r="F457">
        <v>0</v>
      </c>
      <c r="G457">
        <v>5</v>
      </c>
      <c r="H457">
        <v>31</v>
      </c>
      <c r="I457">
        <v>1</v>
      </c>
      <c r="J457">
        <v>0</v>
      </c>
      <c r="K457">
        <v>0</v>
      </c>
      <c r="L457">
        <v>98709329</v>
      </c>
      <c r="M457">
        <v>152</v>
      </c>
      <c r="N457" t="s">
        <v>31</v>
      </c>
      <c r="O457" t="s">
        <v>28</v>
      </c>
      <c r="P457">
        <v>65</v>
      </c>
      <c r="Q457">
        <v>35</v>
      </c>
      <c r="R457" t="str" cm="1">
        <f t="array" ref="R457">_xlfn.IFS(Q457&gt;70,"Good",Q457&lt;40,"Bad",(Q457&gt;OS495*(Q457&lt;80)),"Ok")</f>
        <v>Bad</v>
      </c>
      <c r="S457">
        <v>65</v>
      </c>
      <c r="T457" t="str" cm="1">
        <f t="array" ref="T457">_xlfn.IFS(S457&gt;50, "High", S457&lt;=50, "Low")</f>
        <v>High</v>
      </c>
      <c r="U457">
        <v>44</v>
      </c>
      <c r="V457">
        <v>18</v>
      </c>
      <c r="W457">
        <v>21</v>
      </c>
      <c r="X457">
        <v>7</v>
      </c>
      <c r="Y457">
        <f t="shared" ca="1" si="7"/>
        <v>0.90870457028087159</v>
      </c>
    </row>
    <row r="458" spans="1:25" x14ac:dyDescent="0.3">
      <c r="A458" t="s">
        <v>937</v>
      </c>
      <c r="B458" t="s">
        <v>80</v>
      </c>
      <c r="C458">
        <v>1</v>
      </c>
      <c r="D458" s="1">
        <v>44904</v>
      </c>
      <c r="E458">
        <v>1127</v>
      </c>
      <c r="F458">
        <v>0</v>
      </c>
      <c r="G458">
        <v>16</v>
      </c>
      <c r="H458">
        <v>63</v>
      </c>
      <c r="I458">
        <v>8</v>
      </c>
      <c r="J458">
        <v>0</v>
      </c>
      <c r="K458">
        <v>0</v>
      </c>
      <c r="L458">
        <v>110849052</v>
      </c>
      <c r="M458">
        <v>65</v>
      </c>
      <c r="N458" t="s">
        <v>37</v>
      </c>
      <c r="O458" t="s">
        <v>45</v>
      </c>
      <c r="P458">
        <v>71</v>
      </c>
      <c r="Q458">
        <v>55</v>
      </c>
      <c r="R458" t="str" cm="1">
        <f t="array" ref="R458">_xlfn.IFS(Q458&gt;70,"Good",Q458&lt;40,"Bad",(Q458&gt;OS496*(Q458&lt;80)),"Ok")</f>
        <v>Ok</v>
      </c>
      <c r="S458">
        <v>26</v>
      </c>
      <c r="T458" t="str" cm="1">
        <f t="array" ref="T458">_xlfn.IFS(S458&gt;50, "High", S458&lt;=50, "Low")</f>
        <v>Low</v>
      </c>
      <c r="U458">
        <v>85</v>
      </c>
      <c r="V458">
        <v>0</v>
      </c>
      <c r="W458">
        <v>13</v>
      </c>
      <c r="X458">
        <v>8</v>
      </c>
      <c r="Y458">
        <f t="shared" ca="1" si="7"/>
        <v>81.285430535236472</v>
      </c>
    </row>
    <row r="459" spans="1:25" x14ac:dyDescent="0.3">
      <c r="A459" t="s">
        <v>938</v>
      </c>
      <c r="B459" t="s">
        <v>939</v>
      </c>
      <c r="C459">
        <v>4</v>
      </c>
      <c r="D459" s="1">
        <v>26268</v>
      </c>
      <c r="E459">
        <v>10829</v>
      </c>
      <c r="F459">
        <v>0</v>
      </c>
      <c r="G459">
        <v>130</v>
      </c>
      <c r="H459">
        <v>1</v>
      </c>
      <c r="I459">
        <v>390</v>
      </c>
      <c r="J459">
        <v>0</v>
      </c>
      <c r="K459">
        <v>0</v>
      </c>
      <c r="L459">
        <v>460492795</v>
      </c>
      <c r="M459">
        <v>147</v>
      </c>
      <c r="N459" t="s">
        <v>61</v>
      </c>
      <c r="O459" t="s">
        <v>28</v>
      </c>
      <c r="P459">
        <v>33</v>
      </c>
      <c r="Q459">
        <v>39</v>
      </c>
      <c r="R459" t="str" cm="1">
        <f t="array" ref="R459">_xlfn.IFS(Q459&gt;70,"Good",Q459&lt;40,"Bad",(Q459&gt;OS497*(Q459&lt;80)),"Ok")</f>
        <v>Bad</v>
      </c>
      <c r="S459">
        <v>61</v>
      </c>
      <c r="T459" t="str" cm="1">
        <f t="array" ref="T459">_xlfn.IFS(S459&gt;50, "High", S459&lt;=50, "Low")</f>
        <v>High</v>
      </c>
      <c r="U459">
        <v>32</v>
      </c>
      <c r="V459">
        <v>0</v>
      </c>
      <c r="W459">
        <v>77</v>
      </c>
      <c r="X459">
        <v>3</v>
      </c>
      <c r="Y459">
        <f t="shared" ca="1" si="7"/>
        <v>71.554702020699892</v>
      </c>
    </row>
    <row r="460" spans="1:25" x14ac:dyDescent="0.3">
      <c r="A460" t="s">
        <v>117</v>
      </c>
      <c r="B460" t="s">
        <v>940</v>
      </c>
      <c r="C460">
        <v>2</v>
      </c>
      <c r="D460" s="1">
        <v>44903</v>
      </c>
      <c r="E460">
        <v>1042</v>
      </c>
      <c r="F460">
        <v>0</v>
      </c>
      <c r="G460">
        <v>7</v>
      </c>
      <c r="H460">
        <v>29</v>
      </c>
      <c r="I460">
        <v>3</v>
      </c>
      <c r="J460">
        <v>0</v>
      </c>
      <c r="K460">
        <v>0</v>
      </c>
      <c r="L460">
        <v>94005786</v>
      </c>
      <c r="M460">
        <v>150</v>
      </c>
      <c r="N460" t="s">
        <v>181</v>
      </c>
      <c r="O460" t="s">
        <v>45</v>
      </c>
      <c r="P460">
        <v>73</v>
      </c>
      <c r="Q460">
        <v>71</v>
      </c>
      <c r="R460" t="str" cm="1">
        <f t="array" ref="R460">_xlfn.IFS(Q460&gt;70,"Good",Q460&lt;40,"Bad",(Q460&gt;OS498*(Q460&lt;80)),"Ok")</f>
        <v>Good</v>
      </c>
      <c r="S460">
        <v>69</v>
      </c>
      <c r="T460" t="str" cm="1">
        <f t="array" ref="T460">_xlfn.IFS(S460&gt;50, "High", S460&lt;=50, "Low")</f>
        <v>High</v>
      </c>
      <c r="U460">
        <v>53</v>
      </c>
      <c r="V460">
        <v>0</v>
      </c>
      <c r="W460">
        <v>32</v>
      </c>
      <c r="X460">
        <v>9</v>
      </c>
      <c r="Y460">
        <f t="shared" ca="1" si="7"/>
        <v>73.747455526227881</v>
      </c>
    </row>
    <row r="461" spans="1:25" x14ac:dyDescent="0.3">
      <c r="A461" t="s">
        <v>941</v>
      </c>
      <c r="B461" t="s">
        <v>942</v>
      </c>
      <c r="C461">
        <v>1</v>
      </c>
      <c r="D461" s="1">
        <v>18994</v>
      </c>
      <c r="E461">
        <v>7930</v>
      </c>
      <c r="F461">
        <v>0</v>
      </c>
      <c r="G461">
        <v>108</v>
      </c>
      <c r="H461">
        <v>120</v>
      </c>
      <c r="I461">
        <v>73</v>
      </c>
      <c r="J461">
        <v>0</v>
      </c>
      <c r="K461">
        <v>0</v>
      </c>
      <c r="L461">
        <v>395591396</v>
      </c>
      <c r="M461">
        <v>140</v>
      </c>
      <c r="O461" t="s">
        <v>28</v>
      </c>
      <c r="P461">
        <v>67</v>
      </c>
      <c r="Q461">
        <v>81</v>
      </c>
      <c r="R461" t="str" cm="1">
        <f t="array" ref="R461">_xlfn.IFS(Q461&gt;70,"Good",Q461&lt;40,"Bad",(Q461&gt;OS499*(Q461&lt;80)),"Ok")</f>
        <v>Good</v>
      </c>
      <c r="S461">
        <v>36</v>
      </c>
      <c r="T461" t="str" cm="1">
        <f t="array" ref="T461">_xlfn.IFS(S461&gt;50, "High", S461&lt;=50, "Low")</f>
        <v>Low</v>
      </c>
      <c r="U461">
        <v>64</v>
      </c>
      <c r="V461">
        <v>0</v>
      </c>
      <c r="W461">
        <v>15</v>
      </c>
      <c r="X461">
        <v>3</v>
      </c>
      <c r="Y461">
        <f t="shared" ca="1" si="7"/>
        <v>49.243547686533759</v>
      </c>
    </row>
    <row r="462" spans="1:25" x14ac:dyDescent="0.3">
      <c r="A462" t="s">
        <v>943</v>
      </c>
      <c r="B462" t="s">
        <v>944</v>
      </c>
      <c r="C462">
        <v>1</v>
      </c>
      <c r="D462" s="1">
        <v>17107</v>
      </c>
      <c r="E462">
        <v>11500</v>
      </c>
      <c r="F462">
        <v>0</v>
      </c>
      <c r="G462">
        <v>140</v>
      </c>
      <c r="H462">
        <v>72</v>
      </c>
      <c r="I462">
        <v>251</v>
      </c>
      <c r="J462">
        <v>0</v>
      </c>
      <c r="K462">
        <v>0</v>
      </c>
      <c r="L462">
        <v>389771964</v>
      </c>
      <c r="M462">
        <v>139</v>
      </c>
      <c r="N462" t="s">
        <v>31</v>
      </c>
      <c r="O462" t="s">
        <v>28</v>
      </c>
      <c r="P462">
        <v>36</v>
      </c>
      <c r="Q462">
        <v>22</v>
      </c>
      <c r="R462" t="str" cm="1">
        <f t="array" ref="R462">_xlfn.IFS(Q462&gt;70,"Good",Q462&lt;40,"Bad",(Q462&gt;OS500*(Q462&lt;80)),"Ok")</f>
        <v>Bad</v>
      </c>
      <c r="S462">
        <v>15</v>
      </c>
      <c r="T462" t="str" cm="1">
        <f t="array" ref="T462">_xlfn.IFS(S462&gt;50, "High", S462&lt;=50, "Low")</f>
        <v>Low</v>
      </c>
      <c r="U462">
        <v>84</v>
      </c>
      <c r="V462">
        <v>0</v>
      </c>
      <c r="W462">
        <v>11</v>
      </c>
      <c r="X462">
        <v>4</v>
      </c>
      <c r="Y462">
        <f t="shared" ca="1" si="7"/>
        <v>67.451762532253113</v>
      </c>
    </row>
    <row r="463" spans="1:25" x14ac:dyDescent="0.3">
      <c r="A463" t="s">
        <v>268</v>
      </c>
      <c r="B463" t="s">
        <v>945</v>
      </c>
      <c r="C463">
        <v>1</v>
      </c>
      <c r="D463" s="1">
        <v>29175</v>
      </c>
      <c r="E463">
        <v>1685</v>
      </c>
      <c r="F463">
        <v>0</v>
      </c>
      <c r="G463">
        <v>1</v>
      </c>
      <c r="H463">
        <v>0</v>
      </c>
      <c r="I463">
        <v>29</v>
      </c>
      <c r="J463">
        <v>0</v>
      </c>
      <c r="K463">
        <v>0</v>
      </c>
      <c r="L463">
        <v>403939487</v>
      </c>
      <c r="M463">
        <v>95</v>
      </c>
      <c r="N463" t="s">
        <v>27</v>
      </c>
      <c r="O463" t="s">
        <v>28</v>
      </c>
      <c r="P463">
        <v>75</v>
      </c>
      <c r="Q463">
        <v>74</v>
      </c>
      <c r="R463" t="str" cm="1">
        <f t="array" ref="R463">_xlfn.IFS(Q463&gt;70,"Good",Q463&lt;40,"Bad",(Q463&gt;OS501*(Q463&lt;80)),"Ok")</f>
        <v>Good</v>
      </c>
      <c r="S463">
        <v>58</v>
      </c>
      <c r="T463" t="str" cm="1">
        <f t="array" ref="T463">_xlfn.IFS(S463&gt;50, "High", S463&lt;=50, "Low")</f>
        <v>High</v>
      </c>
      <c r="U463">
        <v>36</v>
      </c>
      <c r="V463">
        <v>0</v>
      </c>
      <c r="W463">
        <v>9</v>
      </c>
      <c r="X463">
        <v>3</v>
      </c>
      <c r="Y463">
        <f t="shared" ca="1" si="7"/>
        <v>49.133933256010707</v>
      </c>
    </row>
    <row r="464" spans="1:25" x14ac:dyDescent="0.3">
      <c r="A464" t="s">
        <v>946</v>
      </c>
      <c r="B464" t="s">
        <v>947</v>
      </c>
      <c r="C464">
        <v>1</v>
      </c>
      <c r="D464" s="1">
        <v>31011</v>
      </c>
      <c r="E464">
        <v>14169</v>
      </c>
      <c r="F464">
        <v>0</v>
      </c>
      <c r="G464">
        <v>209</v>
      </c>
      <c r="H464">
        <v>30</v>
      </c>
      <c r="I464">
        <v>449</v>
      </c>
      <c r="J464">
        <v>0</v>
      </c>
      <c r="K464">
        <v>0</v>
      </c>
      <c r="L464">
        <v>481697415</v>
      </c>
      <c r="M464">
        <v>115</v>
      </c>
      <c r="O464" t="s">
        <v>28</v>
      </c>
      <c r="P464">
        <v>60</v>
      </c>
      <c r="Q464">
        <v>23</v>
      </c>
      <c r="R464" t="str" cm="1">
        <f t="array" ref="R464">_xlfn.IFS(Q464&gt;70,"Good",Q464&lt;40,"Bad",(Q464&gt;OS502*(Q464&lt;80)),"Ok")</f>
        <v>Bad</v>
      </c>
      <c r="S464">
        <v>57</v>
      </c>
      <c r="T464" t="str" cm="1">
        <f t="array" ref="T464">_xlfn.IFS(S464&gt;50, "High", S464&lt;=50, "Low")</f>
        <v>High</v>
      </c>
      <c r="U464">
        <v>0</v>
      </c>
      <c r="V464">
        <v>2</v>
      </c>
      <c r="W464">
        <v>27</v>
      </c>
      <c r="X464">
        <v>3</v>
      </c>
      <c r="Y464">
        <f t="shared" ca="1" si="7"/>
        <v>60.834631936506156</v>
      </c>
    </row>
    <row r="465" spans="1:25" x14ac:dyDescent="0.3">
      <c r="A465" t="s">
        <v>948</v>
      </c>
      <c r="B465" t="s">
        <v>949</v>
      </c>
      <c r="C465">
        <v>2</v>
      </c>
      <c r="D465" s="1">
        <v>44904</v>
      </c>
      <c r="E465">
        <v>1634</v>
      </c>
      <c r="F465">
        <v>0</v>
      </c>
      <c r="G465">
        <v>16</v>
      </c>
      <c r="H465">
        <v>20</v>
      </c>
      <c r="I465">
        <v>4</v>
      </c>
      <c r="J465">
        <v>0</v>
      </c>
      <c r="K465">
        <v>0</v>
      </c>
      <c r="L465">
        <v>110073250</v>
      </c>
      <c r="M465">
        <v>125</v>
      </c>
      <c r="N465" t="s">
        <v>65</v>
      </c>
      <c r="O465" t="s">
        <v>28</v>
      </c>
      <c r="P465">
        <v>62</v>
      </c>
      <c r="Q465">
        <v>59</v>
      </c>
      <c r="R465" t="str" cm="1">
        <f t="array" ref="R465">_xlfn.IFS(Q465&gt;70,"Good",Q465&lt;40,"Bad",(Q465&gt;OS503*(Q465&lt;80)),"Ok")</f>
        <v>Ok</v>
      </c>
      <c r="S465">
        <v>43</v>
      </c>
      <c r="T465" t="str" cm="1">
        <f t="array" ref="T465">_xlfn.IFS(S465&gt;50, "High", S465&lt;=50, "Low")</f>
        <v>Low</v>
      </c>
      <c r="U465">
        <v>84</v>
      </c>
      <c r="V465">
        <v>3</v>
      </c>
      <c r="W465">
        <v>11</v>
      </c>
      <c r="X465">
        <v>5</v>
      </c>
      <c r="Y465">
        <f t="shared" ca="1" si="7"/>
        <v>20.114172278594388</v>
      </c>
    </row>
    <row r="466" spans="1:25" x14ac:dyDescent="0.3">
      <c r="A466" t="s">
        <v>950</v>
      </c>
      <c r="B466" t="s">
        <v>80</v>
      </c>
      <c r="C466">
        <v>1</v>
      </c>
      <c r="D466" s="1">
        <v>44904</v>
      </c>
      <c r="E466">
        <v>906</v>
      </c>
      <c r="F466">
        <v>0</v>
      </c>
      <c r="G466">
        <v>6</v>
      </c>
      <c r="H466">
        <v>21</v>
      </c>
      <c r="I466">
        <v>3</v>
      </c>
      <c r="J466">
        <v>0</v>
      </c>
      <c r="K466">
        <v>0</v>
      </c>
      <c r="L466">
        <v>88092256</v>
      </c>
      <c r="M466">
        <v>76</v>
      </c>
      <c r="O466" t="s">
        <v>28</v>
      </c>
      <c r="P466">
        <v>60</v>
      </c>
      <c r="Q466">
        <v>19</v>
      </c>
      <c r="R466" t="str" cm="1">
        <f t="array" ref="R466">_xlfn.IFS(Q466&gt;70,"Good",Q466&lt;40,"Bad",(Q466&gt;OS504*(Q466&lt;80)),"Ok")</f>
        <v>Bad</v>
      </c>
      <c r="S466">
        <v>20</v>
      </c>
      <c r="T466" t="str" cm="1">
        <f t="array" ref="T466">_xlfn.IFS(S466&gt;50, "High", S466&lt;=50, "Low")</f>
        <v>Low</v>
      </c>
      <c r="U466">
        <v>78</v>
      </c>
      <c r="V466">
        <v>0</v>
      </c>
      <c r="W466">
        <v>11</v>
      </c>
      <c r="X466">
        <v>5</v>
      </c>
      <c r="Y466">
        <f t="shared" ca="1" si="7"/>
        <v>38.879909272612366</v>
      </c>
    </row>
    <row r="467" spans="1:25" x14ac:dyDescent="0.3">
      <c r="A467" t="s">
        <v>306</v>
      </c>
      <c r="B467" t="s">
        <v>951</v>
      </c>
      <c r="C467">
        <v>1</v>
      </c>
      <c r="D467" s="1">
        <v>30682</v>
      </c>
      <c r="E467">
        <v>1087</v>
      </c>
      <c r="F467">
        <v>0</v>
      </c>
      <c r="G467">
        <v>90</v>
      </c>
      <c r="H467">
        <v>35</v>
      </c>
      <c r="I467">
        <v>5</v>
      </c>
      <c r="J467">
        <v>0</v>
      </c>
      <c r="K467">
        <v>0</v>
      </c>
      <c r="L467">
        <v>351636786</v>
      </c>
      <c r="M467">
        <v>101</v>
      </c>
      <c r="N467" t="s">
        <v>31</v>
      </c>
      <c r="O467" t="s">
        <v>45</v>
      </c>
      <c r="P467">
        <v>72</v>
      </c>
      <c r="Q467">
        <v>91</v>
      </c>
      <c r="R467" t="str" cm="1">
        <f t="array" ref="R467">_xlfn.IFS(Q467&gt;70,"Good",Q467&lt;40,"Bad",(Q467&gt;OS505*(Q467&lt;80)),"Ok")</f>
        <v>Good</v>
      </c>
      <c r="S467">
        <v>87</v>
      </c>
      <c r="T467" t="str" cm="1">
        <f t="array" ref="T467">_xlfn.IFS(S467&gt;50, "High", S467&lt;=50, "Low")</f>
        <v>High</v>
      </c>
      <c r="U467">
        <v>14</v>
      </c>
      <c r="V467">
        <v>0</v>
      </c>
      <c r="W467">
        <v>13</v>
      </c>
      <c r="X467">
        <v>3</v>
      </c>
      <c r="Y467">
        <f t="shared" ca="1" si="7"/>
        <v>41.371366208165028</v>
      </c>
    </row>
    <row r="468" spans="1:25" x14ac:dyDescent="0.3">
      <c r="A468" t="s">
        <v>928</v>
      </c>
      <c r="B468" t="s">
        <v>952</v>
      </c>
      <c r="C468">
        <v>2</v>
      </c>
      <c r="D468" s="1">
        <v>18264</v>
      </c>
      <c r="E468">
        <v>10585</v>
      </c>
      <c r="F468">
        <v>0</v>
      </c>
      <c r="G468">
        <v>126</v>
      </c>
      <c r="H468">
        <v>108</v>
      </c>
      <c r="I468">
        <v>406</v>
      </c>
      <c r="J468">
        <v>0</v>
      </c>
      <c r="K468">
        <v>0</v>
      </c>
      <c r="L468">
        <v>473248298</v>
      </c>
      <c r="M468">
        <v>143</v>
      </c>
      <c r="N468" t="s">
        <v>61</v>
      </c>
      <c r="O468" t="s">
        <v>28</v>
      </c>
      <c r="P468">
        <v>60</v>
      </c>
      <c r="Q468">
        <v>86</v>
      </c>
      <c r="R468" t="str" cm="1">
        <f t="array" ref="R468">_xlfn.IFS(Q468&gt;70,"Good",Q468&lt;40,"Bad",(Q468&gt;OS506*(Q468&lt;80)),"Ok")</f>
        <v>Good</v>
      </c>
      <c r="S468">
        <v>32</v>
      </c>
      <c r="T468" t="str" cm="1">
        <f t="array" ref="T468">_xlfn.IFS(S468&gt;50, "High", S468&lt;=50, "Low")</f>
        <v>Low</v>
      </c>
      <c r="U468">
        <v>88</v>
      </c>
      <c r="V468">
        <v>0</v>
      </c>
      <c r="W468">
        <v>34</v>
      </c>
      <c r="X468">
        <v>6</v>
      </c>
      <c r="Y468">
        <f t="shared" ca="1" si="7"/>
        <v>22.218090441313887</v>
      </c>
    </row>
    <row r="469" spans="1:25" x14ac:dyDescent="0.3">
      <c r="A469" t="s">
        <v>953</v>
      </c>
      <c r="B469" t="s">
        <v>80</v>
      </c>
      <c r="C469">
        <v>1</v>
      </c>
      <c r="D469" s="1">
        <v>44904</v>
      </c>
      <c r="E469">
        <v>827</v>
      </c>
      <c r="F469">
        <v>0</v>
      </c>
      <c r="G469">
        <v>6</v>
      </c>
      <c r="H469">
        <v>18</v>
      </c>
      <c r="I469">
        <v>1</v>
      </c>
      <c r="J469">
        <v>0</v>
      </c>
      <c r="K469">
        <v>0</v>
      </c>
      <c r="L469">
        <v>73981293</v>
      </c>
      <c r="M469">
        <v>119</v>
      </c>
      <c r="N469" t="s">
        <v>94</v>
      </c>
      <c r="O469" t="s">
        <v>45</v>
      </c>
      <c r="P469">
        <v>51</v>
      </c>
      <c r="Q469">
        <v>51</v>
      </c>
      <c r="R469" t="str" cm="1">
        <f t="array" ref="R469">_xlfn.IFS(Q469&gt;70,"Good",Q469&lt;40,"Bad",(Q469&gt;OS507*(Q469&lt;80)),"Ok")</f>
        <v>Ok</v>
      </c>
      <c r="S469">
        <v>66</v>
      </c>
      <c r="T469" t="str" cm="1">
        <f t="array" ref="T469">_xlfn.IFS(S469&gt;50, "High", S469&lt;=50, "Low")</f>
        <v>High</v>
      </c>
      <c r="U469">
        <v>67</v>
      </c>
      <c r="V469">
        <v>0</v>
      </c>
      <c r="W469">
        <v>9</v>
      </c>
      <c r="X469">
        <v>23</v>
      </c>
      <c r="Y469">
        <f t="shared" ca="1" si="7"/>
        <v>42.101119223535818</v>
      </c>
    </row>
    <row r="470" spans="1:25" x14ac:dyDescent="0.3">
      <c r="A470" t="s">
        <v>954</v>
      </c>
      <c r="B470" t="s">
        <v>955</v>
      </c>
      <c r="C470">
        <v>2</v>
      </c>
      <c r="D470" s="1">
        <v>44903</v>
      </c>
      <c r="E470">
        <v>1420</v>
      </c>
      <c r="F470">
        <v>4</v>
      </c>
      <c r="G470">
        <v>13</v>
      </c>
      <c r="H470">
        <v>87</v>
      </c>
      <c r="I470">
        <v>17</v>
      </c>
      <c r="J470">
        <v>0</v>
      </c>
      <c r="K470">
        <v>46</v>
      </c>
      <c r="L470">
        <v>155653938</v>
      </c>
      <c r="M470">
        <v>78</v>
      </c>
      <c r="N470" t="s">
        <v>37</v>
      </c>
      <c r="O470" t="s">
        <v>28</v>
      </c>
      <c r="P470">
        <v>67</v>
      </c>
      <c r="Q470">
        <v>22</v>
      </c>
      <c r="R470" t="str" cm="1">
        <f t="array" ref="R470">_xlfn.IFS(Q470&gt;70,"Good",Q470&lt;40,"Bad",(Q470&gt;OS508*(Q470&lt;80)),"Ok")</f>
        <v>Bad</v>
      </c>
      <c r="S470">
        <v>59</v>
      </c>
      <c r="T470" t="str" cm="1">
        <f t="array" ref="T470">_xlfn.IFS(S470&gt;50, "High", S470&lt;=50, "Low")</f>
        <v>High</v>
      </c>
      <c r="U470">
        <v>76</v>
      </c>
      <c r="V470">
        <v>1</v>
      </c>
      <c r="W470">
        <v>15</v>
      </c>
      <c r="X470">
        <v>16</v>
      </c>
      <c r="Y470">
        <f t="shared" ca="1" si="7"/>
        <v>89.959176157300689</v>
      </c>
    </row>
    <row r="471" spans="1:25" x14ac:dyDescent="0.3">
      <c r="A471" t="s">
        <v>956</v>
      </c>
      <c r="B471" t="s">
        <v>957</v>
      </c>
      <c r="C471">
        <v>3</v>
      </c>
      <c r="D471" s="1">
        <v>15342</v>
      </c>
      <c r="E471">
        <v>11940</v>
      </c>
      <c r="F471">
        <v>0</v>
      </c>
      <c r="G471">
        <v>73</v>
      </c>
      <c r="H471">
        <v>79</v>
      </c>
      <c r="I471">
        <v>123</v>
      </c>
      <c r="J471">
        <v>0</v>
      </c>
      <c r="K471">
        <v>0</v>
      </c>
      <c r="L471">
        <v>395591396</v>
      </c>
      <c r="M471">
        <v>96</v>
      </c>
      <c r="N471" t="s">
        <v>37</v>
      </c>
      <c r="O471" t="s">
        <v>28</v>
      </c>
      <c r="P471">
        <v>23</v>
      </c>
      <c r="Q471">
        <v>19</v>
      </c>
      <c r="R471" t="str" cm="1">
        <f t="array" ref="R471">_xlfn.IFS(Q471&gt;70,"Good",Q471&lt;40,"Bad",(Q471&gt;OS509*(Q471&lt;80)),"Ok")</f>
        <v>Bad</v>
      </c>
      <c r="S471">
        <v>25</v>
      </c>
      <c r="T471" t="str" cm="1">
        <f t="array" ref="T471">_xlfn.IFS(S471&gt;50, "High", S471&lt;=50, "Low")</f>
        <v>Low</v>
      </c>
      <c r="U471">
        <v>91</v>
      </c>
      <c r="V471">
        <v>0</v>
      </c>
      <c r="W471">
        <v>40</v>
      </c>
      <c r="X471">
        <v>3</v>
      </c>
      <c r="Y471">
        <f t="shared" ca="1" si="7"/>
        <v>79.795102452103009</v>
      </c>
    </row>
    <row r="472" spans="1:25" x14ac:dyDescent="0.3">
      <c r="A472" t="s">
        <v>562</v>
      </c>
      <c r="B472" t="s">
        <v>958</v>
      </c>
      <c r="C472">
        <v>1</v>
      </c>
      <c r="D472" s="1">
        <v>31413</v>
      </c>
      <c r="E472">
        <v>888</v>
      </c>
      <c r="F472">
        <v>0</v>
      </c>
      <c r="G472">
        <v>50</v>
      </c>
      <c r="H472">
        <v>0</v>
      </c>
      <c r="I472">
        <v>6</v>
      </c>
      <c r="J472">
        <v>0</v>
      </c>
      <c r="K472">
        <v>0</v>
      </c>
      <c r="L472">
        <v>429504768</v>
      </c>
      <c r="M472">
        <v>180</v>
      </c>
      <c r="N472" t="s">
        <v>37</v>
      </c>
      <c r="O472" t="s">
        <v>28</v>
      </c>
      <c r="P472">
        <v>51</v>
      </c>
      <c r="Q472">
        <v>87</v>
      </c>
      <c r="R472" t="str" cm="1">
        <f t="array" ref="R472">_xlfn.IFS(Q472&gt;70,"Good",Q472&lt;40,"Bad",(Q472&gt;OS510*(Q472&lt;80)),"Ok")</f>
        <v>Good</v>
      </c>
      <c r="S472">
        <v>58</v>
      </c>
      <c r="T472" t="str" cm="1">
        <f t="array" ref="T472">_xlfn.IFS(S472&gt;50, "High", S472&lt;=50, "Low")</f>
        <v>High</v>
      </c>
      <c r="U472">
        <v>36</v>
      </c>
      <c r="V472">
        <v>0</v>
      </c>
      <c r="W472">
        <v>18</v>
      </c>
      <c r="X472">
        <v>4</v>
      </c>
      <c r="Y472">
        <f t="shared" ca="1" si="7"/>
        <v>28.728310826418436</v>
      </c>
    </row>
    <row r="473" spans="1:25" x14ac:dyDescent="0.3">
      <c r="A473" t="s">
        <v>959</v>
      </c>
      <c r="B473" t="s">
        <v>960</v>
      </c>
      <c r="C473">
        <v>1</v>
      </c>
      <c r="D473" s="1">
        <v>23337</v>
      </c>
      <c r="E473">
        <v>9122</v>
      </c>
      <c r="F473">
        <v>0</v>
      </c>
      <c r="G473">
        <v>121</v>
      </c>
      <c r="H473">
        <v>58</v>
      </c>
      <c r="I473">
        <v>212</v>
      </c>
      <c r="J473">
        <v>0</v>
      </c>
      <c r="K473">
        <v>0</v>
      </c>
      <c r="L473">
        <v>242767149</v>
      </c>
      <c r="M473">
        <v>126</v>
      </c>
      <c r="N473" t="s">
        <v>302</v>
      </c>
      <c r="O473" t="s">
        <v>28</v>
      </c>
      <c r="P473">
        <v>34</v>
      </c>
      <c r="Q473">
        <v>35</v>
      </c>
      <c r="R473" t="str" cm="1">
        <f t="array" ref="R473">_xlfn.IFS(Q473&gt;70,"Good",Q473&lt;40,"Bad",(Q473&gt;OS511*(Q473&lt;80)),"Ok")</f>
        <v>Bad</v>
      </c>
      <c r="S473">
        <v>76</v>
      </c>
      <c r="T473" t="str" cm="1">
        <f t="array" ref="T473">_xlfn.IFS(S473&gt;50, "High", S473&lt;=50, "Low")</f>
        <v>High</v>
      </c>
      <c r="U473">
        <v>39</v>
      </c>
      <c r="V473">
        <v>0</v>
      </c>
      <c r="W473">
        <v>8</v>
      </c>
      <c r="X473">
        <v>5</v>
      </c>
      <c r="Y473">
        <f t="shared" ca="1" si="7"/>
        <v>60.843285393204546</v>
      </c>
    </row>
    <row r="474" spans="1:25" x14ac:dyDescent="0.3">
      <c r="A474" t="s">
        <v>961</v>
      </c>
      <c r="B474" t="s">
        <v>80</v>
      </c>
      <c r="C474">
        <v>1</v>
      </c>
      <c r="D474" s="1">
        <v>44904</v>
      </c>
      <c r="E474">
        <v>892</v>
      </c>
      <c r="F474">
        <v>0</v>
      </c>
      <c r="G474">
        <v>3</v>
      </c>
      <c r="H474">
        <v>17</v>
      </c>
      <c r="I474">
        <v>2</v>
      </c>
      <c r="J474">
        <v>0</v>
      </c>
      <c r="K474">
        <v>0</v>
      </c>
      <c r="L474">
        <v>65362788</v>
      </c>
      <c r="M474">
        <v>150</v>
      </c>
      <c r="N474" t="s">
        <v>34</v>
      </c>
      <c r="O474" t="s">
        <v>28</v>
      </c>
      <c r="P474">
        <v>43</v>
      </c>
      <c r="Q474">
        <v>42</v>
      </c>
      <c r="R474" t="str" cm="1">
        <f t="array" ref="R474">_xlfn.IFS(Q474&gt;70,"Good",Q474&lt;40,"Bad",(Q474&gt;OS512*(Q474&lt;80)),"Ok")</f>
        <v>Ok</v>
      </c>
      <c r="S474">
        <v>44</v>
      </c>
      <c r="T474" t="str" cm="1">
        <f t="array" ref="T474">_xlfn.IFS(S474&gt;50, "High", S474&lt;=50, "Low")</f>
        <v>Low</v>
      </c>
      <c r="U474">
        <v>57</v>
      </c>
      <c r="V474">
        <v>0</v>
      </c>
      <c r="W474">
        <v>15</v>
      </c>
      <c r="X474">
        <v>6</v>
      </c>
      <c r="Y474">
        <f t="shared" ca="1" si="7"/>
        <v>81.377448211589609</v>
      </c>
    </row>
    <row r="475" spans="1:25" x14ac:dyDescent="0.3">
      <c r="A475" t="s">
        <v>962</v>
      </c>
      <c r="B475" t="s">
        <v>80</v>
      </c>
      <c r="C475">
        <v>1</v>
      </c>
      <c r="D475" s="1">
        <v>44904</v>
      </c>
      <c r="E475">
        <v>989</v>
      </c>
      <c r="F475">
        <v>0</v>
      </c>
      <c r="G475">
        <v>5</v>
      </c>
      <c r="H475">
        <v>9</v>
      </c>
      <c r="I475">
        <v>1</v>
      </c>
      <c r="J475">
        <v>0</v>
      </c>
      <c r="K475">
        <v>0</v>
      </c>
      <c r="L475">
        <v>67540165</v>
      </c>
      <c r="M475">
        <v>90</v>
      </c>
      <c r="N475" t="s">
        <v>61</v>
      </c>
      <c r="O475" t="s">
        <v>28</v>
      </c>
      <c r="P475">
        <v>53</v>
      </c>
      <c r="Q475">
        <v>47</v>
      </c>
      <c r="R475" t="str" cm="1">
        <f t="array" ref="R475">_xlfn.IFS(Q475&gt;70,"Good",Q475&lt;40,"Bad",(Q475&gt;OS513*(Q475&lt;80)),"Ok")</f>
        <v>Ok</v>
      </c>
      <c r="S475">
        <v>74</v>
      </c>
      <c r="T475" t="str" cm="1">
        <f t="array" ref="T475">_xlfn.IFS(S475&gt;50, "High", S475&lt;=50, "Low")</f>
        <v>High</v>
      </c>
      <c r="U475">
        <v>9</v>
      </c>
      <c r="V475">
        <v>0</v>
      </c>
      <c r="W475">
        <v>34</v>
      </c>
      <c r="X475">
        <v>4</v>
      </c>
      <c r="Y475">
        <f t="shared" ca="1" si="7"/>
        <v>84.98189214600832</v>
      </c>
    </row>
    <row r="476" spans="1:25" x14ac:dyDescent="0.3">
      <c r="A476" t="s">
        <v>196</v>
      </c>
      <c r="B476" t="s">
        <v>80</v>
      </c>
      <c r="C476">
        <v>1</v>
      </c>
      <c r="D476" s="1">
        <v>44904</v>
      </c>
      <c r="E476">
        <v>819</v>
      </c>
      <c r="F476">
        <v>0</v>
      </c>
      <c r="G476">
        <v>14</v>
      </c>
      <c r="H476">
        <v>22</v>
      </c>
      <c r="I476">
        <v>0</v>
      </c>
      <c r="J476">
        <v>0</v>
      </c>
      <c r="K476">
        <v>0</v>
      </c>
      <c r="L476">
        <v>62019074</v>
      </c>
      <c r="M476">
        <v>160</v>
      </c>
      <c r="N476" t="s">
        <v>34</v>
      </c>
      <c r="O476" t="s">
        <v>28</v>
      </c>
      <c r="P476">
        <v>72</v>
      </c>
      <c r="Q476">
        <v>78</v>
      </c>
      <c r="R476" t="str" cm="1">
        <f t="array" ref="R476">_xlfn.IFS(Q476&gt;70,"Good",Q476&lt;40,"Bad",(Q476&gt;OS514*(Q476&lt;80)),"Ok")</f>
        <v>Good</v>
      </c>
      <c r="S476">
        <v>68</v>
      </c>
      <c r="T476" t="str" cm="1">
        <f t="array" ref="T476">_xlfn.IFS(S476&gt;50, "High", S476&lt;=50, "Low")</f>
        <v>High</v>
      </c>
      <c r="U476">
        <v>28</v>
      </c>
      <c r="V476">
        <v>0</v>
      </c>
      <c r="W476">
        <v>11</v>
      </c>
      <c r="X476">
        <v>12</v>
      </c>
      <c r="Y476">
        <f t="shared" ca="1" si="7"/>
        <v>60.465888903931244</v>
      </c>
    </row>
    <row r="477" spans="1:25" x14ac:dyDescent="0.3">
      <c r="A477" t="s">
        <v>963</v>
      </c>
      <c r="B477" t="s">
        <v>964</v>
      </c>
      <c r="C477">
        <v>2</v>
      </c>
      <c r="D477" s="1">
        <v>43049</v>
      </c>
      <c r="E477">
        <v>2209</v>
      </c>
      <c r="F477">
        <v>0</v>
      </c>
      <c r="G477">
        <v>72</v>
      </c>
      <c r="H477">
        <v>90</v>
      </c>
      <c r="I477">
        <v>141</v>
      </c>
      <c r="J477">
        <v>0</v>
      </c>
      <c r="K477">
        <v>0</v>
      </c>
      <c r="L477">
        <v>135723538</v>
      </c>
      <c r="M477">
        <v>114</v>
      </c>
      <c r="O477" t="s">
        <v>28</v>
      </c>
      <c r="P477">
        <v>59</v>
      </c>
      <c r="Q477">
        <v>60</v>
      </c>
      <c r="R477" t="str" cm="1">
        <f t="array" ref="R477">_xlfn.IFS(Q477&gt;70,"Good",Q477&lt;40,"Bad",(Q477&gt;OS515*(Q477&lt;80)),"Ok")</f>
        <v>Ok</v>
      </c>
      <c r="S477">
        <v>94</v>
      </c>
      <c r="T477" t="str" cm="1">
        <f t="array" ref="T477">_xlfn.IFS(S477&gt;50, "High", S477&lt;=50, "Low")</f>
        <v>High</v>
      </c>
      <c r="U477">
        <v>24</v>
      </c>
      <c r="V477">
        <v>0</v>
      </c>
      <c r="W477">
        <v>10</v>
      </c>
      <c r="X477">
        <v>4</v>
      </c>
      <c r="Y477">
        <f t="shared" ca="1" si="7"/>
        <v>9.2954333822785618</v>
      </c>
    </row>
    <row r="478" spans="1:25" x14ac:dyDescent="0.3">
      <c r="A478" t="s">
        <v>965</v>
      </c>
      <c r="B478" t="s">
        <v>966</v>
      </c>
      <c r="C478">
        <v>3</v>
      </c>
      <c r="D478" s="1">
        <v>21186</v>
      </c>
      <c r="E478">
        <v>6290</v>
      </c>
      <c r="F478">
        <v>0</v>
      </c>
      <c r="G478">
        <v>89</v>
      </c>
      <c r="H478">
        <v>39</v>
      </c>
      <c r="I478">
        <v>158</v>
      </c>
      <c r="J478">
        <v>0</v>
      </c>
      <c r="K478">
        <v>0</v>
      </c>
      <c r="L478">
        <v>295998468</v>
      </c>
      <c r="M478">
        <v>113</v>
      </c>
      <c r="N478" t="s">
        <v>94</v>
      </c>
      <c r="O478" t="s">
        <v>28</v>
      </c>
      <c r="P478">
        <v>73</v>
      </c>
      <c r="Q478">
        <v>72</v>
      </c>
      <c r="R478" t="str" cm="1">
        <f t="array" ref="R478">_xlfn.IFS(Q478&gt;70,"Good",Q478&lt;40,"Bad",(Q478&gt;OS516*(Q478&lt;80)),"Ok")</f>
        <v>Good</v>
      </c>
      <c r="S478">
        <v>32</v>
      </c>
      <c r="T478" t="str" cm="1">
        <f t="array" ref="T478">_xlfn.IFS(S478&gt;50, "High", S478&lt;=50, "Low")</f>
        <v>Low</v>
      </c>
      <c r="U478">
        <v>77</v>
      </c>
      <c r="V478">
        <v>0</v>
      </c>
      <c r="W478">
        <v>15</v>
      </c>
      <c r="X478">
        <v>5</v>
      </c>
      <c r="Y478">
        <f t="shared" ca="1" si="7"/>
        <v>88.942905102433301</v>
      </c>
    </row>
    <row r="479" spans="1:25" x14ac:dyDescent="0.3">
      <c r="A479" t="s">
        <v>967</v>
      </c>
      <c r="B479" t="s">
        <v>968</v>
      </c>
      <c r="C479">
        <v>1</v>
      </c>
      <c r="D479" s="1">
        <v>36837</v>
      </c>
      <c r="E479">
        <v>6952</v>
      </c>
      <c r="F479">
        <v>0</v>
      </c>
      <c r="G479">
        <v>115</v>
      </c>
      <c r="H479">
        <v>53</v>
      </c>
      <c r="I479">
        <v>286</v>
      </c>
      <c r="J479">
        <v>0</v>
      </c>
      <c r="K479">
        <v>0</v>
      </c>
      <c r="L479">
        <v>261116938</v>
      </c>
      <c r="M479">
        <v>147</v>
      </c>
      <c r="O479" t="s">
        <v>28</v>
      </c>
      <c r="P479">
        <v>67</v>
      </c>
      <c r="Q479">
        <v>69</v>
      </c>
      <c r="R479" t="str" cm="1">
        <f t="array" ref="R479">_xlfn.IFS(Q479&gt;70,"Good",Q479&lt;40,"Bad",(Q479&gt;OS517*(Q479&lt;80)),"Ok")</f>
        <v>Ok</v>
      </c>
      <c r="S479">
        <v>72</v>
      </c>
      <c r="T479" t="str" cm="1">
        <f t="array" ref="T479">_xlfn.IFS(S479&gt;50, "High", S479&lt;=50, "Low")</f>
        <v>High</v>
      </c>
      <c r="U479">
        <v>17</v>
      </c>
      <c r="V479">
        <v>0</v>
      </c>
      <c r="W479">
        <v>19</v>
      </c>
      <c r="X479">
        <v>3</v>
      </c>
      <c r="Y479">
        <f t="shared" ca="1" si="7"/>
        <v>37.282559992090604</v>
      </c>
    </row>
    <row r="480" spans="1:25" x14ac:dyDescent="0.3">
      <c r="A480" t="s">
        <v>462</v>
      </c>
      <c r="B480" t="s">
        <v>969</v>
      </c>
      <c r="C480">
        <v>2</v>
      </c>
      <c r="D480" s="1">
        <v>44869</v>
      </c>
      <c r="E480">
        <v>313</v>
      </c>
      <c r="F480">
        <v>2</v>
      </c>
      <c r="G480">
        <v>10</v>
      </c>
      <c r="H480">
        <v>6</v>
      </c>
      <c r="I480">
        <v>7</v>
      </c>
      <c r="J480">
        <v>1</v>
      </c>
      <c r="K480">
        <v>9</v>
      </c>
      <c r="L480">
        <v>136689549</v>
      </c>
      <c r="M480">
        <v>100</v>
      </c>
      <c r="N480" t="s">
        <v>27</v>
      </c>
      <c r="O480" t="s">
        <v>45</v>
      </c>
      <c r="P480">
        <v>70</v>
      </c>
      <c r="Q480">
        <v>92</v>
      </c>
      <c r="R480" t="str" cm="1">
        <f t="array" ref="R480">_xlfn.IFS(Q480&gt;70,"Good",Q480&lt;40,"Bad",(Q480&gt;OS518*(Q480&lt;80)),"Ok")</f>
        <v>Good</v>
      </c>
      <c r="S480">
        <v>59</v>
      </c>
      <c r="T480" t="str" cm="1">
        <f t="array" ref="T480">_xlfn.IFS(S480&gt;50, "High", S480&lt;=50, "Low")</f>
        <v>High</v>
      </c>
      <c r="U480">
        <v>3</v>
      </c>
      <c r="V480">
        <v>0</v>
      </c>
      <c r="W480">
        <v>10</v>
      </c>
      <c r="X480">
        <v>3</v>
      </c>
      <c r="Y480">
        <f t="shared" ca="1" si="7"/>
        <v>83.888653102953072</v>
      </c>
    </row>
    <row r="481" spans="1:25" x14ac:dyDescent="0.3">
      <c r="A481" t="s">
        <v>970</v>
      </c>
      <c r="B481" t="s">
        <v>971</v>
      </c>
      <c r="C481">
        <v>1</v>
      </c>
      <c r="D481" s="1">
        <v>44897</v>
      </c>
      <c r="E481">
        <v>353</v>
      </c>
      <c r="F481">
        <v>2</v>
      </c>
      <c r="G481">
        <v>2</v>
      </c>
      <c r="H481">
        <v>74</v>
      </c>
      <c r="I481">
        <v>14</v>
      </c>
      <c r="J481">
        <v>0</v>
      </c>
      <c r="K481">
        <v>2</v>
      </c>
      <c r="L481">
        <v>135611421</v>
      </c>
      <c r="M481">
        <v>155</v>
      </c>
      <c r="N481" t="s">
        <v>81</v>
      </c>
      <c r="O481" t="s">
        <v>28</v>
      </c>
      <c r="P481">
        <v>49</v>
      </c>
      <c r="Q481">
        <v>42</v>
      </c>
      <c r="R481" t="str" cm="1">
        <f t="array" ref="R481">_xlfn.IFS(Q481&gt;70,"Good",Q481&lt;40,"Bad",(Q481&gt;OS519*(Q481&lt;80)),"Ok")</f>
        <v>Ok</v>
      </c>
      <c r="S481">
        <v>77</v>
      </c>
      <c r="T481" t="str" cm="1">
        <f t="array" ref="T481">_xlfn.IFS(S481&gt;50, "High", S481&lt;=50, "Low")</f>
        <v>High</v>
      </c>
      <c r="U481">
        <v>3</v>
      </c>
      <c r="V481">
        <v>0</v>
      </c>
      <c r="W481">
        <v>12</v>
      </c>
      <c r="X481">
        <v>9</v>
      </c>
      <c r="Y481">
        <f t="shared" ca="1" si="7"/>
        <v>69.827954979773978</v>
      </c>
    </row>
    <row r="482" spans="1:25" x14ac:dyDescent="0.3">
      <c r="A482" t="s">
        <v>972</v>
      </c>
      <c r="B482" t="s">
        <v>80</v>
      </c>
      <c r="C482">
        <v>1</v>
      </c>
      <c r="D482" s="1">
        <v>44533</v>
      </c>
      <c r="E482">
        <v>4094</v>
      </c>
      <c r="F482">
        <v>0</v>
      </c>
      <c r="G482">
        <v>66</v>
      </c>
      <c r="H482">
        <v>96</v>
      </c>
      <c r="I482">
        <v>43</v>
      </c>
      <c r="J482">
        <v>0</v>
      </c>
      <c r="K482">
        <v>0</v>
      </c>
      <c r="L482">
        <v>356709897</v>
      </c>
      <c r="M482">
        <v>107</v>
      </c>
      <c r="N482" t="s">
        <v>94</v>
      </c>
      <c r="O482" t="s">
        <v>45</v>
      </c>
      <c r="P482">
        <v>54</v>
      </c>
      <c r="Q482">
        <v>41</v>
      </c>
      <c r="R482" t="str" cm="1">
        <f t="array" ref="R482">_xlfn.IFS(Q482&gt;70,"Good",Q482&lt;40,"Bad",(Q482&gt;OS520*(Q482&lt;80)),"Ok")</f>
        <v>Ok</v>
      </c>
      <c r="S482">
        <v>39</v>
      </c>
      <c r="T482" t="str" cm="1">
        <f t="array" ref="T482">_xlfn.IFS(S482&gt;50, "High", S482&lt;=50, "Low")</f>
        <v>Low</v>
      </c>
      <c r="U482">
        <v>51</v>
      </c>
      <c r="V482">
        <v>0</v>
      </c>
      <c r="W482">
        <v>11</v>
      </c>
      <c r="X482">
        <v>16</v>
      </c>
      <c r="Y482">
        <f t="shared" ca="1" si="7"/>
        <v>30.276577111564663</v>
      </c>
    </row>
    <row r="483" spans="1:25" x14ac:dyDescent="0.3">
      <c r="A483" t="s">
        <v>973</v>
      </c>
      <c r="B483" t="s">
        <v>974</v>
      </c>
      <c r="C483">
        <v>2</v>
      </c>
      <c r="D483" s="1">
        <v>44897</v>
      </c>
      <c r="E483">
        <v>880</v>
      </c>
      <c r="F483">
        <v>0</v>
      </c>
      <c r="G483">
        <v>3</v>
      </c>
      <c r="H483">
        <v>7</v>
      </c>
      <c r="I483">
        <v>10</v>
      </c>
      <c r="J483">
        <v>0</v>
      </c>
      <c r="K483">
        <v>0</v>
      </c>
      <c r="L483">
        <v>110649992</v>
      </c>
      <c r="M483">
        <v>112</v>
      </c>
      <c r="N483" t="s">
        <v>81</v>
      </c>
      <c r="O483" t="s">
        <v>28</v>
      </c>
      <c r="P483">
        <v>80</v>
      </c>
      <c r="Q483">
        <v>15</v>
      </c>
      <c r="R483" t="str" cm="1">
        <f t="array" ref="R483">_xlfn.IFS(Q483&gt;70,"Good",Q483&lt;40,"Bad",(Q483&gt;OS521*(Q483&lt;80)),"Ok")</f>
        <v>Bad</v>
      </c>
      <c r="S483">
        <v>54</v>
      </c>
      <c r="T483" t="str" cm="1">
        <f t="array" ref="T483">_xlfn.IFS(S483&gt;50, "High", S483&lt;=50, "Low")</f>
        <v>High</v>
      </c>
      <c r="U483">
        <v>9</v>
      </c>
      <c r="V483">
        <v>0</v>
      </c>
      <c r="W483">
        <v>38</v>
      </c>
      <c r="X483">
        <v>5</v>
      </c>
      <c r="Y483">
        <f t="shared" ca="1" si="7"/>
        <v>19.523703931415238</v>
      </c>
    </row>
    <row r="484" spans="1:25" x14ac:dyDescent="0.3">
      <c r="A484" t="s">
        <v>774</v>
      </c>
      <c r="B484" t="s">
        <v>775</v>
      </c>
      <c r="C484">
        <v>1</v>
      </c>
      <c r="D484" s="1">
        <v>44865</v>
      </c>
      <c r="E484">
        <v>573</v>
      </c>
      <c r="F484">
        <v>0</v>
      </c>
      <c r="G484">
        <v>1</v>
      </c>
      <c r="H484">
        <v>0</v>
      </c>
      <c r="I484">
        <v>18</v>
      </c>
      <c r="J484">
        <v>0</v>
      </c>
      <c r="K484">
        <v>24</v>
      </c>
      <c r="L484">
        <v>301869854</v>
      </c>
      <c r="M484">
        <v>166</v>
      </c>
      <c r="N484" t="s">
        <v>31</v>
      </c>
      <c r="O484" t="s">
        <v>28</v>
      </c>
      <c r="P484">
        <v>70</v>
      </c>
      <c r="Q484">
        <v>57</v>
      </c>
      <c r="R484" t="str" cm="1">
        <f t="array" ref="R484">_xlfn.IFS(Q484&gt;70,"Good",Q484&lt;40,"Bad",(Q484&gt;OS522*(Q484&lt;80)),"Ok")</f>
        <v>Ok</v>
      </c>
      <c r="S484">
        <v>57</v>
      </c>
      <c r="T484" t="str" cm="1">
        <f t="array" ref="T484">_xlfn.IFS(S484&gt;50, "High", S484&lt;=50, "Low")</f>
        <v>High</v>
      </c>
      <c r="U484">
        <v>9</v>
      </c>
      <c r="V484">
        <v>20</v>
      </c>
      <c r="W484">
        <v>11</v>
      </c>
      <c r="X484">
        <v>7</v>
      </c>
      <c r="Y484">
        <f t="shared" ca="1" si="7"/>
        <v>0.88305964593127229</v>
      </c>
    </row>
    <row r="485" spans="1:25" x14ac:dyDescent="0.3">
      <c r="A485" t="s">
        <v>975</v>
      </c>
      <c r="B485" t="s">
        <v>944</v>
      </c>
      <c r="C485">
        <v>1</v>
      </c>
      <c r="D485" s="1">
        <v>21551</v>
      </c>
      <c r="E485">
        <v>3299</v>
      </c>
      <c r="F485">
        <v>0</v>
      </c>
      <c r="G485">
        <v>65</v>
      </c>
      <c r="H485">
        <v>39</v>
      </c>
      <c r="I485">
        <v>41</v>
      </c>
      <c r="J485">
        <v>0</v>
      </c>
      <c r="K485">
        <v>0</v>
      </c>
      <c r="L485">
        <v>127027715</v>
      </c>
      <c r="M485">
        <v>107</v>
      </c>
      <c r="N485" t="s">
        <v>65</v>
      </c>
      <c r="O485" t="s">
        <v>45</v>
      </c>
      <c r="P485">
        <v>69</v>
      </c>
      <c r="Q485">
        <v>96</v>
      </c>
      <c r="R485" t="str" cm="1">
        <f t="array" ref="R485">_xlfn.IFS(Q485&gt;70,"Good",Q485&lt;40,"Bad",(Q485&gt;OS523*(Q485&lt;80)),"Ok")</f>
        <v>Good</v>
      </c>
      <c r="S485">
        <v>36</v>
      </c>
      <c r="T485" t="str" cm="1">
        <f t="array" ref="T485">_xlfn.IFS(S485&gt;50, "High", S485&lt;=50, "Low")</f>
        <v>Low</v>
      </c>
      <c r="U485">
        <v>81</v>
      </c>
      <c r="V485">
        <v>0</v>
      </c>
      <c r="W485">
        <v>8</v>
      </c>
      <c r="X485">
        <v>4</v>
      </c>
      <c r="Y485">
        <f t="shared" ca="1" si="7"/>
        <v>55.890275716753635</v>
      </c>
    </row>
    <row r="486" spans="1:25" x14ac:dyDescent="0.3">
      <c r="A486" t="s">
        <v>976</v>
      </c>
      <c r="B486" t="s">
        <v>80</v>
      </c>
      <c r="C486">
        <v>1</v>
      </c>
      <c r="D486" s="1">
        <v>44904</v>
      </c>
      <c r="E486">
        <v>811</v>
      </c>
      <c r="F486">
        <v>0</v>
      </c>
      <c r="G486">
        <v>6</v>
      </c>
      <c r="H486">
        <v>11</v>
      </c>
      <c r="I486">
        <v>3</v>
      </c>
      <c r="J486">
        <v>0</v>
      </c>
      <c r="K486">
        <v>0</v>
      </c>
      <c r="L486">
        <v>57144458</v>
      </c>
      <c r="M486">
        <v>81</v>
      </c>
      <c r="N486" t="s">
        <v>81</v>
      </c>
      <c r="O486" t="s">
        <v>28</v>
      </c>
      <c r="P486">
        <v>47</v>
      </c>
      <c r="Q486">
        <v>33</v>
      </c>
      <c r="R486" t="str" cm="1">
        <f t="array" ref="R486">_xlfn.IFS(Q486&gt;70,"Good",Q486&lt;40,"Bad",(Q486&gt;OS524*(Q486&lt;80)),"Ok")</f>
        <v>Bad</v>
      </c>
      <c r="S486">
        <v>68</v>
      </c>
      <c r="T486" t="str" cm="1">
        <f t="array" ref="T486">_xlfn.IFS(S486&gt;50, "High", S486&lt;=50, "Low")</f>
        <v>High</v>
      </c>
      <c r="U486">
        <v>24</v>
      </c>
      <c r="V486">
        <v>0</v>
      </c>
      <c r="W486">
        <v>22</v>
      </c>
      <c r="X486">
        <v>38</v>
      </c>
      <c r="Y486">
        <f t="shared" ca="1" si="7"/>
        <v>54.510773233752843</v>
      </c>
    </row>
    <row r="487" spans="1:25" x14ac:dyDescent="0.3">
      <c r="A487" t="s">
        <v>977</v>
      </c>
      <c r="B487" t="s">
        <v>80</v>
      </c>
      <c r="C487">
        <v>1</v>
      </c>
      <c r="D487" s="1">
        <v>44904</v>
      </c>
      <c r="E487">
        <v>899</v>
      </c>
      <c r="F487">
        <v>0</v>
      </c>
      <c r="G487">
        <v>2</v>
      </c>
      <c r="H487">
        <v>14</v>
      </c>
      <c r="I487">
        <v>2</v>
      </c>
      <c r="J487">
        <v>0</v>
      </c>
      <c r="K487">
        <v>0</v>
      </c>
      <c r="L487">
        <v>56870689</v>
      </c>
      <c r="M487">
        <v>150</v>
      </c>
      <c r="N487" t="s">
        <v>31</v>
      </c>
      <c r="O487" t="s">
        <v>28</v>
      </c>
      <c r="P487">
        <v>79</v>
      </c>
      <c r="Q487">
        <v>77</v>
      </c>
      <c r="R487" t="str" cm="1">
        <f t="array" ref="R487">_xlfn.IFS(Q487&gt;70,"Good",Q487&lt;40,"Bad",(Q487&gt;OS525*(Q487&lt;80)),"Ok")</f>
        <v>Good</v>
      </c>
      <c r="S487">
        <v>46</v>
      </c>
      <c r="T487" t="str" cm="1">
        <f t="array" ref="T487">_xlfn.IFS(S487&gt;50, "High", S487&lt;=50, "Low")</f>
        <v>Low</v>
      </c>
      <c r="U487">
        <v>5</v>
      </c>
      <c r="V487">
        <v>0</v>
      </c>
      <c r="W487">
        <v>11</v>
      </c>
      <c r="X487">
        <v>7</v>
      </c>
      <c r="Y487">
        <f t="shared" ca="1" si="7"/>
        <v>3.5921966701824459</v>
      </c>
    </row>
    <row r="488" spans="1:25" x14ac:dyDescent="0.3">
      <c r="A488" t="s">
        <v>978</v>
      </c>
      <c r="B488" t="s">
        <v>979</v>
      </c>
      <c r="C488">
        <v>2</v>
      </c>
      <c r="D488" s="1">
        <v>44855</v>
      </c>
      <c r="E488">
        <v>2415</v>
      </c>
      <c r="F488">
        <v>0</v>
      </c>
      <c r="G488">
        <v>33</v>
      </c>
      <c r="H488">
        <v>57</v>
      </c>
      <c r="I488">
        <v>30</v>
      </c>
      <c r="J488">
        <v>0</v>
      </c>
      <c r="K488">
        <v>11</v>
      </c>
      <c r="L488">
        <v>323437194</v>
      </c>
      <c r="M488">
        <v>110</v>
      </c>
      <c r="N488" t="s">
        <v>37</v>
      </c>
      <c r="O488" t="s">
        <v>28</v>
      </c>
      <c r="P488">
        <v>66</v>
      </c>
      <c r="Q488">
        <v>19</v>
      </c>
      <c r="R488" t="str" cm="1">
        <f t="array" ref="R488">_xlfn.IFS(Q488&gt;70,"Good",Q488&lt;40,"Bad",(Q488&gt;OS526*(Q488&lt;80)),"Ok")</f>
        <v>Bad</v>
      </c>
      <c r="S488">
        <v>32</v>
      </c>
      <c r="T488" t="str" cm="1">
        <f t="array" ref="T488">_xlfn.IFS(S488&gt;50, "High", S488&lt;=50, "Low")</f>
        <v>Low</v>
      </c>
      <c r="U488">
        <v>69</v>
      </c>
      <c r="V488">
        <v>0</v>
      </c>
      <c r="W488">
        <v>12</v>
      </c>
      <c r="X488">
        <v>4</v>
      </c>
      <c r="Y488">
        <f t="shared" ca="1" si="7"/>
        <v>10.76073756015573</v>
      </c>
    </row>
    <row r="489" spans="1:25" x14ac:dyDescent="0.3">
      <c r="A489" t="s">
        <v>980</v>
      </c>
      <c r="B489" t="s">
        <v>36</v>
      </c>
      <c r="C489">
        <v>1</v>
      </c>
      <c r="D489" s="1">
        <v>44855</v>
      </c>
      <c r="E489">
        <v>2304</v>
      </c>
      <c r="F489">
        <v>0</v>
      </c>
      <c r="G489">
        <v>12</v>
      </c>
      <c r="H489">
        <v>16</v>
      </c>
      <c r="I489">
        <v>14</v>
      </c>
      <c r="J489">
        <v>0</v>
      </c>
      <c r="K489">
        <v>0</v>
      </c>
      <c r="L489">
        <v>317726339</v>
      </c>
      <c r="M489">
        <v>108</v>
      </c>
      <c r="N489" t="s">
        <v>94</v>
      </c>
      <c r="O489" t="s">
        <v>28</v>
      </c>
      <c r="P489">
        <v>64</v>
      </c>
      <c r="Q489">
        <v>4</v>
      </c>
      <c r="R489" t="str" cm="1">
        <f t="array" ref="R489">_xlfn.IFS(Q489&gt;70,"Good",Q489&lt;40,"Bad",(Q489&gt;OS527*(Q489&lt;80)),"Ok")</f>
        <v>Bad</v>
      </c>
      <c r="S489">
        <v>40</v>
      </c>
      <c r="T489" t="str" cm="1">
        <f t="array" ref="T489">_xlfn.IFS(S489&gt;50, "High", S489&lt;=50, "Low")</f>
        <v>Low</v>
      </c>
      <c r="U489">
        <v>6</v>
      </c>
      <c r="V489">
        <v>0</v>
      </c>
      <c r="W489">
        <v>10</v>
      </c>
      <c r="X489">
        <v>6</v>
      </c>
      <c r="Y489">
        <f t="shared" ca="1" si="7"/>
        <v>35.970299142591912</v>
      </c>
    </row>
    <row r="490" spans="1:25" x14ac:dyDescent="0.3">
      <c r="A490" t="s">
        <v>981</v>
      </c>
      <c r="B490" t="s">
        <v>982</v>
      </c>
      <c r="C490">
        <v>4</v>
      </c>
      <c r="D490" s="1">
        <v>44832</v>
      </c>
      <c r="E490">
        <v>1003</v>
      </c>
      <c r="F490">
        <v>0</v>
      </c>
      <c r="G490">
        <v>21</v>
      </c>
      <c r="H490">
        <v>0</v>
      </c>
      <c r="I490">
        <v>44</v>
      </c>
      <c r="J490">
        <v>0</v>
      </c>
      <c r="K490">
        <v>0</v>
      </c>
      <c r="L490">
        <v>116144341</v>
      </c>
      <c r="M490">
        <v>130</v>
      </c>
      <c r="N490" t="s">
        <v>134</v>
      </c>
      <c r="O490" t="s">
        <v>45</v>
      </c>
      <c r="P490">
        <v>89</v>
      </c>
      <c r="Q490">
        <v>48</v>
      </c>
      <c r="R490" t="str" cm="1">
        <f t="array" ref="R490">_xlfn.IFS(Q490&gt;70,"Good",Q490&lt;40,"Bad",(Q490&gt;OS528*(Q490&lt;80)),"Ok")</f>
        <v>Ok</v>
      </c>
      <c r="S490">
        <v>74</v>
      </c>
      <c r="T490" t="str" cm="1">
        <f t="array" ref="T490">_xlfn.IFS(S490&gt;50, "High", S490&lt;=50, "Low")</f>
        <v>High</v>
      </c>
      <c r="U490">
        <v>30</v>
      </c>
      <c r="V490">
        <v>0</v>
      </c>
      <c r="W490">
        <v>7</v>
      </c>
      <c r="X490">
        <v>36</v>
      </c>
      <c r="Y490">
        <f t="shared" ca="1" si="7"/>
        <v>47.903860402292544</v>
      </c>
    </row>
    <row r="491" spans="1:25" x14ac:dyDescent="0.3">
      <c r="A491" t="s">
        <v>983</v>
      </c>
      <c r="B491" t="s">
        <v>36</v>
      </c>
      <c r="C491">
        <v>1</v>
      </c>
      <c r="D491" s="1">
        <v>44855</v>
      </c>
      <c r="E491">
        <v>2699</v>
      </c>
      <c r="F491">
        <v>0</v>
      </c>
      <c r="G491">
        <v>39</v>
      </c>
      <c r="H491">
        <v>35</v>
      </c>
      <c r="I491">
        <v>22</v>
      </c>
      <c r="J491">
        <v>2</v>
      </c>
      <c r="K491">
        <v>0</v>
      </c>
      <c r="L491">
        <v>328207708</v>
      </c>
      <c r="M491">
        <v>164</v>
      </c>
      <c r="N491" t="s">
        <v>94</v>
      </c>
      <c r="O491" t="s">
        <v>28</v>
      </c>
      <c r="P491">
        <v>70</v>
      </c>
      <c r="Q491">
        <v>39</v>
      </c>
      <c r="R491" t="str" cm="1">
        <f t="array" ref="R491">_xlfn.IFS(Q491&gt;70,"Good",Q491&lt;40,"Bad",(Q491&gt;OS529*(Q491&lt;80)),"Ok")</f>
        <v>Bad</v>
      </c>
      <c r="S491">
        <v>56</v>
      </c>
      <c r="T491" t="str" cm="1">
        <f t="array" ref="T491">_xlfn.IFS(S491&gt;50, "High", S491&lt;=50, "Low")</f>
        <v>High</v>
      </c>
      <c r="U491">
        <v>6</v>
      </c>
      <c r="V491">
        <v>0</v>
      </c>
      <c r="W491">
        <v>9</v>
      </c>
      <c r="X491">
        <v>7</v>
      </c>
      <c r="Y491">
        <f t="shared" ca="1" si="7"/>
        <v>58.786900042490167</v>
      </c>
    </row>
    <row r="492" spans="1:25" x14ac:dyDescent="0.3">
      <c r="A492" t="s">
        <v>984</v>
      </c>
      <c r="B492" t="s">
        <v>985</v>
      </c>
      <c r="C492">
        <v>2</v>
      </c>
      <c r="D492" s="1">
        <v>44687</v>
      </c>
      <c r="E492">
        <v>2482</v>
      </c>
      <c r="F492">
        <v>20</v>
      </c>
      <c r="G492">
        <v>27</v>
      </c>
      <c r="H492">
        <v>77</v>
      </c>
      <c r="I492">
        <v>22</v>
      </c>
      <c r="J492">
        <v>2</v>
      </c>
      <c r="K492">
        <v>0</v>
      </c>
      <c r="L492">
        <v>608228647</v>
      </c>
      <c r="M492">
        <v>114</v>
      </c>
      <c r="N492" t="s">
        <v>27</v>
      </c>
      <c r="O492" t="s">
        <v>45</v>
      </c>
      <c r="P492">
        <v>80</v>
      </c>
      <c r="Q492">
        <v>42</v>
      </c>
      <c r="R492" t="str" cm="1">
        <f t="array" ref="R492">_xlfn.IFS(Q492&gt;70,"Good",Q492&lt;40,"Bad",(Q492&gt;OS530*(Q492&lt;80)),"Ok")</f>
        <v>Ok</v>
      </c>
      <c r="S492">
        <v>68</v>
      </c>
      <c r="T492" t="str" cm="1">
        <f t="array" ref="T492">_xlfn.IFS(S492&gt;50, "High", S492&lt;=50, "Low")</f>
        <v>High</v>
      </c>
      <c r="U492">
        <v>2</v>
      </c>
      <c r="V492">
        <v>0</v>
      </c>
      <c r="W492">
        <v>66</v>
      </c>
      <c r="X492">
        <v>4</v>
      </c>
      <c r="Y492">
        <f t="shared" ca="1" si="7"/>
        <v>99.416672869529904</v>
      </c>
    </row>
    <row r="493" spans="1:25" x14ac:dyDescent="0.3">
      <c r="A493" t="s">
        <v>464</v>
      </c>
      <c r="B493" t="s">
        <v>986</v>
      </c>
      <c r="C493">
        <v>2</v>
      </c>
      <c r="D493" s="1">
        <v>38615</v>
      </c>
      <c r="E493">
        <v>2577</v>
      </c>
      <c r="F493">
        <v>0</v>
      </c>
      <c r="G493">
        <v>108</v>
      </c>
      <c r="H493">
        <v>56</v>
      </c>
      <c r="I493">
        <v>30</v>
      </c>
      <c r="J493">
        <v>0</v>
      </c>
      <c r="K493">
        <v>0</v>
      </c>
      <c r="L493">
        <v>180577478</v>
      </c>
      <c r="M493">
        <v>93</v>
      </c>
      <c r="N493" t="s">
        <v>34</v>
      </c>
      <c r="O493" t="s">
        <v>28</v>
      </c>
      <c r="P493">
        <v>63</v>
      </c>
      <c r="Q493">
        <v>93</v>
      </c>
      <c r="R493" t="str" cm="1">
        <f t="array" ref="R493">_xlfn.IFS(Q493&gt;70,"Good",Q493&lt;40,"Bad",(Q493&gt;OS531*(Q493&lt;80)),"Ok")</f>
        <v>Good</v>
      </c>
      <c r="S493">
        <v>88</v>
      </c>
      <c r="T493" t="str" cm="1">
        <f t="array" ref="T493">_xlfn.IFS(S493&gt;50, "High", S493&lt;=50, "Low")</f>
        <v>High</v>
      </c>
      <c r="U493">
        <v>1</v>
      </c>
      <c r="V493">
        <v>0</v>
      </c>
      <c r="W493">
        <v>12</v>
      </c>
      <c r="X493">
        <v>4</v>
      </c>
      <c r="Y493">
        <f t="shared" ca="1" si="7"/>
        <v>81.371752338380645</v>
      </c>
    </row>
    <row r="494" spans="1:25" x14ac:dyDescent="0.3">
      <c r="A494" t="s">
        <v>987</v>
      </c>
      <c r="B494" t="s">
        <v>988</v>
      </c>
      <c r="C494">
        <v>2</v>
      </c>
      <c r="D494" s="1">
        <v>44372</v>
      </c>
      <c r="E494">
        <v>6821</v>
      </c>
      <c r="F494">
        <v>34</v>
      </c>
      <c r="G494">
        <v>83</v>
      </c>
      <c r="H494">
        <v>58</v>
      </c>
      <c r="I494">
        <v>128</v>
      </c>
      <c r="J494">
        <v>7</v>
      </c>
      <c r="K494">
        <v>0</v>
      </c>
      <c r="L494">
        <v>809306935</v>
      </c>
      <c r="M494">
        <v>90</v>
      </c>
      <c r="N494" t="s">
        <v>31</v>
      </c>
      <c r="O494" t="s">
        <v>45</v>
      </c>
      <c r="P494">
        <v>87</v>
      </c>
      <c r="Q494">
        <v>51</v>
      </c>
      <c r="R494" t="str" cm="1">
        <f t="array" ref="R494">_xlfn.IFS(Q494&gt;70,"Good",Q494&lt;40,"Bad",(Q494&gt;OS532*(Q494&lt;80)),"Ok")</f>
        <v>Ok</v>
      </c>
      <c r="S494">
        <v>69</v>
      </c>
      <c r="T494" t="str" cm="1">
        <f t="array" ref="T494">_xlfn.IFS(S494&gt;50, "High", S494&lt;=50, "Low")</f>
        <v>High</v>
      </c>
      <c r="U494">
        <v>36</v>
      </c>
      <c r="V494">
        <v>0</v>
      </c>
      <c r="W494">
        <v>9</v>
      </c>
      <c r="X494">
        <v>8</v>
      </c>
      <c r="Y494">
        <f t="shared" ca="1" si="7"/>
        <v>52.379942697108575</v>
      </c>
    </row>
    <row r="495" spans="1:25" x14ac:dyDescent="0.3">
      <c r="A495" t="s">
        <v>989</v>
      </c>
      <c r="B495" t="s">
        <v>80</v>
      </c>
      <c r="C495">
        <v>1</v>
      </c>
      <c r="D495" s="1">
        <v>44903</v>
      </c>
      <c r="E495">
        <v>714</v>
      </c>
      <c r="F495">
        <v>0</v>
      </c>
      <c r="G495">
        <v>0</v>
      </c>
      <c r="H495">
        <v>9</v>
      </c>
      <c r="I495">
        <v>2</v>
      </c>
      <c r="J495">
        <v>0</v>
      </c>
      <c r="K495">
        <v>0</v>
      </c>
      <c r="L495">
        <v>49262961</v>
      </c>
      <c r="M495">
        <v>128</v>
      </c>
      <c r="N495" t="s">
        <v>27</v>
      </c>
      <c r="O495" t="s">
        <v>28</v>
      </c>
      <c r="P495">
        <v>45</v>
      </c>
      <c r="Q495">
        <v>35</v>
      </c>
      <c r="R495" t="str" cm="1">
        <f t="array" ref="R495">_xlfn.IFS(Q495&gt;70,"Good",Q495&lt;40,"Bad",(Q495&gt;OS533*(Q495&lt;80)),"Ok")</f>
        <v>Bad</v>
      </c>
      <c r="S495">
        <v>68</v>
      </c>
      <c r="T495" t="str" cm="1">
        <f t="array" ref="T495">_xlfn.IFS(S495&gt;50, "High", S495&lt;=50, "Low")</f>
        <v>High</v>
      </c>
      <c r="U495">
        <v>78</v>
      </c>
      <c r="V495">
        <v>0</v>
      </c>
      <c r="W495">
        <v>39</v>
      </c>
      <c r="X495">
        <v>8</v>
      </c>
      <c r="Y495">
        <f t="shared" ca="1" si="7"/>
        <v>82.366880992467912</v>
      </c>
    </row>
    <row r="496" spans="1:25" x14ac:dyDescent="0.3">
      <c r="A496" t="s">
        <v>990</v>
      </c>
      <c r="B496" t="s">
        <v>991</v>
      </c>
      <c r="C496">
        <v>2</v>
      </c>
      <c r="D496" s="1">
        <v>44687</v>
      </c>
      <c r="E496">
        <v>3185</v>
      </c>
      <c r="F496">
        <v>4</v>
      </c>
      <c r="G496">
        <v>38</v>
      </c>
      <c r="H496">
        <v>64</v>
      </c>
      <c r="I496">
        <v>37</v>
      </c>
      <c r="J496">
        <v>3</v>
      </c>
      <c r="K496">
        <v>36</v>
      </c>
      <c r="L496">
        <v>614555082</v>
      </c>
      <c r="M496">
        <v>97</v>
      </c>
      <c r="N496" t="s">
        <v>37</v>
      </c>
      <c r="O496" t="s">
        <v>28</v>
      </c>
      <c r="P496">
        <v>83</v>
      </c>
      <c r="Q496">
        <v>47</v>
      </c>
      <c r="R496" t="str" cm="1">
        <f t="array" ref="R496">_xlfn.IFS(Q496&gt;70,"Good",Q496&lt;40,"Bad",(Q496&gt;OS534*(Q496&lt;80)),"Ok")</f>
        <v>Ok</v>
      </c>
      <c r="S496">
        <v>80</v>
      </c>
      <c r="T496" t="str" cm="1">
        <f t="array" ref="T496">_xlfn.IFS(S496&gt;50, "High", S496&lt;=50, "Low")</f>
        <v>High</v>
      </c>
      <c r="U496">
        <v>2</v>
      </c>
      <c r="V496">
        <v>0</v>
      </c>
      <c r="W496">
        <v>24</v>
      </c>
      <c r="X496">
        <v>9</v>
      </c>
      <c r="Y496">
        <f t="shared" ca="1" si="7"/>
        <v>3.6031655622892234</v>
      </c>
    </row>
    <row r="497" spans="1:25" x14ac:dyDescent="0.3">
      <c r="A497" t="s">
        <v>95</v>
      </c>
      <c r="B497" t="s">
        <v>992</v>
      </c>
      <c r="C497">
        <v>1</v>
      </c>
      <c r="D497" s="1">
        <v>21186</v>
      </c>
      <c r="E497">
        <v>8612</v>
      </c>
      <c r="F497">
        <v>0</v>
      </c>
      <c r="G497">
        <v>120</v>
      </c>
      <c r="H497">
        <v>30</v>
      </c>
      <c r="I497">
        <v>52</v>
      </c>
      <c r="J497">
        <v>0</v>
      </c>
      <c r="K497">
        <v>1</v>
      </c>
      <c r="L497">
        <v>245350949</v>
      </c>
      <c r="M497">
        <v>152</v>
      </c>
      <c r="N497" t="s">
        <v>94</v>
      </c>
      <c r="O497" t="s">
        <v>45</v>
      </c>
      <c r="P497">
        <v>69</v>
      </c>
      <c r="Q497">
        <v>94</v>
      </c>
      <c r="R497" t="str" cm="1">
        <f t="array" ref="R497">_xlfn.IFS(Q497&gt;70,"Good",Q497&lt;40,"Bad",(Q497&gt;OS535*(Q497&lt;80)),"Ok")</f>
        <v>Good</v>
      </c>
      <c r="S497">
        <v>71</v>
      </c>
      <c r="T497" t="str" cm="1">
        <f t="array" ref="T497">_xlfn.IFS(S497&gt;50, "High", S497&lt;=50, "Low")</f>
        <v>High</v>
      </c>
      <c r="U497">
        <v>79</v>
      </c>
      <c r="V497">
        <v>0</v>
      </c>
      <c r="W497">
        <v>7</v>
      </c>
      <c r="X497">
        <v>8</v>
      </c>
      <c r="Y497">
        <f t="shared" ca="1" si="7"/>
        <v>23.239485825726437</v>
      </c>
    </row>
    <row r="498" spans="1:25" x14ac:dyDescent="0.3">
      <c r="A498" t="s">
        <v>993</v>
      </c>
      <c r="B498" t="s">
        <v>994</v>
      </c>
      <c r="C498">
        <v>1</v>
      </c>
      <c r="D498" s="1">
        <v>20821</v>
      </c>
      <c r="E498">
        <v>4326</v>
      </c>
      <c r="F498">
        <v>0</v>
      </c>
      <c r="G498">
        <v>32</v>
      </c>
      <c r="H498">
        <v>3</v>
      </c>
      <c r="I498">
        <v>65</v>
      </c>
      <c r="J498">
        <v>0</v>
      </c>
      <c r="K498">
        <v>0</v>
      </c>
      <c r="L498">
        <v>178660459</v>
      </c>
      <c r="M498">
        <v>175</v>
      </c>
      <c r="N498" t="s">
        <v>81</v>
      </c>
      <c r="O498" t="s">
        <v>28</v>
      </c>
      <c r="P498">
        <v>51</v>
      </c>
      <c r="Q498">
        <v>94</v>
      </c>
      <c r="R498" t="str" cm="1">
        <f t="array" ref="R498">_xlfn.IFS(Q498&gt;70,"Good",Q498&lt;40,"Bad",(Q498&gt;OS536*(Q498&lt;80)),"Ok")</f>
        <v>Good</v>
      </c>
      <c r="S498">
        <v>34</v>
      </c>
      <c r="T498" t="str" cm="1">
        <f t="array" ref="T498">_xlfn.IFS(S498&gt;50, "High", S498&lt;=50, "Low")</f>
        <v>Low</v>
      </c>
      <c r="U498">
        <v>73</v>
      </c>
      <c r="V498">
        <v>0</v>
      </c>
      <c r="W498">
        <v>10</v>
      </c>
      <c r="X498">
        <v>5</v>
      </c>
      <c r="Y498">
        <f t="shared" ca="1" si="7"/>
        <v>64.857327471855342</v>
      </c>
    </row>
    <row r="499" spans="1:25" x14ac:dyDescent="0.3">
      <c r="A499" t="s">
        <v>995</v>
      </c>
      <c r="B499" t="s">
        <v>80</v>
      </c>
      <c r="C499">
        <v>1</v>
      </c>
      <c r="D499" s="1">
        <v>44904</v>
      </c>
      <c r="E499">
        <v>680</v>
      </c>
      <c r="F499">
        <v>0</v>
      </c>
      <c r="G499">
        <v>2</v>
      </c>
      <c r="H499">
        <v>15</v>
      </c>
      <c r="I499">
        <v>1</v>
      </c>
      <c r="J499">
        <v>0</v>
      </c>
      <c r="K499">
        <v>0</v>
      </c>
      <c r="L499">
        <v>51641685</v>
      </c>
      <c r="M499">
        <v>116</v>
      </c>
      <c r="N499" t="s">
        <v>61</v>
      </c>
      <c r="O499" t="s">
        <v>28</v>
      </c>
      <c r="P499">
        <v>61</v>
      </c>
      <c r="Q499">
        <v>48</v>
      </c>
      <c r="R499" t="str" cm="1">
        <f t="array" ref="R499">_xlfn.IFS(Q499&gt;70,"Good",Q499&lt;40,"Bad",(Q499&gt;OS537*(Q499&lt;80)),"Ok")</f>
        <v>Ok</v>
      </c>
      <c r="S499">
        <v>55</v>
      </c>
      <c r="T499" t="str" cm="1">
        <f t="array" ref="T499">_xlfn.IFS(S499&gt;50, "High", S499&lt;=50, "Low")</f>
        <v>High</v>
      </c>
      <c r="U499">
        <v>67</v>
      </c>
      <c r="V499">
        <v>0</v>
      </c>
      <c r="W499">
        <v>16</v>
      </c>
      <c r="X499">
        <v>8</v>
      </c>
      <c r="Y499">
        <f t="shared" ca="1" si="7"/>
        <v>47.149331038525645</v>
      </c>
    </row>
    <row r="500" spans="1:25" x14ac:dyDescent="0.3">
      <c r="A500" t="s">
        <v>996</v>
      </c>
      <c r="B500" t="s">
        <v>997</v>
      </c>
      <c r="C500">
        <v>2</v>
      </c>
      <c r="D500" s="1">
        <v>44897</v>
      </c>
      <c r="E500">
        <v>398</v>
      </c>
      <c r="F500">
        <v>0</v>
      </c>
      <c r="G500">
        <v>2</v>
      </c>
      <c r="H500">
        <v>2</v>
      </c>
      <c r="I500">
        <v>6</v>
      </c>
      <c r="J500">
        <v>0</v>
      </c>
      <c r="K500">
        <v>2</v>
      </c>
      <c r="L500">
        <v>78139948</v>
      </c>
      <c r="M500">
        <v>80</v>
      </c>
      <c r="N500" t="s">
        <v>34</v>
      </c>
      <c r="O500" t="s">
        <v>45</v>
      </c>
      <c r="P500">
        <v>33</v>
      </c>
      <c r="Q500">
        <v>51</v>
      </c>
      <c r="R500" t="str" cm="1">
        <f t="array" ref="R500">_xlfn.IFS(Q500&gt;70,"Good",Q500&lt;40,"Bad",(Q500&gt;OS538*(Q500&lt;80)),"Ok")</f>
        <v>Ok</v>
      </c>
      <c r="S500">
        <v>59</v>
      </c>
      <c r="T500" t="str" cm="1">
        <f t="array" ref="T500">_xlfn.IFS(S500&gt;50, "High", S500&lt;=50, "Low")</f>
        <v>High</v>
      </c>
      <c r="U500">
        <v>76</v>
      </c>
      <c r="V500">
        <v>0</v>
      </c>
      <c r="W500">
        <v>44</v>
      </c>
      <c r="X500">
        <v>6</v>
      </c>
      <c r="Y500">
        <f t="shared" ca="1" si="7"/>
        <v>52.822486642642538</v>
      </c>
    </row>
    <row r="501" spans="1:25" x14ac:dyDescent="0.3">
      <c r="A501" t="s">
        <v>998</v>
      </c>
      <c r="B501" t="s">
        <v>999</v>
      </c>
      <c r="C501">
        <v>2</v>
      </c>
      <c r="D501" s="1">
        <v>44798</v>
      </c>
      <c r="E501">
        <v>3328</v>
      </c>
      <c r="F501">
        <v>13</v>
      </c>
      <c r="G501">
        <v>39</v>
      </c>
      <c r="H501">
        <v>50</v>
      </c>
      <c r="I501">
        <v>57</v>
      </c>
      <c r="J501">
        <v>3</v>
      </c>
      <c r="K501">
        <v>1</v>
      </c>
      <c r="L501">
        <v>322336177</v>
      </c>
      <c r="M501">
        <v>93</v>
      </c>
      <c r="N501" t="s">
        <v>27</v>
      </c>
      <c r="O501" t="s">
        <v>45</v>
      </c>
      <c r="P501">
        <v>63</v>
      </c>
      <c r="Q501">
        <v>34</v>
      </c>
      <c r="R501" t="str" cm="1">
        <f t="array" ref="R501">_xlfn.IFS(Q501&gt;70,"Good",Q501&lt;40,"Bad",(Q501&gt;OS539*(Q501&lt;80)),"Ok")</f>
        <v>Bad</v>
      </c>
      <c r="S501">
        <v>86</v>
      </c>
      <c r="T501" t="str" cm="1">
        <f t="array" ref="T501">_xlfn.IFS(S501&gt;50, "High", S501&lt;=50, "Low")</f>
        <v>High</v>
      </c>
      <c r="U501">
        <v>26</v>
      </c>
      <c r="V501">
        <v>0</v>
      </c>
      <c r="W501">
        <v>21</v>
      </c>
      <c r="X501">
        <v>39</v>
      </c>
      <c r="Y501">
        <f t="shared" ca="1" si="7"/>
        <v>5.9576997886261136</v>
      </c>
    </row>
    <row r="502" spans="1:25" x14ac:dyDescent="0.3">
      <c r="A502" t="s">
        <v>1000</v>
      </c>
      <c r="B502" t="s">
        <v>1001</v>
      </c>
      <c r="C502">
        <v>1</v>
      </c>
      <c r="D502" s="1">
        <v>44421</v>
      </c>
      <c r="E502">
        <v>7215</v>
      </c>
      <c r="F502">
        <v>0</v>
      </c>
      <c r="G502">
        <v>170</v>
      </c>
      <c r="H502">
        <v>12</v>
      </c>
      <c r="I502">
        <v>575</v>
      </c>
      <c r="J502">
        <v>18</v>
      </c>
      <c r="L502">
        <v>1007612429</v>
      </c>
      <c r="M502">
        <v>122</v>
      </c>
      <c r="N502" t="s">
        <v>134</v>
      </c>
      <c r="O502" t="s">
        <v>28</v>
      </c>
      <c r="P502">
        <v>70</v>
      </c>
      <c r="Q502">
        <v>42</v>
      </c>
      <c r="R502" t="str" cm="1">
        <f t="array" ref="R502">_xlfn.IFS(Q502&gt;70,"Good",Q502&lt;40,"Bad",(Q502&gt;OS540*(Q502&lt;80)),"Ok")</f>
        <v>Ok</v>
      </c>
      <c r="S502">
        <v>54</v>
      </c>
      <c r="T502" t="str" cm="1">
        <f t="array" ref="T502">_xlfn.IFS(S502&gt;50, "High", S502&lt;=50, "Low")</f>
        <v>High</v>
      </c>
      <c r="U502">
        <v>30</v>
      </c>
      <c r="V502">
        <v>0</v>
      </c>
      <c r="W502">
        <v>37</v>
      </c>
      <c r="X502">
        <v>5</v>
      </c>
      <c r="Y502">
        <f t="shared" ca="1" si="7"/>
        <v>33.715050333352792</v>
      </c>
    </row>
    <row r="503" spans="1:25" x14ac:dyDescent="0.3">
      <c r="A503" t="s">
        <v>406</v>
      </c>
      <c r="B503" t="s">
        <v>171</v>
      </c>
      <c r="C503">
        <v>1</v>
      </c>
      <c r="D503" s="1">
        <v>44568</v>
      </c>
      <c r="E503">
        <v>4440</v>
      </c>
      <c r="F503">
        <v>0</v>
      </c>
      <c r="G503">
        <v>81</v>
      </c>
      <c r="H503">
        <v>77</v>
      </c>
      <c r="I503">
        <v>133</v>
      </c>
      <c r="J503">
        <v>0</v>
      </c>
      <c r="L503">
        <v>326792833</v>
      </c>
      <c r="M503">
        <v>122</v>
      </c>
      <c r="N503" t="s">
        <v>94</v>
      </c>
      <c r="O503" t="s">
        <v>28</v>
      </c>
      <c r="P503">
        <v>70</v>
      </c>
      <c r="Q503">
        <v>91</v>
      </c>
      <c r="R503" t="str" cm="1">
        <f t="array" ref="R503">_xlfn.IFS(Q503&gt;70,"Good",Q503&lt;40,"Bad",(Q503&gt;OS541*(Q503&lt;80)),"Ok")</f>
        <v>Good</v>
      </c>
      <c r="S503">
        <v>79</v>
      </c>
      <c r="T503" t="str" cm="1">
        <f t="array" ref="T503">_xlfn.IFS(S503&gt;50, "High", S503&lt;=50, "Low")</f>
        <v>High</v>
      </c>
      <c r="U503">
        <v>3</v>
      </c>
      <c r="V503">
        <v>0</v>
      </c>
      <c r="W503">
        <v>7</v>
      </c>
      <c r="X503">
        <v>10</v>
      </c>
      <c r="Y503">
        <f t="shared" ca="1" si="7"/>
        <v>66.671231650380477</v>
      </c>
    </row>
    <row r="504" spans="1:25" x14ac:dyDescent="0.3">
      <c r="A504" t="s">
        <v>1002</v>
      </c>
      <c r="B504" t="s">
        <v>171</v>
      </c>
      <c r="C504">
        <v>1</v>
      </c>
      <c r="D504" s="1">
        <v>44568</v>
      </c>
      <c r="E504">
        <v>2881</v>
      </c>
      <c r="F504">
        <v>6</v>
      </c>
      <c r="G504">
        <v>13</v>
      </c>
      <c r="H504">
        <v>89</v>
      </c>
      <c r="I504">
        <v>34</v>
      </c>
      <c r="J504">
        <v>0</v>
      </c>
      <c r="K504">
        <v>3</v>
      </c>
      <c r="L504">
        <v>391251368</v>
      </c>
      <c r="M504">
        <v>135</v>
      </c>
      <c r="N504" t="s">
        <v>37</v>
      </c>
      <c r="O504" t="s">
        <v>45</v>
      </c>
      <c r="P504">
        <v>70</v>
      </c>
      <c r="Q504">
        <v>60</v>
      </c>
      <c r="R504" t="str" cm="1">
        <f t="array" ref="R504">_xlfn.IFS(Q504&gt;70,"Good",Q504&lt;40,"Bad",(Q504&gt;OS542*(Q504&lt;80)),"Ok")</f>
        <v>Ok</v>
      </c>
      <c r="S504">
        <v>58</v>
      </c>
      <c r="T504" t="str" cm="1">
        <f t="array" ref="T504">_xlfn.IFS(S504&gt;50, "High", S504&lt;=50, "Low")</f>
        <v>High</v>
      </c>
      <c r="U504">
        <v>4</v>
      </c>
      <c r="V504">
        <v>0</v>
      </c>
      <c r="W504">
        <v>16</v>
      </c>
      <c r="X504">
        <v>3</v>
      </c>
      <c r="Y504">
        <f t="shared" ca="1" si="7"/>
        <v>1.8008071907164802</v>
      </c>
    </row>
    <row r="505" spans="1:25" x14ac:dyDescent="0.3">
      <c r="A505" t="s">
        <v>1003</v>
      </c>
      <c r="B505" t="s">
        <v>1004</v>
      </c>
      <c r="C505">
        <v>3</v>
      </c>
      <c r="D505" s="1">
        <v>44566</v>
      </c>
      <c r="E505">
        <v>2235</v>
      </c>
      <c r="F505">
        <v>0</v>
      </c>
      <c r="G505">
        <v>65</v>
      </c>
      <c r="H505">
        <v>7</v>
      </c>
      <c r="I505">
        <v>70</v>
      </c>
      <c r="J505">
        <v>16</v>
      </c>
      <c r="K505">
        <v>6</v>
      </c>
      <c r="L505">
        <v>349585590</v>
      </c>
      <c r="M505">
        <v>109</v>
      </c>
      <c r="N505" t="s">
        <v>34</v>
      </c>
      <c r="O505" t="s">
        <v>28</v>
      </c>
      <c r="P505">
        <v>60</v>
      </c>
      <c r="Q505">
        <v>45</v>
      </c>
      <c r="R505" t="str" cm="1">
        <f t="array" ref="R505">_xlfn.IFS(Q505&gt;70,"Good",Q505&lt;40,"Bad",(Q505&gt;OS543*(Q505&lt;80)),"Ok")</f>
        <v>Ok</v>
      </c>
      <c r="S505">
        <v>47</v>
      </c>
      <c r="T505" t="str" cm="1">
        <f t="array" ref="T505">_xlfn.IFS(S505&gt;50, "High", S505&lt;=50, "Low")</f>
        <v>Low</v>
      </c>
      <c r="U505">
        <v>62</v>
      </c>
      <c r="V505">
        <v>0</v>
      </c>
      <c r="W505">
        <v>31</v>
      </c>
      <c r="X505">
        <v>5</v>
      </c>
      <c r="Y505">
        <f t="shared" ca="1" si="7"/>
        <v>93.513864021251848</v>
      </c>
    </row>
    <row r="506" spans="1:25" x14ac:dyDescent="0.3">
      <c r="A506" t="s">
        <v>459</v>
      </c>
      <c r="B506" t="s">
        <v>171</v>
      </c>
      <c r="C506">
        <v>1</v>
      </c>
      <c r="D506" s="1">
        <v>44568</v>
      </c>
      <c r="E506">
        <v>3711</v>
      </c>
      <c r="F506">
        <v>0</v>
      </c>
      <c r="G506">
        <v>49</v>
      </c>
      <c r="H506">
        <v>88</v>
      </c>
      <c r="I506">
        <v>62</v>
      </c>
      <c r="J506">
        <v>0</v>
      </c>
      <c r="L506">
        <v>339659802</v>
      </c>
      <c r="M506">
        <v>93</v>
      </c>
      <c r="O506" t="s">
        <v>45</v>
      </c>
      <c r="P506">
        <v>65</v>
      </c>
      <c r="Q506">
        <v>82</v>
      </c>
      <c r="R506" t="str" cm="1">
        <f t="array" ref="R506">_xlfn.IFS(Q506&gt;70,"Good",Q506&lt;40,"Bad",(Q506&gt;OS544*(Q506&lt;80)),"Ok")</f>
        <v>Good</v>
      </c>
      <c r="S506">
        <v>74</v>
      </c>
      <c r="T506" t="str" cm="1">
        <f t="array" ref="T506">_xlfn.IFS(S506&gt;50, "High", S506&lt;=50, "Low")</f>
        <v>High</v>
      </c>
      <c r="U506">
        <v>27</v>
      </c>
      <c r="V506">
        <v>0</v>
      </c>
      <c r="W506">
        <v>32</v>
      </c>
      <c r="X506">
        <v>5</v>
      </c>
      <c r="Y506">
        <f t="shared" ca="1" si="7"/>
        <v>21.80903113274849</v>
      </c>
    </row>
    <row r="507" spans="1:25" x14ac:dyDescent="0.3">
      <c r="A507" t="s">
        <v>1005</v>
      </c>
      <c r="B507" t="s">
        <v>1006</v>
      </c>
      <c r="C507">
        <v>2</v>
      </c>
      <c r="D507" s="1">
        <v>44428</v>
      </c>
      <c r="E507">
        <v>12403</v>
      </c>
      <c r="F507">
        <v>0</v>
      </c>
      <c r="G507">
        <v>183</v>
      </c>
      <c r="H507">
        <v>63</v>
      </c>
      <c r="I507">
        <v>465</v>
      </c>
      <c r="J507">
        <v>0</v>
      </c>
      <c r="K507">
        <v>11</v>
      </c>
      <c r="L507">
        <v>674772936</v>
      </c>
      <c r="M507">
        <v>125</v>
      </c>
      <c r="N507" t="s">
        <v>27</v>
      </c>
      <c r="O507" t="s">
        <v>45</v>
      </c>
      <c r="P507">
        <v>85</v>
      </c>
      <c r="Q507">
        <v>64</v>
      </c>
      <c r="R507" t="str" cm="1">
        <f t="array" ref="R507">_xlfn.IFS(Q507&gt;70,"Good",Q507&lt;40,"Bad",(Q507&gt;OS545*(Q507&lt;80)),"Ok")</f>
        <v>Ok</v>
      </c>
      <c r="S507">
        <v>81</v>
      </c>
      <c r="T507" t="str" cm="1">
        <f t="array" ref="T507">_xlfn.IFS(S507&gt;50, "High", S507&lt;=50, "Low")</f>
        <v>High</v>
      </c>
      <c r="U507">
        <v>2</v>
      </c>
      <c r="V507">
        <v>5</v>
      </c>
      <c r="W507">
        <v>7</v>
      </c>
      <c r="X507">
        <v>9</v>
      </c>
      <c r="Y507">
        <f t="shared" ca="1" si="7"/>
        <v>48.746513664614724</v>
      </c>
    </row>
    <row r="508" spans="1:25" x14ac:dyDescent="0.3">
      <c r="A508" t="s">
        <v>1007</v>
      </c>
      <c r="B508" t="s">
        <v>1008</v>
      </c>
      <c r="C508">
        <v>7</v>
      </c>
      <c r="D508" s="1">
        <v>44519</v>
      </c>
      <c r="E508">
        <v>2785</v>
      </c>
      <c r="F508">
        <v>0</v>
      </c>
      <c r="G508">
        <v>95</v>
      </c>
      <c r="H508">
        <v>89</v>
      </c>
      <c r="I508">
        <v>44</v>
      </c>
      <c r="J508">
        <v>0</v>
      </c>
      <c r="L508">
        <v>432719968</v>
      </c>
      <c r="M508">
        <v>206</v>
      </c>
      <c r="O508" t="s">
        <v>45</v>
      </c>
      <c r="P508">
        <v>58</v>
      </c>
      <c r="Q508">
        <v>83</v>
      </c>
      <c r="R508" t="str" cm="1">
        <f t="array" ref="R508">_xlfn.IFS(Q508&gt;70,"Good",Q508&lt;40,"Bad",(Q508&gt;OS546*(Q508&lt;80)),"Ok")</f>
        <v>Good</v>
      </c>
      <c r="S508">
        <v>45</v>
      </c>
      <c r="T508" t="str" cm="1">
        <f t="array" ref="T508">_xlfn.IFS(S508&gt;50, "High", S508&lt;=50, "Low")</f>
        <v>Low</v>
      </c>
      <c r="U508">
        <v>36</v>
      </c>
      <c r="V508">
        <v>0</v>
      </c>
      <c r="W508">
        <v>11</v>
      </c>
      <c r="X508">
        <v>8</v>
      </c>
      <c r="Y508">
        <f t="shared" ca="1" si="7"/>
        <v>87.703261813753315</v>
      </c>
    </row>
    <row r="509" spans="1:25" x14ac:dyDescent="0.3">
      <c r="A509" t="s">
        <v>1009</v>
      </c>
      <c r="B509" t="s">
        <v>1010</v>
      </c>
      <c r="C509">
        <v>1</v>
      </c>
      <c r="D509" s="1">
        <v>44371</v>
      </c>
      <c r="E509">
        <v>14114</v>
      </c>
      <c r="F509">
        <v>17</v>
      </c>
      <c r="G509">
        <v>252</v>
      </c>
      <c r="H509">
        <v>109</v>
      </c>
      <c r="I509">
        <v>965</v>
      </c>
      <c r="J509">
        <v>20</v>
      </c>
      <c r="L509">
        <v>1309887447</v>
      </c>
      <c r="M509">
        <v>130</v>
      </c>
      <c r="N509" t="s">
        <v>94</v>
      </c>
      <c r="O509" t="s">
        <v>28</v>
      </c>
      <c r="P509">
        <v>76</v>
      </c>
      <c r="Q509">
        <v>44</v>
      </c>
      <c r="R509" t="str" cm="1">
        <f t="array" ref="R509">_xlfn.IFS(Q509&gt;70,"Good",Q509&lt;40,"Bad",(Q509&gt;OS547*(Q509&lt;80)),"Ok")</f>
        <v>Ok</v>
      </c>
      <c r="S509">
        <v>77</v>
      </c>
      <c r="T509" t="str" cm="1">
        <f t="array" ref="T509">_xlfn.IFS(S509&gt;50, "High", S509&lt;=50, "Low")</f>
        <v>High</v>
      </c>
      <c r="U509">
        <v>1</v>
      </c>
      <c r="V509">
        <v>0</v>
      </c>
      <c r="W509">
        <v>13</v>
      </c>
      <c r="X509">
        <v>3</v>
      </c>
      <c r="Y509">
        <f t="shared" ca="1" si="7"/>
        <v>34.10638459537342</v>
      </c>
    </row>
    <row r="510" spans="1:25" x14ac:dyDescent="0.3">
      <c r="A510" t="s">
        <v>1011</v>
      </c>
      <c r="B510" t="s">
        <v>171</v>
      </c>
      <c r="C510">
        <v>1</v>
      </c>
      <c r="D510" s="1">
        <v>44568</v>
      </c>
      <c r="E510">
        <v>1915</v>
      </c>
      <c r="F510">
        <v>0</v>
      </c>
      <c r="G510">
        <v>7</v>
      </c>
      <c r="H510">
        <v>47</v>
      </c>
      <c r="I510">
        <v>15</v>
      </c>
      <c r="J510">
        <v>0</v>
      </c>
      <c r="K510">
        <v>0</v>
      </c>
      <c r="L510">
        <v>119238316</v>
      </c>
      <c r="M510">
        <v>121</v>
      </c>
      <c r="N510" t="s">
        <v>94</v>
      </c>
      <c r="O510" t="s">
        <v>45</v>
      </c>
      <c r="P510">
        <v>80</v>
      </c>
      <c r="Q510">
        <v>62</v>
      </c>
      <c r="R510" t="str" cm="1">
        <f t="array" ref="R510">_xlfn.IFS(Q510&gt;70,"Good",Q510&lt;40,"Bad",(Q510&gt;OS548*(Q510&lt;80)),"Ok")</f>
        <v>Ok</v>
      </c>
      <c r="S510">
        <v>51</v>
      </c>
      <c r="T510" t="str" cm="1">
        <f t="array" ref="T510">_xlfn.IFS(S510&gt;50, "High", S510&lt;=50, "Low")</f>
        <v>High</v>
      </c>
      <c r="U510">
        <v>2</v>
      </c>
      <c r="V510">
        <v>0</v>
      </c>
      <c r="W510">
        <v>9</v>
      </c>
      <c r="X510">
        <v>8</v>
      </c>
      <c r="Y510">
        <f t="shared" ca="1" si="7"/>
        <v>21.95033967371478</v>
      </c>
    </row>
    <row r="511" spans="1:25" x14ac:dyDescent="0.3">
      <c r="A511" t="s">
        <v>1012</v>
      </c>
      <c r="B511" t="s">
        <v>171</v>
      </c>
      <c r="C511">
        <v>1</v>
      </c>
      <c r="D511" s="1">
        <v>44568</v>
      </c>
      <c r="E511">
        <v>2297</v>
      </c>
      <c r="F511">
        <v>0</v>
      </c>
      <c r="G511">
        <v>11</v>
      </c>
      <c r="H511">
        <v>29</v>
      </c>
      <c r="I511">
        <v>14</v>
      </c>
      <c r="J511">
        <v>0</v>
      </c>
      <c r="K511">
        <v>0</v>
      </c>
      <c r="L511">
        <v>116903579</v>
      </c>
      <c r="M511">
        <v>123</v>
      </c>
      <c r="N511" t="s">
        <v>65</v>
      </c>
      <c r="O511" t="s">
        <v>45</v>
      </c>
      <c r="P511">
        <v>74</v>
      </c>
      <c r="Q511">
        <v>35</v>
      </c>
      <c r="R511" t="str" cm="1">
        <f t="array" ref="R511">_xlfn.IFS(Q511&gt;70,"Good",Q511&lt;40,"Bad",(Q511&gt;OS549*(Q511&lt;80)),"Ok")</f>
        <v>Bad</v>
      </c>
      <c r="S511">
        <v>73</v>
      </c>
      <c r="T511" t="str" cm="1">
        <f t="array" ref="T511">_xlfn.IFS(S511&gt;50, "High", S511&lt;=50, "Low")</f>
        <v>High</v>
      </c>
      <c r="U511">
        <v>0</v>
      </c>
      <c r="V511">
        <v>0</v>
      </c>
      <c r="W511">
        <v>21</v>
      </c>
      <c r="X511">
        <v>5</v>
      </c>
      <c r="Y511">
        <f t="shared" ca="1" si="7"/>
        <v>6.8926524154809155</v>
      </c>
    </row>
    <row r="512" spans="1:25" x14ac:dyDescent="0.3">
      <c r="A512" t="s">
        <v>1013</v>
      </c>
      <c r="B512" t="s">
        <v>1014</v>
      </c>
      <c r="C512">
        <v>1</v>
      </c>
      <c r="D512" s="1">
        <v>42909</v>
      </c>
      <c r="E512">
        <v>4375</v>
      </c>
      <c r="F512">
        <v>0</v>
      </c>
      <c r="G512">
        <v>24</v>
      </c>
      <c r="H512">
        <v>0</v>
      </c>
      <c r="I512">
        <v>396</v>
      </c>
      <c r="J512">
        <v>0</v>
      </c>
      <c r="K512">
        <v>0</v>
      </c>
      <c r="L512">
        <v>888046992</v>
      </c>
      <c r="M512">
        <v>122</v>
      </c>
      <c r="N512" t="s">
        <v>27</v>
      </c>
      <c r="O512" t="s">
        <v>45</v>
      </c>
      <c r="P512">
        <v>67</v>
      </c>
      <c r="Q512">
        <v>50</v>
      </c>
      <c r="R512" t="str" cm="1">
        <f t="array" ref="R512">_xlfn.IFS(Q512&gt;70,"Good",Q512&lt;40,"Bad",(Q512&gt;OS550*(Q512&lt;80)),"Ok")</f>
        <v>Ok</v>
      </c>
      <c r="S512">
        <v>67</v>
      </c>
      <c r="T512" t="str" cm="1">
        <f t="array" ref="T512">_xlfn.IFS(S512&gt;50, "High", S512&lt;=50, "Low")</f>
        <v>High</v>
      </c>
      <c r="U512">
        <v>15</v>
      </c>
      <c r="V512">
        <v>0</v>
      </c>
      <c r="W512">
        <v>30</v>
      </c>
      <c r="X512">
        <v>4</v>
      </c>
      <c r="Y512">
        <f t="shared" ca="1" si="7"/>
        <v>32.232188900312352</v>
      </c>
    </row>
    <row r="513" spans="1:25" x14ac:dyDescent="0.3">
      <c r="A513" t="s">
        <v>1015</v>
      </c>
      <c r="B513" t="s">
        <v>171</v>
      </c>
      <c r="C513">
        <v>1</v>
      </c>
      <c r="D513" s="1">
        <v>44568</v>
      </c>
      <c r="E513">
        <v>2800</v>
      </c>
      <c r="F513">
        <v>0</v>
      </c>
      <c r="G513">
        <v>18</v>
      </c>
      <c r="H513">
        <v>77</v>
      </c>
      <c r="I513">
        <v>61</v>
      </c>
      <c r="J513">
        <v>0</v>
      </c>
      <c r="K513">
        <v>1</v>
      </c>
      <c r="L513">
        <v>200660871</v>
      </c>
      <c r="M513">
        <v>143</v>
      </c>
      <c r="O513" t="s">
        <v>28</v>
      </c>
      <c r="P513">
        <v>53</v>
      </c>
      <c r="Q513">
        <v>50</v>
      </c>
      <c r="R513" t="str" cm="1">
        <f t="array" ref="R513">_xlfn.IFS(Q513&gt;70,"Good",Q513&lt;40,"Bad",(Q513&gt;OS551*(Q513&lt;80)),"Ok")</f>
        <v>Ok</v>
      </c>
      <c r="S513">
        <v>79</v>
      </c>
      <c r="T513" t="str" cm="1">
        <f t="array" ref="T513">_xlfn.IFS(S513&gt;50, "High", S513&lt;=50, "Low")</f>
        <v>High</v>
      </c>
      <c r="U513">
        <v>0</v>
      </c>
      <c r="V513">
        <v>0</v>
      </c>
      <c r="W513">
        <v>8</v>
      </c>
      <c r="X513">
        <v>3</v>
      </c>
      <c r="Y513">
        <f t="shared" ca="1" si="7"/>
        <v>39.708611300782472</v>
      </c>
    </row>
    <row r="514" spans="1:25" x14ac:dyDescent="0.3">
      <c r="A514" t="s">
        <v>1016</v>
      </c>
      <c r="B514" t="s">
        <v>171</v>
      </c>
      <c r="C514">
        <v>1</v>
      </c>
      <c r="D514" s="1">
        <v>44414</v>
      </c>
      <c r="E514">
        <v>2597</v>
      </c>
      <c r="F514">
        <v>0</v>
      </c>
      <c r="G514">
        <v>17</v>
      </c>
      <c r="H514">
        <v>80</v>
      </c>
      <c r="I514">
        <v>38</v>
      </c>
      <c r="J514">
        <v>0</v>
      </c>
      <c r="K514">
        <v>0</v>
      </c>
      <c r="L514">
        <v>130655803</v>
      </c>
      <c r="M514">
        <v>121</v>
      </c>
      <c r="N514" t="s">
        <v>181</v>
      </c>
      <c r="O514" t="s">
        <v>45</v>
      </c>
      <c r="P514">
        <v>70</v>
      </c>
      <c r="Q514">
        <v>35</v>
      </c>
      <c r="R514" t="str" cm="1">
        <f t="array" ref="R514">_xlfn.IFS(Q514&gt;70,"Good",Q514&lt;40,"Bad",(Q514&gt;OS552*(Q514&lt;80)),"Ok")</f>
        <v>Bad</v>
      </c>
      <c r="S514">
        <v>77</v>
      </c>
      <c r="T514" t="str" cm="1">
        <f t="array" ref="T514">_xlfn.IFS(S514&gt;50, "High", S514&lt;=50, "Low")</f>
        <v>High</v>
      </c>
      <c r="U514">
        <v>1</v>
      </c>
      <c r="V514">
        <v>0</v>
      </c>
      <c r="W514">
        <v>26</v>
      </c>
      <c r="X514">
        <v>4</v>
      </c>
      <c r="Y514">
        <f t="shared" ref="Y514:Y577" ca="1" si="8">RAND()*100</f>
        <v>37.76435593556571</v>
      </c>
    </row>
    <row r="515" spans="1:25" x14ac:dyDescent="0.3">
      <c r="A515" t="s">
        <v>1017</v>
      </c>
      <c r="B515" t="s">
        <v>33</v>
      </c>
      <c r="C515">
        <v>1</v>
      </c>
      <c r="D515" s="1">
        <v>44330</v>
      </c>
      <c r="E515">
        <v>15563</v>
      </c>
      <c r="F515">
        <v>6</v>
      </c>
      <c r="G515">
        <v>259</v>
      </c>
      <c r="H515">
        <v>55</v>
      </c>
      <c r="I515">
        <v>461</v>
      </c>
      <c r="J515">
        <v>1</v>
      </c>
      <c r="L515">
        <v>1887039593</v>
      </c>
      <c r="M515">
        <v>166</v>
      </c>
      <c r="N515" t="s">
        <v>65</v>
      </c>
      <c r="O515" t="s">
        <v>45</v>
      </c>
      <c r="P515">
        <v>56</v>
      </c>
      <c r="Q515">
        <v>68</v>
      </c>
      <c r="R515" t="str" cm="1">
        <f t="array" ref="R515">_xlfn.IFS(Q515&gt;70,"Good",Q515&lt;40,"Bad",(Q515&gt;OS553*(Q515&lt;80)),"Ok")</f>
        <v>Ok</v>
      </c>
      <c r="S515">
        <v>66</v>
      </c>
      <c r="T515" t="str" cm="1">
        <f t="array" ref="T515">_xlfn.IFS(S515&gt;50, "High", S515&lt;=50, "Low")</f>
        <v>High</v>
      </c>
      <c r="U515">
        <v>28</v>
      </c>
      <c r="V515">
        <v>0</v>
      </c>
      <c r="W515">
        <v>11</v>
      </c>
      <c r="X515">
        <v>18</v>
      </c>
      <c r="Y515">
        <f t="shared" ca="1" si="8"/>
        <v>47.252591498239184</v>
      </c>
    </row>
    <row r="516" spans="1:25" x14ac:dyDescent="0.3">
      <c r="A516" t="s">
        <v>1018</v>
      </c>
      <c r="B516" t="s">
        <v>1019</v>
      </c>
      <c r="C516">
        <v>3</v>
      </c>
      <c r="D516" s="1">
        <v>44568</v>
      </c>
      <c r="E516">
        <v>1420</v>
      </c>
      <c r="F516">
        <v>0</v>
      </c>
      <c r="G516">
        <v>7</v>
      </c>
      <c r="H516">
        <v>18</v>
      </c>
      <c r="I516">
        <v>7</v>
      </c>
      <c r="J516">
        <v>0</v>
      </c>
      <c r="K516">
        <v>0</v>
      </c>
      <c r="L516">
        <v>88103848</v>
      </c>
      <c r="M516">
        <v>135</v>
      </c>
      <c r="N516" t="s">
        <v>31</v>
      </c>
      <c r="O516" t="s">
        <v>28</v>
      </c>
      <c r="P516">
        <v>41</v>
      </c>
      <c r="Q516">
        <v>27</v>
      </c>
      <c r="R516" t="str" cm="1">
        <f t="array" ref="R516">_xlfn.IFS(Q516&gt;70,"Good",Q516&lt;40,"Bad",(Q516&gt;OS554*(Q516&lt;80)),"Ok")</f>
        <v>Bad</v>
      </c>
      <c r="S516">
        <v>64</v>
      </c>
      <c r="T516" t="str" cm="1">
        <f t="array" ref="T516">_xlfn.IFS(S516&gt;50, "High", S516&lt;=50, "Low")</f>
        <v>High</v>
      </c>
      <c r="U516">
        <v>36</v>
      </c>
      <c r="V516">
        <v>0</v>
      </c>
      <c r="W516">
        <v>60</v>
      </c>
      <c r="X516">
        <v>3</v>
      </c>
      <c r="Y516">
        <f t="shared" ca="1" si="8"/>
        <v>59.723076654443851</v>
      </c>
    </row>
    <row r="517" spans="1:25" x14ac:dyDescent="0.3">
      <c r="A517" t="s">
        <v>1020</v>
      </c>
      <c r="B517" t="s">
        <v>171</v>
      </c>
      <c r="C517">
        <v>1</v>
      </c>
      <c r="D517" s="1">
        <v>44568</v>
      </c>
      <c r="E517">
        <v>1292</v>
      </c>
      <c r="F517">
        <v>0</v>
      </c>
      <c r="G517">
        <v>3</v>
      </c>
      <c r="H517">
        <v>18</v>
      </c>
      <c r="I517">
        <v>14</v>
      </c>
      <c r="J517">
        <v>0</v>
      </c>
      <c r="K517">
        <v>0</v>
      </c>
      <c r="L517">
        <v>101114984</v>
      </c>
      <c r="M517">
        <v>87</v>
      </c>
      <c r="N517" t="s">
        <v>134</v>
      </c>
      <c r="O517" t="s">
        <v>45</v>
      </c>
      <c r="P517">
        <v>49</v>
      </c>
      <c r="Q517">
        <v>49</v>
      </c>
      <c r="R517" t="str" cm="1">
        <f t="array" ref="R517">_xlfn.IFS(Q517&gt;70,"Good",Q517&lt;40,"Bad",(Q517&gt;OS555*(Q517&lt;80)),"Ok")</f>
        <v>Ok</v>
      </c>
      <c r="S517">
        <v>59</v>
      </c>
      <c r="T517" t="str" cm="1">
        <f t="array" ref="T517">_xlfn.IFS(S517&gt;50, "High", S517&lt;=50, "Low")</f>
        <v>High</v>
      </c>
      <c r="U517">
        <v>44</v>
      </c>
      <c r="V517">
        <v>0</v>
      </c>
      <c r="W517">
        <v>35</v>
      </c>
      <c r="X517">
        <v>21</v>
      </c>
      <c r="Y517">
        <f t="shared" ca="1" si="8"/>
        <v>53.89370968963182</v>
      </c>
    </row>
    <row r="518" spans="1:25" x14ac:dyDescent="0.3">
      <c r="A518" t="s">
        <v>166</v>
      </c>
      <c r="B518" t="s">
        <v>1021</v>
      </c>
      <c r="C518">
        <v>2</v>
      </c>
      <c r="D518" s="1">
        <v>44295</v>
      </c>
      <c r="E518">
        <v>15867</v>
      </c>
      <c r="F518">
        <v>0</v>
      </c>
      <c r="G518">
        <v>382</v>
      </c>
      <c r="H518">
        <v>65</v>
      </c>
      <c r="I518">
        <v>497</v>
      </c>
      <c r="J518">
        <v>0</v>
      </c>
      <c r="K518">
        <v>12</v>
      </c>
      <c r="L518">
        <v>1575467011</v>
      </c>
      <c r="M518">
        <v>111</v>
      </c>
      <c r="N518" t="s">
        <v>81</v>
      </c>
      <c r="O518" t="s">
        <v>28</v>
      </c>
      <c r="P518">
        <v>77</v>
      </c>
      <c r="Q518">
        <v>74</v>
      </c>
      <c r="R518" t="str" cm="1">
        <f t="array" ref="R518">_xlfn.IFS(Q518&gt;70,"Good",Q518&lt;40,"Bad",(Q518&gt;OS556*(Q518&lt;80)),"Ok")</f>
        <v>Good</v>
      </c>
      <c r="S518">
        <v>66</v>
      </c>
      <c r="T518" t="str" cm="1">
        <f t="array" ref="T518">_xlfn.IFS(S518&gt;50, "High", S518&lt;=50, "Low")</f>
        <v>High</v>
      </c>
      <c r="U518">
        <v>30</v>
      </c>
      <c r="V518">
        <v>0</v>
      </c>
      <c r="W518">
        <v>13</v>
      </c>
      <c r="X518">
        <v>3</v>
      </c>
      <c r="Y518">
        <f t="shared" ca="1" si="8"/>
        <v>96.919723069863181</v>
      </c>
    </row>
    <row r="519" spans="1:25" x14ac:dyDescent="0.3">
      <c r="A519" t="s">
        <v>313</v>
      </c>
      <c r="B519" t="s">
        <v>1022</v>
      </c>
      <c r="C519">
        <v>2</v>
      </c>
      <c r="D519" s="1">
        <v>44568</v>
      </c>
      <c r="E519">
        <v>1178</v>
      </c>
      <c r="F519">
        <v>0</v>
      </c>
      <c r="G519">
        <v>9</v>
      </c>
      <c r="H519">
        <v>10</v>
      </c>
      <c r="I519">
        <v>9</v>
      </c>
      <c r="J519">
        <v>0</v>
      </c>
      <c r="K519">
        <v>0</v>
      </c>
      <c r="L519">
        <v>91656026</v>
      </c>
      <c r="M519">
        <v>110</v>
      </c>
      <c r="N519" t="s">
        <v>61</v>
      </c>
      <c r="O519" t="s">
        <v>28</v>
      </c>
      <c r="P519">
        <v>75</v>
      </c>
      <c r="Q519">
        <v>85</v>
      </c>
      <c r="R519" t="str" cm="1">
        <f t="array" ref="R519">_xlfn.IFS(Q519&gt;70,"Good",Q519&lt;40,"Bad",(Q519&gt;OS557*(Q519&lt;80)),"Ok")</f>
        <v>Good</v>
      </c>
      <c r="S519">
        <v>84</v>
      </c>
      <c r="T519" t="str" cm="1">
        <f t="array" ref="T519">_xlfn.IFS(S519&gt;50, "High", S519&lt;=50, "Low")</f>
        <v>High</v>
      </c>
      <c r="U519">
        <v>10</v>
      </c>
      <c r="V519">
        <v>0</v>
      </c>
      <c r="W519">
        <v>31</v>
      </c>
      <c r="X519">
        <v>19</v>
      </c>
      <c r="Y519">
        <f t="shared" ca="1" si="8"/>
        <v>35.118780359025855</v>
      </c>
    </row>
    <row r="520" spans="1:25" x14ac:dyDescent="0.3">
      <c r="A520" t="s">
        <v>1023</v>
      </c>
      <c r="B520" t="s">
        <v>905</v>
      </c>
      <c r="C520">
        <v>1</v>
      </c>
      <c r="D520" s="1">
        <v>44358</v>
      </c>
      <c r="E520">
        <v>6672</v>
      </c>
      <c r="F520">
        <v>0</v>
      </c>
      <c r="G520">
        <v>125</v>
      </c>
      <c r="H520">
        <v>36</v>
      </c>
      <c r="I520">
        <v>150</v>
      </c>
      <c r="J520">
        <v>0</v>
      </c>
      <c r="L520">
        <v>1042568408</v>
      </c>
      <c r="M520">
        <v>130</v>
      </c>
      <c r="N520" t="s">
        <v>31</v>
      </c>
      <c r="O520" t="s">
        <v>28</v>
      </c>
      <c r="P520">
        <v>66</v>
      </c>
      <c r="Q520">
        <v>19</v>
      </c>
      <c r="R520" t="str" cm="1">
        <f t="array" ref="R520">_xlfn.IFS(Q520&gt;70,"Good",Q520&lt;40,"Bad",(Q520&gt;OS558*(Q520&lt;80)),"Ok")</f>
        <v>Bad</v>
      </c>
      <c r="S520">
        <v>61</v>
      </c>
      <c r="T520" t="str" cm="1">
        <f t="array" ref="T520">_xlfn.IFS(S520&gt;50, "High", S520&lt;=50, "Low")</f>
        <v>High</v>
      </c>
      <c r="U520">
        <v>30</v>
      </c>
      <c r="V520">
        <v>0</v>
      </c>
      <c r="W520">
        <v>9</v>
      </c>
      <c r="X520">
        <v>7</v>
      </c>
      <c r="Y520">
        <f t="shared" ca="1" si="8"/>
        <v>74.83251524952081</v>
      </c>
    </row>
    <row r="521" spans="1:25" x14ac:dyDescent="0.3">
      <c r="A521" t="s">
        <v>533</v>
      </c>
      <c r="B521" t="s">
        <v>837</v>
      </c>
      <c r="C521">
        <v>1</v>
      </c>
      <c r="D521" s="1">
        <v>44092</v>
      </c>
      <c r="E521">
        <v>12329</v>
      </c>
      <c r="F521">
        <v>0</v>
      </c>
      <c r="G521">
        <v>275</v>
      </c>
      <c r="H521">
        <v>19</v>
      </c>
      <c r="I521">
        <v>738</v>
      </c>
      <c r="J521">
        <v>0</v>
      </c>
      <c r="L521">
        <v>1735441776</v>
      </c>
      <c r="M521">
        <v>179</v>
      </c>
      <c r="N521" t="s">
        <v>81</v>
      </c>
      <c r="O521" t="s">
        <v>45</v>
      </c>
      <c r="P521">
        <v>61</v>
      </c>
      <c r="Q521">
        <v>76</v>
      </c>
      <c r="R521" t="str" cm="1">
        <f t="array" ref="R521">_xlfn.IFS(Q521&gt;70,"Good",Q521&lt;40,"Bad",(Q521&gt;OS559*(Q521&lt;80)),"Ok")</f>
        <v>Good</v>
      </c>
      <c r="S521">
        <v>51</v>
      </c>
      <c r="T521" t="str" cm="1">
        <f t="array" ref="T521">_xlfn.IFS(S521&gt;50, "High", S521&lt;=50, "Low")</f>
        <v>High</v>
      </c>
      <c r="U521">
        <v>30</v>
      </c>
      <c r="V521">
        <v>0</v>
      </c>
      <c r="W521">
        <v>38</v>
      </c>
      <c r="X521">
        <v>15</v>
      </c>
      <c r="Y521">
        <f t="shared" ca="1" si="8"/>
        <v>65.772541074216662</v>
      </c>
    </row>
    <row r="522" spans="1:25" x14ac:dyDescent="0.3">
      <c r="A522" t="s">
        <v>1024</v>
      </c>
      <c r="B522" t="s">
        <v>1025</v>
      </c>
      <c r="C522">
        <v>1</v>
      </c>
      <c r="D522" s="1">
        <v>43672</v>
      </c>
      <c r="E522">
        <v>5669</v>
      </c>
      <c r="F522">
        <v>2</v>
      </c>
      <c r="G522">
        <v>74</v>
      </c>
      <c r="H522">
        <v>0</v>
      </c>
      <c r="I522">
        <v>262</v>
      </c>
      <c r="J522">
        <v>14</v>
      </c>
      <c r="L522">
        <v>726837877</v>
      </c>
      <c r="M522">
        <v>93</v>
      </c>
      <c r="N522" t="s">
        <v>34</v>
      </c>
      <c r="O522" t="s">
        <v>45</v>
      </c>
      <c r="P522">
        <v>74</v>
      </c>
      <c r="Q522">
        <v>53</v>
      </c>
      <c r="R522" t="str" cm="1">
        <f t="array" ref="R522">_xlfn.IFS(Q522&gt;70,"Good",Q522&lt;40,"Bad",(Q522&gt;OS560*(Q522&lt;80)),"Ok")</f>
        <v>Ok</v>
      </c>
      <c r="S522">
        <v>73</v>
      </c>
      <c r="T522" t="str" cm="1">
        <f t="array" ref="T522">_xlfn.IFS(S522&gt;50, "High", S522&lt;=50, "Low")</f>
        <v>High</v>
      </c>
      <c r="U522">
        <v>61</v>
      </c>
      <c r="V522">
        <v>0</v>
      </c>
      <c r="W522">
        <v>13</v>
      </c>
      <c r="X522">
        <v>4</v>
      </c>
      <c r="Y522">
        <f t="shared" ca="1" si="8"/>
        <v>49.930631551277251</v>
      </c>
    </row>
    <row r="523" spans="1:25" x14ac:dyDescent="0.3">
      <c r="A523" t="s">
        <v>1026</v>
      </c>
      <c r="B523" t="s">
        <v>171</v>
      </c>
      <c r="C523">
        <v>1</v>
      </c>
      <c r="D523" s="1">
        <v>44568</v>
      </c>
      <c r="E523">
        <v>811</v>
      </c>
      <c r="F523">
        <v>0</v>
      </c>
      <c r="G523">
        <v>1</v>
      </c>
      <c r="H523">
        <v>8</v>
      </c>
      <c r="I523">
        <v>6</v>
      </c>
      <c r="J523">
        <v>0</v>
      </c>
      <c r="K523">
        <v>0</v>
      </c>
      <c r="L523">
        <v>53933526</v>
      </c>
      <c r="M523">
        <v>78</v>
      </c>
      <c r="N523" t="s">
        <v>37</v>
      </c>
      <c r="O523" t="s">
        <v>45</v>
      </c>
      <c r="P523">
        <v>27</v>
      </c>
      <c r="Q523">
        <v>10</v>
      </c>
      <c r="R523" t="str" cm="1">
        <f t="array" ref="R523">_xlfn.IFS(Q523&gt;70,"Good",Q523&lt;40,"Bad",(Q523&gt;OS561*(Q523&lt;80)),"Ok")</f>
        <v>Bad</v>
      </c>
      <c r="S523">
        <v>49</v>
      </c>
      <c r="T523" t="str" cm="1">
        <f t="array" ref="T523">_xlfn.IFS(S523&gt;50, "High", S523&lt;=50, "Low")</f>
        <v>Low</v>
      </c>
      <c r="U523">
        <v>62</v>
      </c>
      <c r="V523">
        <v>0</v>
      </c>
      <c r="W523">
        <v>49</v>
      </c>
      <c r="X523">
        <v>5</v>
      </c>
      <c r="Y523">
        <f t="shared" ca="1" si="8"/>
        <v>36.408934755616883</v>
      </c>
    </row>
    <row r="524" spans="1:25" x14ac:dyDescent="0.3">
      <c r="A524" t="s">
        <v>1027</v>
      </c>
      <c r="B524" t="s">
        <v>1028</v>
      </c>
      <c r="C524">
        <v>1</v>
      </c>
      <c r="D524" s="1">
        <v>44519</v>
      </c>
      <c r="E524">
        <v>1756</v>
      </c>
      <c r="F524">
        <v>0</v>
      </c>
      <c r="G524">
        <v>38</v>
      </c>
      <c r="H524">
        <v>48</v>
      </c>
      <c r="I524">
        <v>20</v>
      </c>
      <c r="J524">
        <v>0</v>
      </c>
      <c r="K524">
        <v>0</v>
      </c>
      <c r="L524">
        <v>267758538</v>
      </c>
      <c r="M524">
        <v>180</v>
      </c>
      <c r="N524" t="s">
        <v>61</v>
      </c>
      <c r="O524" t="s">
        <v>28</v>
      </c>
      <c r="P524">
        <v>65</v>
      </c>
      <c r="Q524">
        <v>37</v>
      </c>
      <c r="R524" t="str" cm="1">
        <f t="array" ref="R524">_xlfn.IFS(Q524&gt;70,"Good",Q524&lt;40,"Bad",(Q524&gt;OS562*(Q524&lt;80)),"Ok")</f>
        <v>Bad</v>
      </c>
      <c r="S524">
        <v>58</v>
      </c>
      <c r="T524" t="str" cm="1">
        <f t="array" ref="T524">_xlfn.IFS(S524&gt;50, "High", S524&lt;=50, "Low")</f>
        <v>High</v>
      </c>
      <c r="U524">
        <v>2</v>
      </c>
      <c r="V524">
        <v>0</v>
      </c>
      <c r="W524">
        <v>4</v>
      </c>
      <c r="X524">
        <v>31</v>
      </c>
      <c r="Y524">
        <f t="shared" ca="1" si="8"/>
        <v>65.096043248673638</v>
      </c>
    </row>
    <row r="525" spans="1:25" x14ac:dyDescent="0.3">
      <c r="A525" t="s">
        <v>1029</v>
      </c>
      <c r="B525" t="s">
        <v>171</v>
      </c>
      <c r="C525">
        <v>1</v>
      </c>
      <c r="D525" s="1">
        <v>44568</v>
      </c>
      <c r="E525">
        <v>1014</v>
      </c>
      <c r="F525">
        <v>0</v>
      </c>
      <c r="G525">
        <v>1</v>
      </c>
      <c r="H525">
        <v>17</v>
      </c>
      <c r="I525">
        <v>11</v>
      </c>
      <c r="J525">
        <v>0</v>
      </c>
      <c r="K525">
        <v>0</v>
      </c>
      <c r="L525">
        <v>74601456</v>
      </c>
      <c r="M525">
        <v>86</v>
      </c>
      <c r="N525" t="s">
        <v>37</v>
      </c>
      <c r="O525" t="s">
        <v>45</v>
      </c>
      <c r="P525">
        <v>28</v>
      </c>
      <c r="Q525">
        <v>13</v>
      </c>
      <c r="R525" t="str" cm="1">
        <f t="array" ref="R525">_xlfn.IFS(Q525&gt;70,"Good",Q525&lt;40,"Bad",(Q525&gt;OS563*(Q525&lt;80)),"Ok")</f>
        <v>Bad</v>
      </c>
      <c r="S525">
        <v>41</v>
      </c>
      <c r="T525" t="str" cm="1">
        <f t="array" ref="T525">_xlfn.IFS(S525&gt;50, "High", S525&lt;=50, "Low")</f>
        <v>Low</v>
      </c>
      <c r="U525">
        <v>50</v>
      </c>
      <c r="V525">
        <v>0</v>
      </c>
      <c r="W525">
        <v>19</v>
      </c>
      <c r="X525">
        <v>3</v>
      </c>
      <c r="Y525">
        <f t="shared" ca="1" si="8"/>
        <v>22.716247641091702</v>
      </c>
    </row>
    <row r="526" spans="1:25" x14ac:dyDescent="0.3">
      <c r="A526" t="s">
        <v>1030</v>
      </c>
      <c r="B526" t="s">
        <v>837</v>
      </c>
      <c r="C526">
        <v>1</v>
      </c>
      <c r="D526" s="1">
        <v>44456</v>
      </c>
      <c r="E526">
        <v>7963</v>
      </c>
      <c r="F526">
        <v>0</v>
      </c>
      <c r="G526">
        <v>173</v>
      </c>
      <c r="H526">
        <v>7</v>
      </c>
      <c r="I526">
        <v>298</v>
      </c>
      <c r="J526">
        <v>0</v>
      </c>
      <c r="K526">
        <v>4</v>
      </c>
      <c r="L526">
        <v>920797189</v>
      </c>
      <c r="M526">
        <v>88</v>
      </c>
      <c r="N526" t="s">
        <v>31</v>
      </c>
      <c r="O526" t="s">
        <v>45</v>
      </c>
      <c r="P526">
        <v>74</v>
      </c>
      <c r="Q526">
        <v>55</v>
      </c>
      <c r="R526" t="str" cm="1">
        <f t="array" ref="R526">_xlfn.IFS(Q526&gt;70,"Good",Q526&lt;40,"Bad",(Q526&gt;OS564*(Q526&lt;80)),"Ok")</f>
        <v>Ok</v>
      </c>
      <c r="S526">
        <v>85</v>
      </c>
      <c r="T526" t="str" cm="1">
        <f t="array" ref="T526">_xlfn.IFS(S526&gt;50, "High", S526&lt;=50, "Low")</f>
        <v>High</v>
      </c>
      <c r="U526">
        <v>1</v>
      </c>
      <c r="V526">
        <v>0</v>
      </c>
      <c r="W526">
        <v>5</v>
      </c>
      <c r="X526">
        <v>22</v>
      </c>
      <c r="Y526">
        <f t="shared" ca="1" si="8"/>
        <v>42.807944806459645</v>
      </c>
    </row>
    <row r="527" spans="1:25" x14ac:dyDescent="0.3">
      <c r="A527" t="s">
        <v>374</v>
      </c>
      <c r="B527" t="s">
        <v>1031</v>
      </c>
      <c r="C527">
        <v>2</v>
      </c>
      <c r="D527" s="1">
        <v>44505</v>
      </c>
      <c r="E527">
        <v>4771</v>
      </c>
      <c r="F527">
        <v>0</v>
      </c>
      <c r="G527">
        <v>68</v>
      </c>
      <c r="H527">
        <v>18</v>
      </c>
      <c r="I527">
        <v>75</v>
      </c>
      <c r="J527">
        <v>0</v>
      </c>
      <c r="K527">
        <v>1</v>
      </c>
      <c r="L527">
        <v>539595276</v>
      </c>
      <c r="M527">
        <v>97</v>
      </c>
      <c r="N527" t="s">
        <v>31</v>
      </c>
      <c r="O527" t="s">
        <v>28</v>
      </c>
      <c r="P527">
        <v>68</v>
      </c>
      <c r="Q527">
        <v>72</v>
      </c>
      <c r="R527" t="str" cm="1">
        <f t="array" ref="R527">_xlfn.IFS(Q527&gt;70,"Good",Q527&lt;40,"Bad",(Q527&gt;OS565*(Q527&lt;80)),"Ok")</f>
        <v>Good</v>
      </c>
      <c r="S527">
        <v>78</v>
      </c>
      <c r="T527" t="str" cm="1">
        <f t="array" ref="T527">_xlfn.IFS(S527&gt;50, "High", S527&lt;=50, "Low")</f>
        <v>High</v>
      </c>
      <c r="U527">
        <v>4</v>
      </c>
      <c r="V527">
        <v>0</v>
      </c>
      <c r="W527">
        <v>7</v>
      </c>
      <c r="X527">
        <v>5</v>
      </c>
      <c r="Y527">
        <f t="shared" ca="1" si="8"/>
        <v>46.132220999605146</v>
      </c>
    </row>
    <row r="528" spans="1:25" x14ac:dyDescent="0.3">
      <c r="A528" t="s">
        <v>1032</v>
      </c>
      <c r="B528" t="s">
        <v>1033</v>
      </c>
      <c r="C528">
        <v>1</v>
      </c>
      <c r="D528" s="1">
        <v>43077</v>
      </c>
      <c r="E528">
        <v>8559</v>
      </c>
      <c r="F528">
        <v>0</v>
      </c>
      <c r="G528">
        <v>183</v>
      </c>
      <c r="H528">
        <v>64</v>
      </c>
      <c r="I528">
        <v>964</v>
      </c>
      <c r="J528">
        <v>9</v>
      </c>
      <c r="K528">
        <v>75</v>
      </c>
      <c r="L528">
        <v>1367810478</v>
      </c>
      <c r="M528">
        <v>134</v>
      </c>
      <c r="N528" t="s">
        <v>27</v>
      </c>
      <c r="O528" t="s">
        <v>45</v>
      </c>
      <c r="P528">
        <v>71</v>
      </c>
      <c r="Q528">
        <v>59</v>
      </c>
      <c r="R528" t="str" cm="1">
        <f t="array" ref="R528">_xlfn.IFS(Q528&gt;70,"Good",Q528&lt;40,"Bad",(Q528&gt;OS566*(Q528&lt;80)),"Ok")</f>
        <v>Ok</v>
      </c>
      <c r="S528">
        <v>80</v>
      </c>
      <c r="T528" t="str" cm="1">
        <f t="array" ref="T528">_xlfn.IFS(S528&gt;50, "High", S528&lt;=50, "Low")</f>
        <v>High</v>
      </c>
      <c r="U528">
        <v>13</v>
      </c>
      <c r="V528">
        <v>0</v>
      </c>
      <c r="W528">
        <v>36</v>
      </c>
      <c r="X528">
        <v>5</v>
      </c>
      <c r="Y528">
        <f t="shared" ca="1" si="8"/>
        <v>81.819991801851145</v>
      </c>
    </row>
    <row r="529" spans="1:25" x14ac:dyDescent="0.3">
      <c r="A529" t="s">
        <v>1034</v>
      </c>
      <c r="B529" t="s">
        <v>1035</v>
      </c>
      <c r="C529">
        <v>2</v>
      </c>
      <c r="D529" s="1">
        <v>44095</v>
      </c>
      <c r="E529">
        <v>3221</v>
      </c>
      <c r="F529">
        <v>2</v>
      </c>
      <c r="G529">
        <v>67</v>
      </c>
      <c r="H529">
        <v>13</v>
      </c>
      <c r="I529">
        <v>139</v>
      </c>
      <c r="J529">
        <v>0</v>
      </c>
      <c r="K529">
        <v>40</v>
      </c>
      <c r="L529">
        <v>578207856</v>
      </c>
      <c r="M529">
        <v>116</v>
      </c>
      <c r="N529" t="s">
        <v>61</v>
      </c>
      <c r="O529" t="s">
        <v>28</v>
      </c>
      <c r="P529">
        <v>75</v>
      </c>
      <c r="Q529">
        <v>36</v>
      </c>
      <c r="R529" t="str" cm="1">
        <f t="array" ref="R529">_xlfn.IFS(Q529&gt;70,"Good",Q529&lt;40,"Bad",(Q529&gt;OS567*(Q529&lt;80)),"Ok")</f>
        <v>Bad</v>
      </c>
      <c r="S529">
        <v>76</v>
      </c>
      <c r="T529" t="str" cm="1">
        <f t="array" ref="T529">_xlfn.IFS(S529&gt;50, "High", S529&lt;=50, "Low")</f>
        <v>High</v>
      </c>
      <c r="U529">
        <v>12</v>
      </c>
      <c r="V529">
        <v>0</v>
      </c>
      <c r="W529">
        <v>10</v>
      </c>
      <c r="X529">
        <v>10</v>
      </c>
      <c r="Y529">
        <f t="shared" ca="1" si="8"/>
        <v>2.0991521437912941</v>
      </c>
    </row>
    <row r="530" spans="1:25" x14ac:dyDescent="0.3">
      <c r="A530" t="s">
        <v>1036</v>
      </c>
      <c r="B530" t="s">
        <v>1037</v>
      </c>
      <c r="C530">
        <v>3</v>
      </c>
      <c r="D530" s="1">
        <v>44474</v>
      </c>
      <c r="E530">
        <v>3423</v>
      </c>
      <c r="F530">
        <v>26</v>
      </c>
      <c r="G530">
        <v>61</v>
      </c>
      <c r="H530">
        <v>65</v>
      </c>
      <c r="I530">
        <v>53</v>
      </c>
      <c r="J530">
        <v>6</v>
      </c>
      <c r="K530">
        <v>0</v>
      </c>
      <c r="L530">
        <v>775542072</v>
      </c>
      <c r="M530">
        <v>170</v>
      </c>
      <c r="N530" t="s">
        <v>134</v>
      </c>
      <c r="O530" t="s">
        <v>45</v>
      </c>
      <c r="P530">
        <v>64</v>
      </c>
      <c r="Q530">
        <v>14</v>
      </c>
      <c r="R530" t="str" cm="1">
        <f t="array" ref="R530">_xlfn.IFS(Q530&gt;70,"Good",Q530&lt;40,"Bad",(Q530&gt;OS568*(Q530&lt;80)),"Ok")</f>
        <v>Bad</v>
      </c>
      <c r="S530">
        <v>70</v>
      </c>
      <c r="T530" t="str" cm="1">
        <f t="array" ref="T530">_xlfn.IFS(S530&gt;50, "High", S530&lt;=50, "Low")</f>
        <v>High</v>
      </c>
      <c r="U530">
        <v>9</v>
      </c>
      <c r="V530">
        <v>0</v>
      </c>
      <c r="W530">
        <v>9</v>
      </c>
      <c r="X530">
        <v>8</v>
      </c>
      <c r="Y530">
        <f t="shared" ca="1" si="8"/>
        <v>45.997234867729254</v>
      </c>
    </row>
    <row r="531" spans="1:25" x14ac:dyDescent="0.3">
      <c r="A531" t="s">
        <v>1038</v>
      </c>
      <c r="B531" t="s">
        <v>1039</v>
      </c>
      <c r="C531">
        <v>1</v>
      </c>
      <c r="D531" s="1">
        <v>44449</v>
      </c>
      <c r="E531">
        <v>2566</v>
      </c>
      <c r="F531">
        <v>13</v>
      </c>
      <c r="G531">
        <v>44</v>
      </c>
      <c r="H531">
        <v>109</v>
      </c>
      <c r="I531">
        <v>131</v>
      </c>
      <c r="J531">
        <v>0</v>
      </c>
      <c r="L531">
        <v>863625566</v>
      </c>
      <c r="M531">
        <v>140</v>
      </c>
      <c r="N531" t="s">
        <v>31</v>
      </c>
      <c r="O531" t="s">
        <v>45</v>
      </c>
      <c r="P531">
        <v>83</v>
      </c>
      <c r="Q531">
        <v>40</v>
      </c>
      <c r="R531" t="str" cm="1">
        <f t="array" ref="R531">_xlfn.IFS(Q531&gt;70,"Good",Q531&lt;40,"Bad",(Q531&gt;OS569*(Q531&lt;80)),"Ok")</f>
        <v>Ok</v>
      </c>
      <c r="S531">
        <v>55</v>
      </c>
      <c r="T531" t="str" cm="1">
        <f t="array" ref="T531">_xlfn.IFS(S531&gt;50, "High", S531&lt;=50, "Low")</f>
        <v>High</v>
      </c>
      <c r="U531">
        <v>16</v>
      </c>
      <c r="V531">
        <v>0</v>
      </c>
      <c r="W531">
        <v>14</v>
      </c>
      <c r="X531">
        <v>23</v>
      </c>
      <c r="Y531">
        <f t="shared" ca="1" si="8"/>
        <v>37.650180819775159</v>
      </c>
    </row>
    <row r="532" spans="1:25" x14ac:dyDescent="0.3">
      <c r="A532" t="s">
        <v>1040</v>
      </c>
      <c r="B532" t="s">
        <v>1041</v>
      </c>
      <c r="C532">
        <v>2</v>
      </c>
      <c r="D532" s="1">
        <v>44504</v>
      </c>
      <c r="E532">
        <v>9151</v>
      </c>
      <c r="F532">
        <v>6</v>
      </c>
      <c r="G532">
        <v>240</v>
      </c>
      <c r="H532">
        <v>107</v>
      </c>
      <c r="I532">
        <v>268</v>
      </c>
      <c r="J532">
        <v>0</v>
      </c>
      <c r="K532">
        <v>5</v>
      </c>
      <c r="L532">
        <v>656013912</v>
      </c>
      <c r="M532">
        <v>118</v>
      </c>
      <c r="N532" t="s">
        <v>94</v>
      </c>
      <c r="O532" t="s">
        <v>45</v>
      </c>
      <c r="P532">
        <v>75</v>
      </c>
      <c r="Q532">
        <v>46</v>
      </c>
      <c r="R532" t="str" cm="1">
        <f t="array" ref="R532">_xlfn.IFS(Q532&gt;70,"Good",Q532&lt;40,"Bad",(Q532&gt;OS570*(Q532&lt;80)),"Ok")</f>
        <v>Ok</v>
      </c>
      <c r="S532">
        <v>76</v>
      </c>
      <c r="T532" t="str" cm="1">
        <f t="array" ref="T532">_xlfn.IFS(S532&gt;50, "High", S532&lt;=50, "Low")</f>
        <v>High</v>
      </c>
      <c r="U532">
        <v>3</v>
      </c>
      <c r="V532">
        <v>0</v>
      </c>
      <c r="W532">
        <v>9</v>
      </c>
      <c r="X532">
        <v>4</v>
      </c>
      <c r="Y532">
        <f t="shared" ca="1" si="8"/>
        <v>61.990900708153085</v>
      </c>
    </row>
    <row r="533" spans="1:25" x14ac:dyDescent="0.3">
      <c r="A533" t="s">
        <v>1042</v>
      </c>
      <c r="B533" t="s">
        <v>87</v>
      </c>
      <c r="C533">
        <v>1</v>
      </c>
      <c r="D533" s="1">
        <v>44407</v>
      </c>
      <c r="E533">
        <v>8476</v>
      </c>
      <c r="F533">
        <v>0</v>
      </c>
      <c r="G533">
        <v>138</v>
      </c>
      <c r="H533">
        <v>133</v>
      </c>
      <c r="I533">
        <v>283</v>
      </c>
      <c r="J533">
        <v>0</v>
      </c>
      <c r="L533">
        <v>1056760045</v>
      </c>
      <c r="M533">
        <v>65</v>
      </c>
      <c r="O533" t="s">
        <v>28</v>
      </c>
      <c r="P533">
        <v>31</v>
      </c>
      <c r="Q533">
        <v>31</v>
      </c>
      <c r="R533" t="str" cm="1">
        <f t="array" ref="R533">_xlfn.IFS(Q533&gt;70,"Good",Q533&lt;40,"Bad",(Q533&gt;OS571*(Q533&lt;80)),"Ok")</f>
        <v>Bad</v>
      </c>
      <c r="S533">
        <v>24</v>
      </c>
      <c r="T533" t="str" cm="1">
        <f t="array" ref="T533">_xlfn.IFS(S533&gt;50, "High", S533&lt;=50, "Low")</f>
        <v>Low</v>
      </c>
      <c r="U533">
        <v>76</v>
      </c>
      <c r="V533">
        <v>0</v>
      </c>
      <c r="W533">
        <v>14</v>
      </c>
      <c r="X533">
        <v>4</v>
      </c>
      <c r="Y533">
        <f t="shared" ca="1" si="8"/>
        <v>41.539639048392772</v>
      </c>
    </row>
    <row r="534" spans="1:25" x14ac:dyDescent="0.3">
      <c r="A534" t="s">
        <v>1043</v>
      </c>
      <c r="B534" t="s">
        <v>1044</v>
      </c>
      <c r="C534">
        <v>2</v>
      </c>
      <c r="D534" s="1">
        <v>44491</v>
      </c>
      <c r="E534">
        <v>7495</v>
      </c>
      <c r="F534">
        <v>17</v>
      </c>
      <c r="G534">
        <v>114</v>
      </c>
      <c r="H534">
        <v>172</v>
      </c>
      <c r="I534">
        <v>284</v>
      </c>
      <c r="J534">
        <v>2</v>
      </c>
      <c r="L534">
        <v>611994237</v>
      </c>
      <c r="M534">
        <v>120</v>
      </c>
      <c r="O534" t="s">
        <v>45</v>
      </c>
      <c r="P534">
        <v>56</v>
      </c>
      <c r="Q534">
        <v>16</v>
      </c>
      <c r="R534" t="str" cm="1">
        <f t="array" ref="R534">_xlfn.IFS(Q534&gt;70,"Good",Q534&lt;40,"Bad",(Q534&gt;OS572*(Q534&lt;80)),"Ok")</f>
        <v>Bad</v>
      </c>
      <c r="S534">
        <v>67</v>
      </c>
      <c r="T534" t="str" cm="1">
        <f t="array" ref="T534">_xlfn.IFS(S534&gt;50, "High", S534&lt;=50, "Low")</f>
        <v>High</v>
      </c>
      <c r="U534">
        <v>0</v>
      </c>
      <c r="V534">
        <v>0</v>
      </c>
      <c r="W534">
        <v>11</v>
      </c>
      <c r="X534">
        <v>4</v>
      </c>
      <c r="Y534">
        <f t="shared" ca="1" si="8"/>
        <v>21.145447727607724</v>
      </c>
    </row>
    <row r="535" spans="1:25" x14ac:dyDescent="0.3">
      <c r="A535" t="s">
        <v>1045</v>
      </c>
      <c r="B535" t="s">
        <v>1046</v>
      </c>
      <c r="C535">
        <v>2</v>
      </c>
      <c r="D535" s="1">
        <v>44337</v>
      </c>
      <c r="E535">
        <v>5257</v>
      </c>
      <c r="F535">
        <v>6</v>
      </c>
      <c r="G535">
        <v>85</v>
      </c>
      <c r="H535">
        <v>43</v>
      </c>
      <c r="I535">
        <v>134</v>
      </c>
      <c r="J535">
        <v>0</v>
      </c>
      <c r="L535">
        <v>1230855859</v>
      </c>
      <c r="M535">
        <v>176</v>
      </c>
      <c r="N535" t="s">
        <v>302</v>
      </c>
      <c r="O535" t="s">
        <v>28</v>
      </c>
      <c r="P535">
        <v>29</v>
      </c>
      <c r="Q535">
        <v>12</v>
      </c>
      <c r="R535" t="str" cm="1">
        <f t="array" ref="R535">_xlfn.IFS(Q535&gt;70,"Good",Q535&lt;40,"Bad",(Q535&gt;OS573*(Q535&lt;80)),"Ok")</f>
        <v>Bad</v>
      </c>
      <c r="S535">
        <v>33</v>
      </c>
      <c r="T535" t="str" cm="1">
        <f t="array" ref="T535">_xlfn.IFS(S535&gt;50, "High", S535&lt;=50, "Low")</f>
        <v>Low</v>
      </c>
      <c r="U535">
        <v>68</v>
      </c>
      <c r="V535">
        <v>0</v>
      </c>
      <c r="W535">
        <v>12</v>
      </c>
      <c r="X535">
        <v>5</v>
      </c>
      <c r="Y535">
        <f t="shared" ca="1" si="8"/>
        <v>37.664783330203441</v>
      </c>
    </row>
    <row r="536" spans="1:25" x14ac:dyDescent="0.3">
      <c r="A536" t="s">
        <v>1047</v>
      </c>
      <c r="B536" t="s">
        <v>1048</v>
      </c>
      <c r="C536">
        <v>1</v>
      </c>
      <c r="D536" s="1">
        <v>44449</v>
      </c>
      <c r="E536">
        <v>1795</v>
      </c>
      <c r="F536">
        <v>0</v>
      </c>
      <c r="G536">
        <v>34</v>
      </c>
      <c r="H536">
        <v>23</v>
      </c>
      <c r="I536">
        <v>118</v>
      </c>
      <c r="J536">
        <v>0</v>
      </c>
      <c r="L536">
        <v>582981380</v>
      </c>
      <c r="M536">
        <v>180</v>
      </c>
      <c r="N536" t="s">
        <v>81</v>
      </c>
      <c r="O536" t="s">
        <v>45</v>
      </c>
      <c r="P536">
        <v>59</v>
      </c>
      <c r="Q536">
        <v>69</v>
      </c>
      <c r="R536" t="str" cm="1">
        <f t="array" ref="R536">_xlfn.IFS(Q536&gt;70,"Good",Q536&lt;40,"Bad",(Q536&gt;OS574*(Q536&lt;80)),"Ok")</f>
        <v>Ok</v>
      </c>
      <c r="S536">
        <v>61</v>
      </c>
      <c r="T536" t="str" cm="1">
        <f t="array" ref="T536">_xlfn.IFS(S536&gt;50, "High", S536&lt;=50, "Low")</f>
        <v>High</v>
      </c>
      <c r="U536">
        <v>84</v>
      </c>
      <c r="V536">
        <v>0</v>
      </c>
      <c r="W536">
        <v>46</v>
      </c>
      <c r="X536">
        <v>36</v>
      </c>
      <c r="Y536">
        <f t="shared" ca="1" si="8"/>
        <v>33.53943364290145</v>
      </c>
    </row>
    <row r="537" spans="1:25" x14ac:dyDescent="0.3">
      <c r="A537" t="s">
        <v>1049</v>
      </c>
      <c r="B537" t="s">
        <v>33</v>
      </c>
      <c r="C537">
        <v>1</v>
      </c>
      <c r="D537" s="1">
        <v>44204</v>
      </c>
      <c r="E537">
        <v>12685</v>
      </c>
      <c r="F537">
        <v>3</v>
      </c>
      <c r="G537">
        <v>185</v>
      </c>
      <c r="H537">
        <v>61</v>
      </c>
      <c r="I537">
        <v>485</v>
      </c>
      <c r="J537">
        <v>0</v>
      </c>
      <c r="L537">
        <v>1858144199</v>
      </c>
      <c r="M537">
        <v>144</v>
      </c>
      <c r="N537" t="s">
        <v>181</v>
      </c>
      <c r="O537" t="s">
        <v>28</v>
      </c>
      <c r="P537">
        <v>59</v>
      </c>
      <c r="Q537">
        <v>21</v>
      </c>
      <c r="R537" t="str" cm="1">
        <f t="array" ref="R537">_xlfn.IFS(Q537&gt;70,"Good",Q537&lt;40,"Bad",(Q537&gt;OS575*(Q537&lt;80)),"Ok")</f>
        <v>Bad</v>
      </c>
      <c r="S537">
        <v>43</v>
      </c>
      <c r="T537" t="str" cm="1">
        <f t="array" ref="T537">_xlfn.IFS(S537&gt;50, "High", S537&lt;=50, "Low")</f>
        <v>Low</v>
      </c>
      <c r="U537">
        <v>76</v>
      </c>
      <c r="V537">
        <v>0</v>
      </c>
      <c r="W537">
        <v>10</v>
      </c>
      <c r="X537">
        <v>7</v>
      </c>
      <c r="Y537">
        <f t="shared" ca="1" si="8"/>
        <v>38.006447775873063</v>
      </c>
    </row>
    <row r="538" spans="1:25" x14ac:dyDescent="0.3">
      <c r="A538" t="s">
        <v>1050</v>
      </c>
      <c r="B538" t="s">
        <v>1051</v>
      </c>
      <c r="C538">
        <v>3</v>
      </c>
      <c r="D538" s="1">
        <v>44530</v>
      </c>
      <c r="E538">
        <v>648</v>
      </c>
      <c r="F538">
        <v>1</v>
      </c>
      <c r="G538">
        <v>14</v>
      </c>
      <c r="H538">
        <v>3</v>
      </c>
      <c r="I538">
        <v>81</v>
      </c>
      <c r="J538">
        <v>0</v>
      </c>
      <c r="K538">
        <v>0</v>
      </c>
      <c r="L538">
        <v>240684449</v>
      </c>
      <c r="M538">
        <v>133</v>
      </c>
      <c r="N538" t="s">
        <v>65</v>
      </c>
      <c r="O538" t="s">
        <v>45</v>
      </c>
      <c r="P538">
        <v>82</v>
      </c>
      <c r="Q538">
        <v>52</v>
      </c>
      <c r="R538" t="str" cm="1">
        <f t="array" ref="R538">_xlfn.IFS(Q538&gt;70,"Good",Q538&lt;40,"Bad",(Q538&gt;OS576*(Q538&lt;80)),"Ok")</f>
        <v>Ok</v>
      </c>
      <c r="S538">
        <v>61</v>
      </c>
      <c r="T538" t="str" cm="1">
        <f t="array" ref="T538">_xlfn.IFS(S538&gt;50, "High", S538&lt;=50, "Low")</f>
        <v>High</v>
      </c>
      <c r="U538">
        <v>38</v>
      </c>
      <c r="V538">
        <v>0</v>
      </c>
      <c r="W538">
        <v>14</v>
      </c>
      <c r="X538">
        <v>27</v>
      </c>
      <c r="Y538">
        <f t="shared" ca="1" si="8"/>
        <v>54.746979795671621</v>
      </c>
    </row>
    <row r="539" spans="1:25" x14ac:dyDescent="0.3">
      <c r="A539" t="s">
        <v>1052</v>
      </c>
      <c r="B539" t="s">
        <v>36</v>
      </c>
      <c r="C539">
        <v>1</v>
      </c>
      <c r="D539" s="1">
        <v>44512</v>
      </c>
      <c r="E539">
        <v>4635</v>
      </c>
      <c r="F539">
        <v>5</v>
      </c>
      <c r="G539">
        <v>50</v>
      </c>
      <c r="H539">
        <v>49</v>
      </c>
      <c r="I539">
        <v>30</v>
      </c>
      <c r="J539">
        <v>1</v>
      </c>
      <c r="K539">
        <v>2</v>
      </c>
      <c r="L539">
        <v>583687007</v>
      </c>
      <c r="M539">
        <v>93</v>
      </c>
      <c r="O539" t="s">
        <v>28</v>
      </c>
      <c r="P539">
        <v>63</v>
      </c>
      <c r="Q539">
        <v>21</v>
      </c>
      <c r="R539" t="str" cm="1">
        <f t="array" ref="R539">_xlfn.IFS(Q539&gt;70,"Good",Q539&lt;40,"Bad",(Q539&gt;OS577*(Q539&lt;80)),"Ok")</f>
        <v>Bad</v>
      </c>
      <c r="S539">
        <v>52</v>
      </c>
      <c r="T539" t="str" cm="1">
        <f t="array" ref="T539">_xlfn.IFS(S539&gt;50, "High", S539&lt;=50, "Low")</f>
        <v>High</v>
      </c>
      <c r="U539">
        <v>28</v>
      </c>
      <c r="V539">
        <v>0</v>
      </c>
      <c r="W539">
        <v>9</v>
      </c>
      <c r="X539">
        <v>3</v>
      </c>
      <c r="Y539">
        <f t="shared" ca="1" si="8"/>
        <v>74.667595770001412</v>
      </c>
    </row>
    <row r="540" spans="1:25" x14ac:dyDescent="0.3">
      <c r="A540" t="s">
        <v>1053</v>
      </c>
      <c r="B540" t="s">
        <v>171</v>
      </c>
      <c r="C540">
        <v>1</v>
      </c>
      <c r="D540" s="1">
        <v>44568</v>
      </c>
      <c r="E540">
        <v>1184</v>
      </c>
      <c r="F540">
        <v>0</v>
      </c>
      <c r="G540">
        <v>1</v>
      </c>
      <c r="H540">
        <v>5</v>
      </c>
      <c r="I540">
        <v>6</v>
      </c>
      <c r="J540">
        <v>0</v>
      </c>
      <c r="K540">
        <v>0</v>
      </c>
      <c r="L540">
        <v>63803529</v>
      </c>
      <c r="M540">
        <v>122</v>
      </c>
      <c r="N540" t="s">
        <v>181</v>
      </c>
      <c r="O540" t="s">
        <v>28</v>
      </c>
      <c r="P540">
        <v>77</v>
      </c>
      <c r="Q540">
        <v>25</v>
      </c>
      <c r="R540" t="str" cm="1">
        <f t="array" ref="R540">_xlfn.IFS(Q540&gt;70,"Good",Q540&lt;40,"Bad",(Q540&gt;OS578*(Q540&lt;80)),"Ok")</f>
        <v>Bad</v>
      </c>
      <c r="S540">
        <v>62</v>
      </c>
      <c r="T540" t="str" cm="1">
        <f t="array" ref="T540">_xlfn.IFS(S540&gt;50, "High", S540&lt;=50, "Low")</f>
        <v>High</v>
      </c>
      <c r="U540">
        <v>34</v>
      </c>
      <c r="V540">
        <v>0</v>
      </c>
      <c r="W540">
        <v>23</v>
      </c>
      <c r="X540">
        <v>3</v>
      </c>
      <c r="Y540">
        <f t="shared" ca="1" si="8"/>
        <v>37.43940083848338</v>
      </c>
    </row>
    <row r="541" spans="1:25" x14ac:dyDescent="0.3">
      <c r="A541" t="s">
        <v>1054</v>
      </c>
      <c r="B541" t="s">
        <v>336</v>
      </c>
      <c r="C541">
        <v>1</v>
      </c>
      <c r="D541" s="1">
        <v>44519</v>
      </c>
      <c r="E541">
        <v>4431</v>
      </c>
      <c r="F541">
        <v>0</v>
      </c>
      <c r="G541">
        <v>105</v>
      </c>
      <c r="H541">
        <v>7</v>
      </c>
      <c r="I541">
        <v>199</v>
      </c>
      <c r="J541">
        <v>0</v>
      </c>
      <c r="K541">
        <v>0</v>
      </c>
      <c r="L541">
        <v>466214729</v>
      </c>
      <c r="M541">
        <v>88</v>
      </c>
      <c r="N541" t="s">
        <v>31</v>
      </c>
      <c r="O541" t="s">
        <v>28</v>
      </c>
      <c r="P541">
        <v>53</v>
      </c>
      <c r="Q541">
        <v>55</v>
      </c>
      <c r="R541" t="str" cm="1">
        <f t="array" ref="R541">_xlfn.IFS(Q541&gt;70,"Good",Q541&lt;40,"Bad",(Q541&gt;OS579*(Q541&lt;80)),"Ok")</f>
        <v>Ok</v>
      </c>
      <c r="S541">
        <v>73</v>
      </c>
      <c r="T541" t="str" cm="1">
        <f t="array" ref="T541">_xlfn.IFS(S541&gt;50, "High", S541&lt;=50, "Low")</f>
        <v>High</v>
      </c>
      <c r="U541">
        <v>9</v>
      </c>
      <c r="V541">
        <v>0</v>
      </c>
      <c r="W541">
        <v>3</v>
      </c>
      <c r="X541">
        <v>5</v>
      </c>
      <c r="Y541">
        <f t="shared" ca="1" si="8"/>
        <v>55.140610547255442</v>
      </c>
    </row>
    <row r="542" spans="1:25" x14ac:dyDescent="0.3">
      <c r="A542" t="s">
        <v>1055</v>
      </c>
      <c r="B542" t="s">
        <v>1056</v>
      </c>
      <c r="C542">
        <v>4</v>
      </c>
      <c r="D542" s="1">
        <v>44566</v>
      </c>
      <c r="E542">
        <v>759</v>
      </c>
      <c r="F542">
        <v>3</v>
      </c>
      <c r="G542">
        <v>32</v>
      </c>
      <c r="H542">
        <v>0</v>
      </c>
      <c r="I542">
        <v>12</v>
      </c>
      <c r="J542">
        <v>0</v>
      </c>
      <c r="K542">
        <v>0</v>
      </c>
      <c r="L542">
        <v>236940480</v>
      </c>
      <c r="M542">
        <v>170</v>
      </c>
      <c r="N542" t="s">
        <v>34</v>
      </c>
      <c r="O542" t="s">
        <v>45</v>
      </c>
      <c r="P542">
        <v>70</v>
      </c>
      <c r="Q542">
        <v>61</v>
      </c>
      <c r="R542" t="str" cm="1">
        <f t="array" ref="R542">_xlfn.IFS(Q542&gt;70,"Good",Q542&lt;40,"Bad",(Q542&gt;OS580*(Q542&lt;80)),"Ok")</f>
        <v>Ok</v>
      </c>
      <c r="S542">
        <v>44</v>
      </c>
      <c r="T542" t="str" cm="1">
        <f t="array" ref="T542">_xlfn.IFS(S542&gt;50, "High", S542&lt;=50, "Low")</f>
        <v>Low</v>
      </c>
      <c r="U542">
        <v>40</v>
      </c>
      <c r="V542">
        <v>0</v>
      </c>
      <c r="W542">
        <v>37</v>
      </c>
      <c r="X542">
        <v>4</v>
      </c>
      <c r="Y542">
        <f t="shared" ca="1" si="8"/>
        <v>29.672886031559408</v>
      </c>
    </row>
    <row r="543" spans="1:25" x14ac:dyDescent="0.3">
      <c r="A543" t="s">
        <v>1057</v>
      </c>
      <c r="B543" t="s">
        <v>171</v>
      </c>
      <c r="C543">
        <v>1</v>
      </c>
      <c r="D543" s="1">
        <v>44568</v>
      </c>
      <c r="E543">
        <v>733</v>
      </c>
      <c r="F543">
        <v>0</v>
      </c>
      <c r="G543">
        <v>0</v>
      </c>
      <c r="H543">
        <v>2</v>
      </c>
      <c r="I543">
        <v>2</v>
      </c>
      <c r="J543">
        <v>0</v>
      </c>
      <c r="K543">
        <v>0</v>
      </c>
      <c r="L543">
        <v>41924466</v>
      </c>
      <c r="M543">
        <v>94</v>
      </c>
      <c r="N543" t="s">
        <v>34</v>
      </c>
      <c r="O543" t="s">
        <v>45</v>
      </c>
      <c r="P543">
        <v>46</v>
      </c>
      <c r="Q543">
        <v>55</v>
      </c>
      <c r="R543" t="str" cm="1">
        <f t="array" ref="R543">_xlfn.IFS(Q543&gt;70,"Good",Q543&lt;40,"Bad",(Q543&gt;OS581*(Q543&lt;80)),"Ok")</f>
        <v>Ok</v>
      </c>
      <c r="S543">
        <v>50</v>
      </c>
      <c r="T543" t="str" cm="1">
        <f t="array" ref="T543">_xlfn.IFS(S543&gt;50, "High", S543&lt;=50, "Low")</f>
        <v>Low</v>
      </c>
      <c r="U543">
        <v>71</v>
      </c>
      <c r="V543">
        <v>0</v>
      </c>
      <c r="W543">
        <v>10</v>
      </c>
      <c r="X543">
        <v>11</v>
      </c>
      <c r="Y543">
        <f t="shared" ca="1" si="8"/>
        <v>40.569837200376455</v>
      </c>
    </row>
    <row r="544" spans="1:25" x14ac:dyDescent="0.3">
      <c r="A544" t="s">
        <v>1058</v>
      </c>
      <c r="B544" t="s">
        <v>1059</v>
      </c>
      <c r="C544">
        <v>1</v>
      </c>
      <c r="D544" s="1">
        <v>44518</v>
      </c>
      <c r="E544">
        <v>2795</v>
      </c>
      <c r="F544">
        <v>0</v>
      </c>
      <c r="G544">
        <v>45</v>
      </c>
      <c r="H544">
        <v>0</v>
      </c>
      <c r="I544">
        <v>107</v>
      </c>
      <c r="J544">
        <v>0</v>
      </c>
      <c r="K544">
        <v>0</v>
      </c>
      <c r="L544">
        <v>225259194</v>
      </c>
      <c r="M544">
        <v>170</v>
      </c>
      <c r="N544" t="s">
        <v>181</v>
      </c>
      <c r="O544" t="s">
        <v>28</v>
      </c>
      <c r="P544">
        <v>65</v>
      </c>
      <c r="Q544">
        <v>46</v>
      </c>
      <c r="R544" t="str" cm="1">
        <f t="array" ref="R544">_xlfn.IFS(Q544&gt;70,"Good",Q544&lt;40,"Bad",(Q544&gt;OS582*(Q544&lt;80)),"Ok")</f>
        <v>Ok</v>
      </c>
      <c r="S544">
        <v>47</v>
      </c>
      <c r="T544" t="str" cm="1">
        <f t="array" ref="T544">_xlfn.IFS(S544&gt;50, "High", S544&lt;=50, "Low")</f>
        <v>Low</v>
      </c>
      <c r="U544">
        <v>12</v>
      </c>
      <c r="V544">
        <v>0</v>
      </c>
      <c r="W544">
        <v>13</v>
      </c>
      <c r="X544">
        <v>16</v>
      </c>
      <c r="Y544">
        <f t="shared" ca="1" si="8"/>
        <v>88.821359379883376</v>
      </c>
    </row>
    <row r="545" spans="1:25" x14ac:dyDescent="0.3">
      <c r="A545" t="s">
        <v>424</v>
      </c>
      <c r="B545" t="s">
        <v>1060</v>
      </c>
      <c r="C545">
        <v>3</v>
      </c>
      <c r="D545" s="1">
        <v>44496</v>
      </c>
      <c r="E545">
        <v>2780</v>
      </c>
      <c r="F545">
        <v>2</v>
      </c>
      <c r="G545">
        <v>54</v>
      </c>
      <c r="H545">
        <v>21</v>
      </c>
      <c r="I545">
        <v>57</v>
      </c>
      <c r="J545">
        <v>1</v>
      </c>
      <c r="K545">
        <v>0</v>
      </c>
      <c r="L545">
        <v>393230256</v>
      </c>
      <c r="M545">
        <v>90</v>
      </c>
      <c r="N545" t="s">
        <v>134</v>
      </c>
      <c r="O545" t="s">
        <v>45</v>
      </c>
      <c r="P545">
        <v>79</v>
      </c>
      <c r="Q545">
        <v>79</v>
      </c>
      <c r="R545" t="str" cm="1">
        <f t="array" ref="R545">_xlfn.IFS(Q545&gt;70,"Good",Q545&lt;40,"Bad",(Q545&gt;OS583*(Q545&lt;80)),"Ok")</f>
        <v>Good</v>
      </c>
      <c r="S545">
        <v>70</v>
      </c>
      <c r="T545" t="str" cm="1">
        <f t="array" ref="T545">_xlfn.IFS(S545&gt;50, "High", S545&lt;=50, "Low")</f>
        <v>High</v>
      </c>
      <c r="U545">
        <v>57</v>
      </c>
      <c r="V545">
        <v>0</v>
      </c>
      <c r="W545">
        <v>66</v>
      </c>
      <c r="X545">
        <v>8</v>
      </c>
      <c r="Y545">
        <f t="shared" ca="1" si="8"/>
        <v>32.687315596230135</v>
      </c>
    </row>
    <row r="546" spans="1:25" x14ac:dyDescent="0.3">
      <c r="A546" t="s">
        <v>1061</v>
      </c>
      <c r="B546" t="s">
        <v>1062</v>
      </c>
      <c r="C546">
        <v>1</v>
      </c>
      <c r="D546" s="1">
        <v>44531</v>
      </c>
      <c r="E546">
        <v>1950</v>
      </c>
      <c r="F546">
        <v>0</v>
      </c>
      <c r="G546">
        <v>56</v>
      </c>
      <c r="H546">
        <v>8</v>
      </c>
      <c r="I546">
        <v>104</v>
      </c>
      <c r="J546">
        <v>0</v>
      </c>
      <c r="K546">
        <v>10</v>
      </c>
      <c r="L546">
        <v>287201015</v>
      </c>
      <c r="M546">
        <v>78</v>
      </c>
      <c r="N546" t="s">
        <v>94</v>
      </c>
      <c r="O546" t="s">
        <v>28</v>
      </c>
      <c r="P546">
        <v>40</v>
      </c>
      <c r="Q546">
        <v>7</v>
      </c>
      <c r="R546" t="str" cm="1">
        <f t="array" ref="R546">_xlfn.IFS(Q546&gt;70,"Good",Q546&lt;40,"Bad",(Q546&gt;OS584*(Q546&lt;80)),"Ok")</f>
        <v>Bad</v>
      </c>
      <c r="S546">
        <v>29</v>
      </c>
      <c r="T546" t="str" cm="1">
        <f t="array" ref="T546">_xlfn.IFS(S546&gt;50, "High", S546&lt;=50, "Low")</f>
        <v>Low</v>
      </c>
      <c r="U546">
        <v>62</v>
      </c>
      <c r="V546">
        <v>0</v>
      </c>
      <c r="W546">
        <v>9</v>
      </c>
      <c r="X546">
        <v>3</v>
      </c>
      <c r="Y546">
        <f t="shared" ca="1" si="8"/>
        <v>67.322182799240167</v>
      </c>
    </row>
    <row r="547" spans="1:25" x14ac:dyDescent="0.3">
      <c r="A547" t="s">
        <v>1063</v>
      </c>
      <c r="B547" t="s">
        <v>242</v>
      </c>
      <c r="C547">
        <v>1</v>
      </c>
      <c r="D547" s="1">
        <v>43168</v>
      </c>
      <c r="E547">
        <v>3947</v>
      </c>
      <c r="F547">
        <v>12</v>
      </c>
      <c r="G547">
        <v>33</v>
      </c>
      <c r="H547">
        <v>102</v>
      </c>
      <c r="I547">
        <v>93</v>
      </c>
      <c r="J547">
        <v>0</v>
      </c>
      <c r="K547">
        <v>30</v>
      </c>
      <c r="L547">
        <v>599770206</v>
      </c>
      <c r="M547">
        <v>94</v>
      </c>
      <c r="N547" t="s">
        <v>61</v>
      </c>
      <c r="O547" t="s">
        <v>28</v>
      </c>
      <c r="P547">
        <v>57</v>
      </c>
      <c r="Q547">
        <v>36</v>
      </c>
      <c r="R547" t="str" cm="1">
        <f t="array" ref="R547">_xlfn.IFS(Q547&gt;70,"Good",Q547&lt;40,"Bad",(Q547&gt;OS585*(Q547&lt;80)),"Ok")</f>
        <v>Bad</v>
      </c>
      <c r="S547">
        <v>58</v>
      </c>
      <c r="T547" t="str" cm="1">
        <f t="array" ref="T547">_xlfn.IFS(S547&gt;50, "High", S547&lt;=50, "Low")</f>
        <v>High</v>
      </c>
      <c r="U547">
        <v>5</v>
      </c>
      <c r="V547">
        <v>0</v>
      </c>
      <c r="W547">
        <v>15</v>
      </c>
      <c r="X547">
        <v>3</v>
      </c>
      <c r="Y547">
        <f t="shared" ca="1" si="8"/>
        <v>73.763386015425198</v>
      </c>
    </row>
    <row r="548" spans="1:25" x14ac:dyDescent="0.3">
      <c r="A548" t="s">
        <v>1064</v>
      </c>
      <c r="B548" t="s">
        <v>1065</v>
      </c>
      <c r="C548">
        <v>1</v>
      </c>
      <c r="D548" s="1">
        <v>44499</v>
      </c>
      <c r="E548">
        <v>2551</v>
      </c>
      <c r="F548">
        <v>0</v>
      </c>
      <c r="G548">
        <v>52</v>
      </c>
      <c r="H548">
        <v>15</v>
      </c>
      <c r="I548">
        <v>35</v>
      </c>
      <c r="J548">
        <v>0</v>
      </c>
      <c r="K548">
        <v>1</v>
      </c>
      <c r="L548">
        <v>342779426</v>
      </c>
      <c r="M548">
        <v>73</v>
      </c>
      <c r="N548" t="s">
        <v>61</v>
      </c>
      <c r="O548" t="s">
        <v>28</v>
      </c>
      <c r="P548">
        <v>83</v>
      </c>
      <c r="Q548">
        <v>11</v>
      </c>
      <c r="R548" t="str" cm="1">
        <f t="array" ref="R548">_xlfn.IFS(Q548&gt;70,"Good",Q548&lt;40,"Bad",(Q548&gt;OS586*(Q548&lt;80)),"Ok")</f>
        <v>Bad</v>
      </c>
      <c r="S548">
        <v>41</v>
      </c>
      <c r="T548" t="str" cm="1">
        <f t="array" ref="T548">_xlfn.IFS(S548&gt;50, "High", S548&lt;=50, "Low")</f>
        <v>Low</v>
      </c>
      <c r="U548">
        <v>0</v>
      </c>
      <c r="V548">
        <v>0</v>
      </c>
      <c r="W548">
        <v>36</v>
      </c>
      <c r="X548">
        <v>14</v>
      </c>
      <c r="Y548">
        <f t="shared" ca="1" si="8"/>
        <v>24.396009252485694</v>
      </c>
    </row>
    <row r="549" spans="1:25" x14ac:dyDescent="0.3">
      <c r="A549" t="s">
        <v>175</v>
      </c>
      <c r="B549" t="s">
        <v>1066</v>
      </c>
      <c r="C549">
        <v>2</v>
      </c>
      <c r="D549" s="1">
        <v>44411</v>
      </c>
      <c r="E549">
        <v>5375</v>
      </c>
      <c r="F549">
        <v>10</v>
      </c>
      <c r="G549">
        <v>138</v>
      </c>
      <c r="H549">
        <v>24</v>
      </c>
      <c r="I549">
        <v>133</v>
      </c>
      <c r="J549">
        <v>0</v>
      </c>
      <c r="K549">
        <v>1</v>
      </c>
      <c r="L549">
        <v>673801126</v>
      </c>
      <c r="M549">
        <v>176</v>
      </c>
      <c r="N549" t="s">
        <v>31</v>
      </c>
      <c r="O549" t="s">
        <v>28</v>
      </c>
      <c r="P549">
        <v>73</v>
      </c>
      <c r="Q549">
        <v>79</v>
      </c>
      <c r="R549" t="str" cm="1">
        <f t="array" ref="R549">_xlfn.IFS(Q549&gt;70,"Good",Q549&lt;40,"Bad",(Q549&gt;OS587*(Q549&lt;80)),"Ok")</f>
        <v>Good</v>
      </c>
      <c r="S549">
        <v>86</v>
      </c>
      <c r="T549" t="str" cm="1">
        <f t="array" ref="T549">_xlfn.IFS(S549&gt;50, "High", S549&lt;=50, "Low")</f>
        <v>High</v>
      </c>
      <c r="U549">
        <v>42</v>
      </c>
      <c r="V549">
        <v>0</v>
      </c>
      <c r="W549">
        <v>7</v>
      </c>
      <c r="X549">
        <v>18</v>
      </c>
      <c r="Y549">
        <f t="shared" ca="1" si="8"/>
        <v>78.086024252166467</v>
      </c>
    </row>
    <row r="550" spans="1:25" x14ac:dyDescent="0.3">
      <c r="A550" t="s">
        <v>1067</v>
      </c>
      <c r="B550" t="s">
        <v>1068</v>
      </c>
      <c r="C550">
        <v>1</v>
      </c>
      <c r="D550" s="1">
        <v>44137</v>
      </c>
      <c r="E550">
        <v>11975</v>
      </c>
      <c r="F550">
        <v>8</v>
      </c>
      <c r="G550">
        <v>188</v>
      </c>
      <c r="H550">
        <v>75</v>
      </c>
      <c r="I550">
        <v>268</v>
      </c>
      <c r="J550">
        <v>6</v>
      </c>
      <c r="K550">
        <v>16</v>
      </c>
      <c r="L550">
        <v>1168642797</v>
      </c>
      <c r="M550">
        <v>128</v>
      </c>
      <c r="N550" t="s">
        <v>302</v>
      </c>
      <c r="O550" t="s">
        <v>45</v>
      </c>
      <c r="P550">
        <v>81</v>
      </c>
      <c r="Q550">
        <v>57</v>
      </c>
      <c r="R550" t="str" cm="1">
        <f t="array" ref="R550">_xlfn.IFS(Q550&gt;70,"Good",Q550&lt;40,"Bad",(Q550&gt;OS588*(Q550&lt;80)),"Ok")</f>
        <v>Ok</v>
      </c>
      <c r="S550">
        <v>63</v>
      </c>
      <c r="T550" t="str" cm="1">
        <f t="array" ref="T550">_xlfn.IFS(S550&gt;50, "High", S550&lt;=50, "Low")</f>
        <v>High</v>
      </c>
      <c r="U550">
        <v>40</v>
      </c>
      <c r="V550">
        <v>1</v>
      </c>
      <c r="W550">
        <v>10</v>
      </c>
      <c r="X550">
        <v>4</v>
      </c>
      <c r="Y550">
        <f t="shared" ca="1" si="8"/>
        <v>33.969017948462962</v>
      </c>
    </row>
    <row r="551" spans="1:25" x14ac:dyDescent="0.3">
      <c r="A551" t="s">
        <v>1069</v>
      </c>
      <c r="B551" t="s">
        <v>1070</v>
      </c>
      <c r="C551">
        <v>3</v>
      </c>
      <c r="D551" s="1">
        <v>43707</v>
      </c>
      <c r="E551">
        <v>2696</v>
      </c>
      <c r="F551">
        <v>0</v>
      </c>
      <c r="G551">
        <v>42</v>
      </c>
      <c r="H551">
        <v>2</v>
      </c>
      <c r="I551">
        <v>57</v>
      </c>
      <c r="J551">
        <v>0</v>
      </c>
      <c r="L551">
        <v>540539717</v>
      </c>
      <c r="M551">
        <v>120</v>
      </c>
      <c r="N551" t="s">
        <v>81</v>
      </c>
      <c r="O551" t="s">
        <v>28</v>
      </c>
      <c r="P551">
        <v>58</v>
      </c>
      <c r="Q551">
        <v>44</v>
      </c>
      <c r="R551" t="str" cm="1">
        <f t="array" ref="R551">_xlfn.IFS(Q551&gt;70,"Good",Q551&lt;40,"Bad",(Q551&gt;OS589*(Q551&lt;80)),"Ok")</f>
        <v>Ok</v>
      </c>
      <c r="S551">
        <v>60</v>
      </c>
      <c r="T551" t="str" cm="1">
        <f t="array" ref="T551">_xlfn.IFS(S551&gt;50, "High", S551&lt;=50, "Low")</f>
        <v>High</v>
      </c>
      <c r="U551">
        <v>44</v>
      </c>
      <c r="V551">
        <v>9</v>
      </c>
      <c r="W551">
        <v>5</v>
      </c>
      <c r="X551">
        <v>6</v>
      </c>
      <c r="Y551">
        <f t="shared" ca="1" si="8"/>
        <v>64.942059039493714</v>
      </c>
    </row>
    <row r="552" spans="1:25" x14ac:dyDescent="0.3">
      <c r="A552" t="s">
        <v>82</v>
      </c>
      <c r="B552" t="s">
        <v>1071</v>
      </c>
      <c r="C552">
        <v>3</v>
      </c>
      <c r="D552" s="1">
        <v>44505</v>
      </c>
      <c r="E552">
        <v>4963</v>
      </c>
      <c r="F552">
        <v>0</v>
      </c>
      <c r="G552">
        <v>63</v>
      </c>
      <c r="H552">
        <v>40</v>
      </c>
      <c r="I552">
        <v>76</v>
      </c>
      <c r="J552">
        <v>0</v>
      </c>
      <c r="K552">
        <v>0</v>
      </c>
      <c r="L552">
        <v>383550148</v>
      </c>
      <c r="M552">
        <v>82</v>
      </c>
      <c r="N552" t="s">
        <v>61</v>
      </c>
      <c r="O552" t="s">
        <v>28</v>
      </c>
      <c r="P552">
        <v>63</v>
      </c>
      <c r="Q552">
        <v>85</v>
      </c>
      <c r="R552" t="str" cm="1">
        <f t="array" ref="R552">_xlfn.IFS(Q552&gt;70,"Good",Q552&lt;40,"Bad",(Q552&gt;OS590*(Q552&lt;80)),"Ok")</f>
        <v>Good</v>
      </c>
      <c r="S552">
        <v>62</v>
      </c>
      <c r="T552" t="str" cm="1">
        <f t="array" ref="T552">_xlfn.IFS(S552&gt;50, "High", S552&lt;=50, "Low")</f>
        <v>High</v>
      </c>
      <c r="U552">
        <v>6</v>
      </c>
      <c r="V552">
        <v>0</v>
      </c>
      <c r="W552">
        <v>35</v>
      </c>
      <c r="X552">
        <v>4</v>
      </c>
      <c r="Y552">
        <f t="shared" ca="1" si="8"/>
        <v>67.388074434356653</v>
      </c>
    </row>
    <row r="553" spans="1:25" x14ac:dyDescent="0.3">
      <c r="A553" t="s">
        <v>1072</v>
      </c>
      <c r="B553" t="s">
        <v>1073</v>
      </c>
      <c r="C553">
        <v>3</v>
      </c>
      <c r="D553" s="1">
        <v>43903</v>
      </c>
      <c r="E553">
        <v>6734</v>
      </c>
      <c r="F553">
        <v>0</v>
      </c>
      <c r="G553">
        <v>47</v>
      </c>
      <c r="H553">
        <v>14</v>
      </c>
      <c r="I553">
        <v>90</v>
      </c>
      <c r="J553">
        <v>0</v>
      </c>
      <c r="K553">
        <v>1</v>
      </c>
      <c r="L553">
        <v>530511203</v>
      </c>
      <c r="M553">
        <v>95</v>
      </c>
      <c r="N553" t="s">
        <v>61</v>
      </c>
      <c r="O553" t="s">
        <v>28</v>
      </c>
      <c r="P553">
        <v>77</v>
      </c>
      <c r="Q553">
        <v>40</v>
      </c>
      <c r="R553" t="str" cm="1">
        <f t="array" ref="R553">_xlfn.IFS(Q553&gt;70,"Good",Q553&lt;40,"Bad",(Q553&gt;OS591*(Q553&lt;80)),"Ok")</f>
        <v>Ok</v>
      </c>
      <c r="S553">
        <v>47</v>
      </c>
      <c r="T553" t="str" cm="1">
        <f t="array" ref="T553">_xlfn.IFS(S553&gt;50, "High", S553&lt;=50, "Low")</f>
        <v>Low</v>
      </c>
      <c r="U553">
        <v>2</v>
      </c>
      <c r="V553">
        <v>0</v>
      </c>
      <c r="W553">
        <v>9</v>
      </c>
      <c r="X553">
        <v>3</v>
      </c>
      <c r="Y553">
        <f t="shared" ca="1" si="8"/>
        <v>2.2808761203420236</v>
      </c>
    </row>
    <row r="554" spans="1:25" x14ac:dyDescent="0.3">
      <c r="A554" t="s">
        <v>1074</v>
      </c>
      <c r="B554" t="s">
        <v>171</v>
      </c>
      <c r="C554">
        <v>1</v>
      </c>
      <c r="D554" s="1">
        <v>44568</v>
      </c>
      <c r="E554">
        <v>715</v>
      </c>
      <c r="F554">
        <v>0</v>
      </c>
      <c r="G554">
        <v>0</v>
      </c>
      <c r="H554">
        <v>1</v>
      </c>
      <c r="I554">
        <v>2</v>
      </c>
      <c r="J554">
        <v>0</v>
      </c>
      <c r="K554">
        <v>0</v>
      </c>
      <c r="L554">
        <v>37307967</v>
      </c>
      <c r="M554">
        <v>118</v>
      </c>
      <c r="O554" t="s">
        <v>28</v>
      </c>
      <c r="P554">
        <v>44</v>
      </c>
      <c r="Q554">
        <v>52</v>
      </c>
      <c r="R554" t="str" cm="1">
        <f t="array" ref="R554">_xlfn.IFS(Q554&gt;70,"Good",Q554&lt;40,"Bad",(Q554&gt;OS592*(Q554&lt;80)),"Ok")</f>
        <v>Ok</v>
      </c>
      <c r="S554">
        <v>94</v>
      </c>
      <c r="T554" t="str" cm="1">
        <f t="array" ref="T554">_xlfn.IFS(S554&gt;50, "High", S554&lt;=50, "Low")</f>
        <v>High</v>
      </c>
      <c r="U554">
        <v>11</v>
      </c>
      <c r="V554">
        <v>0</v>
      </c>
      <c r="W554">
        <v>4</v>
      </c>
      <c r="X554">
        <v>29</v>
      </c>
      <c r="Y554">
        <f t="shared" ca="1" si="8"/>
        <v>49.019940325293732</v>
      </c>
    </row>
    <row r="555" spans="1:25" x14ac:dyDescent="0.3">
      <c r="A555" t="s">
        <v>507</v>
      </c>
      <c r="B555" t="s">
        <v>1075</v>
      </c>
      <c r="C555">
        <v>1</v>
      </c>
      <c r="D555" s="1">
        <v>44491</v>
      </c>
      <c r="E555">
        <v>3047</v>
      </c>
      <c r="F555">
        <v>9</v>
      </c>
      <c r="G555">
        <v>77</v>
      </c>
      <c r="H555">
        <v>31</v>
      </c>
      <c r="I555">
        <v>85</v>
      </c>
      <c r="J555">
        <v>5</v>
      </c>
      <c r="K555">
        <v>28</v>
      </c>
      <c r="L555">
        <v>510876816</v>
      </c>
      <c r="M555">
        <v>123</v>
      </c>
      <c r="N555" t="s">
        <v>27</v>
      </c>
      <c r="O555" t="s">
        <v>45</v>
      </c>
      <c r="P555">
        <v>75</v>
      </c>
      <c r="Q555">
        <v>93</v>
      </c>
      <c r="R555" t="str" cm="1">
        <f t="array" ref="R555">_xlfn.IFS(Q555&gt;70,"Good",Q555&lt;40,"Bad",(Q555&gt;OS593*(Q555&lt;80)),"Ok")</f>
        <v>Good</v>
      </c>
      <c r="S555">
        <v>86</v>
      </c>
      <c r="T555" t="str" cm="1">
        <f t="array" ref="T555">_xlfn.IFS(S555&gt;50, "High", S555&lt;=50, "Low")</f>
        <v>High</v>
      </c>
      <c r="U555">
        <v>8</v>
      </c>
      <c r="V555">
        <v>0</v>
      </c>
      <c r="W555">
        <v>14</v>
      </c>
      <c r="X555">
        <v>3</v>
      </c>
      <c r="Y555">
        <f t="shared" ca="1" si="8"/>
        <v>38.249317870474911</v>
      </c>
    </row>
    <row r="556" spans="1:25" x14ac:dyDescent="0.3">
      <c r="A556" t="s">
        <v>1076</v>
      </c>
      <c r="B556" t="s">
        <v>1077</v>
      </c>
      <c r="C556">
        <v>3</v>
      </c>
      <c r="D556" s="1">
        <v>44274</v>
      </c>
      <c r="E556">
        <v>14140</v>
      </c>
      <c r="F556">
        <v>0</v>
      </c>
      <c r="G556">
        <v>231</v>
      </c>
      <c r="H556">
        <v>52</v>
      </c>
      <c r="I556">
        <v>612</v>
      </c>
      <c r="J556">
        <v>6</v>
      </c>
      <c r="L556">
        <v>1445941661</v>
      </c>
      <c r="M556">
        <v>90</v>
      </c>
      <c r="O556" t="s">
        <v>28</v>
      </c>
      <c r="P556">
        <v>63</v>
      </c>
      <c r="Q556">
        <v>49</v>
      </c>
      <c r="R556" t="str" cm="1">
        <f t="array" ref="R556">_xlfn.IFS(Q556&gt;70,"Good",Q556&lt;40,"Bad",(Q556&gt;OS594*(Q556&lt;80)),"Ok")</f>
        <v>Ok</v>
      </c>
      <c r="S556">
        <v>68</v>
      </c>
      <c r="T556" t="str" cm="1">
        <f t="array" ref="T556">_xlfn.IFS(S556&gt;50, "High", S556&lt;=50, "Low")</f>
        <v>High</v>
      </c>
      <c r="U556">
        <v>38</v>
      </c>
      <c r="V556">
        <v>0</v>
      </c>
      <c r="W556">
        <v>42</v>
      </c>
      <c r="X556">
        <v>18</v>
      </c>
      <c r="Y556">
        <f t="shared" ca="1" si="8"/>
        <v>29.743811463465907</v>
      </c>
    </row>
    <row r="557" spans="1:25" x14ac:dyDescent="0.3">
      <c r="A557" t="s">
        <v>1078</v>
      </c>
      <c r="B557" t="s">
        <v>985</v>
      </c>
      <c r="C557">
        <v>2</v>
      </c>
      <c r="D557" s="1">
        <v>44134</v>
      </c>
      <c r="E557">
        <v>11215</v>
      </c>
      <c r="F557">
        <v>21</v>
      </c>
      <c r="G557">
        <v>189</v>
      </c>
      <c r="H557">
        <v>166</v>
      </c>
      <c r="I557">
        <v>525</v>
      </c>
      <c r="J557">
        <v>9</v>
      </c>
      <c r="K557">
        <v>25</v>
      </c>
      <c r="L557">
        <v>1763363713</v>
      </c>
      <c r="M557">
        <v>110</v>
      </c>
      <c r="N557" t="s">
        <v>134</v>
      </c>
      <c r="O557" t="s">
        <v>45</v>
      </c>
      <c r="P557">
        <v>73</v>
      </c>
      <c r="Q557">
        <v>14</v>
      </c>
      <c r="R557" t="str" cm="1">
        <f t="array" ref="R557">_xlfn.IFS(Q557&gt;70,"Good",Q557&lt;40,"Bad",(Q557&gt;OS595*(Q557&lt;80)),"Ok")</f>
        <v>Bad</v>
      </c>
      <c r="S557">
        <v>57</v>
      </c>
      <c r="T557" t="str" cm="1">
        <f t="array" ref="T557">_xlfn.IFS(S557&gt;50, "High", S557&lt;=50, "Low")</f>
        <v>High</v>
      </c>
      <c r="U557">
        <v>40</v>
      </c>
      <c r="V557">
        <v>0</v>
      </c>
      <c r="W557">
        <v>11</v>
      </c>
      <c r="X557">
        <v>5</v>
      </c>
      <c r="Y557">
        <f t="shared" ca="1" si="8"/>
        <v>98.096613044071489</v>
      </c>
    </row>
    <row r="558" spans="1:25" x14ac:dyDescent="0.3">
      <c r="A558" t="s">
        <v>393</v>
      </c>
      <c r="B558" t="s">
        <v>1079</v>
      </c>
      <c r="C558">
        <v>2</v>
      </c>
      <c r="D558" s="1">
        <v>44559</v>
      </c>
      <c r="E558">
        <v>1678</v>
      </c>
      <c r="F558">
        <v>12</v>
      </c>
      <c r="G558">
        <v>20</v>
      </c>
      <c r="H558">
        <v>4</v>
      </c>
      <c r="I558">
        <v>15</v>
      </c>
      <c r="J558">
        <v>1</v>
      </c>
      <c r="K558">
        <v>3</v>
      </c>
      <c r="L558">
        <v>374191487</v>
      </c>
      <c r="M558">
        <v>96</v>
      </c>
      <c r="N558" t="s">
        <v>31</v>
      </c>
      <c r="O558" t="s">
        <v>45</v>
      </c>
      <c r="P558">
        <v>66</v>
      </c>
      <c r="Q558">
        <v>76</v>
      </c>
      <c r="R558" t="str" cm="1">
        <f t="array" ref="R558">_xlfn.IFS(Q558&gt;70,"Good",Q558&lt;40,"Bad",(Q558&gt;OS596*(Q558&lt;80)),"Ok")</f>
        <v>Good</v>
      </c>
      <c r="S558">
        <v>82</v>
      </c>
      <c r="T558" t="str" cm="1">
        <f t="array" ref="T558">_xlfn.IFS(S558&gt;50, "High", S558&lt;=50, "Low")</f>
        <v>High</v>
      </c>
      <c r="U558">
        <v>47</v>
      </c>
      <c r="V558">
        <v>0</v>
      </c>
      <c r="W558">
        <v>10</v>
      </c>
      <c r="X558">
        <v>32</v>
      </c>
      <c r="Y558">
        <f t="shared" ca="1" si="8"/>
        <v>48.184562412817179</v>
      </c>
    </row>
    <row r="559" spans="1:25" x14ac:dyDescent="0.3">
      <c r="A559" t="s">
        <v>1080</v>
      </c>
      <c r="B559" t="s">
        <v>1081</v>
      </c>
      <c r="C559">
        <v>1</v>
      </c>
      <c r="D559" s="1">
        <v>44570</v>
      </c>
      <c r="E559">
        <v>2035</v>
      </c>
      <c r="F559">
        <v>0</v>
      </c>
      <c r="G559">
        <v>41</v>
      </c>
      <c r="H559">
        <v>122</v>
      </c>
      <c r="I559">
        <v>394</v>
      </c>
      <c r="J559">
        <v>0</v>
      </c>
      <c r="K559">
        <v>2</v>
      </c>
      <c r="L559">
        <v>108809090</v>
      </c>
      <c r="M559">
        <v>88</v>
      </c>
      <c r="N559" t="s">
        <v>61</v>
      </c>
      <c r="O559" t="s">
        <v>45</v>
      </c>
      <c r="P559">
        <v>56</v>
      </c>
      <c r="Q559">
        <v>58</v>
      </c>
      <c r="R559" t="str" cm="1">
        <f t="array" ref="R559">_xlfn.IFS(Q559&gt;70,"Good",Q559&lt;40,"Bad",(Q559&gt;OS597*(Q559&lt;80)),"Ok")</f>
        <v>Ok</v>
      </c>
      <c r="S559">
        <v>55</v>
      </c>
      <c r="T559" t="str" cm="1">
        <f t="array" ref="T559">_xlfn.IFS(S559&gt;50, "High", S559&lt;=50, "Low")</f>
        <v>High</v>
      </c>
      <c r="U559">
        <v>35</v>
      </c>
      <c r="V559">
        <v>0</v>
      </c>
      <c r="W559">
        <v>23</v>
      </c>
      <c r="X559">
        <v>11</v>
      </c>
      <c r="Y559">
        <f t="shared" ca="1" si="8"/>
        <v>72.942756844985979</v>
      </c>
    </row>
    <row r="560" spans="1:25" x14ac:dyDescent="0.3">
      <c r="A560" t="s">
        <v>1082</v>
      </c>
      <c r="B560" t="s">
        <v>1083</v>
      </c>
      <c r="C560">
        <v>3</v>
      </c>
      <c r="D560" s="1">
        <v>44447</v>
      </c>
      <c r="E560">
        <v>2780</v>
      </c>
      <c r="F560">
        <v>2</v>
      </c>
      <c r="G560">
        <v>86</v>
      </c>
      <c r="H560">
        <v>76</v>
      </c>
      <c r="I560">
        <v>59</v>
      </c>
      <c r="J560">
        <v>0</v>
      </c>
      <c r="K560">
        <v>16</v>
      </c>
      <c r="L560">
        <v>436695353</v>
      </c>
      <c r="M560">
        <v>98</v>
      </c>
      <c r="N560" t="s">
        <v>37</v>
      </c>
      <c r="O560" t="s">
        <v>45</v>
      </c>
      <c r="P560">
        <v>73</v>
      </c>
      <c r="Q560">
        <v>60</v>
      </c>
      <c r="R560" t="str" cm="1">
        <f t="array" ref="R560">_xlfn.IFS(Q560&gt;70,"Good",Q560&lt;40,"Bad",(Q560&gt;OS598*(Q560&lt;80)),"Ok")</f>
        <v>Ok</v>
      </c>
      <c r="S560">
        <v>85</v>
      </c>
      <c r="T560" t="str" cm="1">
        <f t="array" ref="T560">_xlfn.IFS(S560&gt;50, "High", S560&lt;=50, "Low")</f>
        <v>High</v>
      </c>
      <c r="U560">
        <v>17</v>
      </c>
      <c r="V560">
        <v>0</v>
      </c>
      <c r="W560">
        <v>24</v>
      </c>
      <c r="X560">
        <v>5</v>
      </c>
      <c r="Y560">
        <f t="shared" ca="1" si="8"/>
        <v>30.526806635270042</v>
      </c>
    </row>
    <row r="561" spans="1:25" x14ac:dyDescent="0.3">
      <c r="A561" t="s">
        <v>1084</v>
      </c>
      <c r="B561" t="s">
        <v>1085</v>
      </c>
      <c r="C561">
        <v>3</v>
      </c>
      <c r="D561" s="1">
        <v>44463</v>
      </c>
      <c r="E561">
        <v>4091</v>
      </c>
      <c r="F561">
        <v>0</v>
      </c>
      <c r="G561">
        <v>105</v>
      </c>
      <c r="H561">
        <v>2</v>
      </c>
      <c r="I561">
        <v>73</v>
      </c>
      <c r="J561">
        <v>13</v>
      </c>
      <c r="K561">
        <v>1</v>
      </c>
      <c r="L561">
        <v>421040617</v>
      </c>
      <c r="M561">
        <v>110</v>
      </c>
      <c r="O561" t="s">
        <v>45</v>
      </c>
      <c r="P561">
        <v>72</v>
      </c>
      <c r="Q561">
        <v>67</v>
      </c>
      <c r="R561" t="str" cm="1">
        <f t="array" ref="R561">_xlfn.IFS(Q561&gt;70,"Good",Q561&lt;40,"Bad",(Q561&gt;OS599*(Q561&lt;80)),"Ok")</f>
        <v>Ok</v>
      </c>
      <c r="S561">
        <v>68</v>
      </c>
      <c r="T561" t="str" cm="1">
        <f t="array" ref="T561">_xlfn.IFS(S561&gt;50, "High", S561&lt;=50, "Low")</f>
        <v>High</v>
      </c>
      <c r="U561">
        <v>0</v>
      </c>
      <c r="V561">
        <v>0</v>
      </c>
      <c r="W561">
        <v>14</v>
      </c>
      <c r="X561">
        <v>4</v>
      </c>
      <c r="Y561">
        <f t="shared" ca="1" si="8"/>
        <v>81.770464190710427</v>
      </c>
    </row>
    <row r="562" spans="1:25" x14ac:dyDescent="0.3">
      <c r="A562" t="s">
        <v>1086</v>
      </c>
      <c r="B562" t="s">
        <v>1087</v>
      </c>
      <c r="C562">
        <v>1</v>
      </c>
      <c r="D562" s="1">
        <v>44029</v>
      </c>
      <c r="E562">
        <v>2868</v>
      </c>
      <c r="F562">
        <v>0</v>
      </c>
      <c r="G562">
        <v>43</v>
      </c>
      <c r="H562">
        <v>15</v>
      </c>
      <c r="I562">
        <v>116</v>
      </c>
      <c r="J562">
        <v>0</v>
      </c>
      <c r="L562">
        <v>501541661</v>
      </c>
      <c r="M562">
        <v>80</v>
      </c>
      <c r="O562" t="s">
        <v>28</v>
      </c>
      <c r="P562">
        <v>70</v>
      </c>
      <c r="Q562">
        <v>57</v>
      </c>
      <c r="R562" t="str" cm="1">
        <f t="array" ref="R562">_xlfn.IFS(Q562&gt;70,"Good",Q562&lt;40,"Bad",(Q562&gt;OS600*(Q562&lt;80)),"Ok")</f>
        <v>Ok</v>
      </c>
      <c r="S562">
        <v>49</v>
      </c>
      <c r="T562" t="str" cm="1">
        <f t="array" ref="T562">_xlfn.IFS(S562&gt;50, "High", S562&lt;=50, "Low")</f>
        <v>Low</v>
      </c>
      <c r="U562">
        <v>19</v>
      </c>
      <c r="V562">
        <v>0</v>
      </c>
      <c r="W562">
        <v>12</v>
      </c>
      <c r="X562">
        <v>8</v>
      </c>
      <c r="Y562">
        <f t="shared" ca="1" si="8"/>
        <v>78.829996043894383</v>
      </c>
    </row>
    <row r="563" spans="1:25" x14ac:dyDescent="0.3">
      <c r="A563" t="s">
        <v>1088</v>
      </c>
      <c r="B563" t="s">
        <v>1089</v>
      </c>
      <c r="C563">
        <v>3</v>
      </c>
      <c r="D563" s="1">
        <v>44455</v>
      </c>
      <c r="E563">
        <v>3643</v>
      </c>
      <c r="F563">
        <v>0</v>
      </c>
      <c r="G563">
        <v>69</v>
      </c>
      <c r="H563">
        <v>3</v>
      </c>
      <c r="I563">
        <v>70</v>
      </c>
      <c r="J563">
        <v>0</v>
      </c>
      <c r="K563">
        <v>3</v>
      </c>
      <c r="L563">
        <v>354065229</v>
      </c>
      <c r="M563">
        <v>110</v>
      </c>
      <c r="N563" t="s">
        <v>31</v>
      </c>
      <c r="O563" t="s">
        <v>45</v>
      </c>
      <c r="P563">
        <v>86</v>
      </c>
      <c r="Q563">
        <v>31</v>
      </c>
      <c r="R563" t="str" cm="1">
        <f t="array" ref="R563">_xlfn.IFS(Q563&gt;70,"Good",Q563&lt;40,"Bad",(Q563&gt;OS601*(Q563&lt;80)),"Ok")</f>
        <v>Bad</v>
      </c>
      <c r="S563">
        <v>53</v>
      </c>
      <c r="T563" t="str" cm="1">
        <f t="array" ref="T563">_xlfn.IFS(S563&gt;50, "High", S563&lt;=50, "Low")</f>
        <v>High</v>
      </c>
      <c r="U563">
        <v>43</v>
      </c>
      <c r="V563">
        <v>0</v>
      </c>
      <c r="W563">
        <v>11</v>
      </c>
      <c r="X563">
        <v>6</v>
      </c>
      <c r="Y563">
        <f t="shared" ca="1" si="8"/>
        <v>8.7449240776846455</v>
      </c>
    </row>
    <row r="564" spans="1:25" x14ac:dyDescent="0.3">
      <c r="A564" t="s">
        <v>1090</v>
      </c>
      <c r="B564" t="s">
        <v>312</v>
      </c>
      <c r="C564">
        <v>1</v>
      </c>
      <c r="D564" s="1">
        <v>44337</v>
      </c>
      <c r="E564">
        <v>4779</v>
      </c>
      <c r="F564">
        <v>6</v>
      </c>
      <c r="G564">
        <v>180</v>
      </c>
      <c r="H564">
        <v>135</v>
      </c>
      <c r="I564">
        <v>223</v>
      </c>
      <c r="J564">
        <v>0</v>
      </c>
      <c r="K564">
        <v>5</v>
      </c>
      <c r="L564">
        <v>1143647827</v>
      </c>
      <c r="M564">
        <v>110</v>
      </c>
      <c r="N564" t="s">
        <v>81</v>
      </c>
      <c r="O564" t="s">
        <v>28</v>
      </c>
      <c r="P564">
        <v>79</v>
      </c>
      <c r="Q564">
        <v>70</v>
      </c>
      <c r="R564" t="str" cm="1">
        <f t="array" ref="R564">_xlfn.IFS(Q564&gt;70,"Good",Q564&lt;40,"Bad",(Q564&gt;OS602*(Q564&lt;80)),"Ok")</f>
        <v>Ok</v>
      </c>
      <c r="S564">
        <v>36</v>
      </c>
      <c r="T564" t="str" cm="1">
        <f t="array" ref="T564">_xlfn.IFS(S564&gt;50, "High", S564&lt;=50, "Low")</f>
        <v>Low</v>
      </c>
      <c r="U564">
        <v>0</v>
      </c>
      <c r="V564">
        <v>0</v>
      </c>
      <c r="W564">
        <v>6</v>
      </c>
      <c r="X564">
        <v>11</v>
      </c>
      <c r="Y564">
        <f t="shared" ca="1" si="8"/>
        <v>57.41508327493613</v>
      </c>
    </row>
    <row r="565" spans="1:25" x14ac:dyDescent="0.3">
      <c r="A565" t="s">
        <v>1091</v>
      </c>
      <c r="B565" t="s">
        <v>1092</v>
      </c>
      <c r="C565">
        <v>3</v>
      </c>
      <c r="D565" s="1">
        <v>44568</v>
      </c>
      <c r="E565">
        <v>3517</v>
      </c>
      <c r="F565">
        <v>0</v>
      </c>
      <c r="G565">
        <v>54</v>
      </c>
      <c r="H565">
        <v>28</v>
      </c>
      <c r="I565">
        <v>43</v>
      </c>
      <c r="J565">
        <v>0</v>
      </c>
      <c r="K565">
        <v>0</v>
      </c>
      <c r="L565">
        <v>311395144</v>
      </c>
      <c r="M565">
        <v>78</v>
      </c>
      <c r="N565" t="s">
        <v>31</v>
      </c>
      <c r="O565" t="s">
        <v>45</v>
      </c>
      <c r="P565">
        <v>77</v>
      </c>
      <c r="Q565">
        <v>49</v>
      </c>
      <c r="R565" t="str" cm="1">
        <f t="array" ref="R565">_xlfn.IFS(Q565&gt;70,"Good",Q565&lt;40,"Bad",(Q565&gt;OS603*(Q565&lt;80)),"Ok")</f>
        <v>Ok</v>
      </c>
      <c r="S565">
        <v>42</v>
      </c>
      <c r="T565" t="str" cm="1">
        <f t="array" ref="T565">_xlfn.IFS(S565&gt;50, "High", S565&lt;=50, "Low")</f>
        <v>Low</v>
      </c>
      <c r="U565">
        <v>1</v>
      </c>
      <c r="V565">
        <v>1</v>
      </c>
      <c r="W565">
        <v>13</v>
      </c>
      <c r="X565">
        <v>19</v>
      </c>
      <c r="Y565">
        <f t="shared" ca="1" si="8"/>
        <v>79.70227803474485</v>
      </c>
    </row>
    <row r="566" spans="1:25" x14ac:dyDescent="0.3">
      <c r="A566" t="s">
        <v>1093</v>
      </c>
      <c r="B566" t="s">
        <v>1094</v>
      </c>
      <c r="C566">
        <v>2</v>
      </c>
      <c r="D566" s="1">
        <v>44371</v>
      </c>
      <c r="E566">
        <v>5073</v>
      </c>
      <c r="F566">
        <v>0</v>
      </c>
      <c r="G566">
        <v>83</v>
      </c>
      <c r="H566">
        <v>9</v>
      </c>
      <c r="I566">
        <v>100</v>
      </c>
      <c r="J566">
        <v>0</v>
      </c>
      <c r="K566">
        <v>4</v>
      </c>
      <c r="L566">
        <v>672656250</v>
      </c>
      <c r="M566">
        <v>129</v>
      </c>
      <c r="N566" t="s">
        <v>81</v>
      </c>
      <c r="O566" t="s">
        <v>28</v>
      </c>
      <c r="P566">
        <v>83</v>
      </c>
      <c r="Q566">
        <v>44</v>
      </c>
      <c r="R566" t="str" cm="1">
        <f t="array" ref="R566">_xlfn.IFS(Q566&gt;70,"Good",Q566&lt;40,"Bad",(Q566&gt;OS604*(Q566&lt;80)),"Ok")</f>
        <v>Ok</v>
      </c>
      <c r="S566">
        <v>62</v>
      </c>
      <c r="T566" t="str" cm="1">
        <f t="array" ref="T566">_xlfn.IFS(S566&gt;50, "High", S566&lt;=50, "Low")</f>
        <v>High</v>
      </c>
      <c r="U566">
        <v>2</v>
      </c>
      <c r="V566">
        <v>0</v>
      </c>
      <c r="W566">
        <v>8</v>
      </c>
      <c r="X566">
        <v>6</v>
      </c>
      <c r="Y566">
        <f t="shared" ca="1" si="8"/>
        <v>31.443107518025194</v>
      </c>
    </row>
    <row r="567" spans="1:25" x14ac:dyDescent="0.3">
      <c r="A567" t="s">
        <v>1095</v>
      </c>
      <c r="B567" t="s">
        <v>33</v>
      </c>
      <c r="C567">
        <v>1</v>
      </c>
      <c r="D567" s="1">
        <v>44287</v>
      </c>
      <c r="E567">
        <v>7545</v>
      </c>
      <c r="F567">
        <v>4</v>
      </c>
      <c r="G567">
        <v>117</v>
      </c>
      <c r="H567">
        <v>39</v>
      </c>
      <c r="I567">
        <v>141</v>
      </c>
      <c r="J567">
        <v>0</v>
      </c>
      <c r="K567">
        <v>46</v>
      </c>
      <c r="L567">
        <v>1256880657</v>
      </c>
      <c r="M567">
        <v>181</v>
      </c>
      <c r="N567" t="s">
        <v>37</v>
      </c>
      <c r="O567" t="s">
        <v>28</v>
      </c>
      <c r="P567">
        <v>44</v>
      </c>
      <c r="Q567">
        <v>22</v>
      </c>
      <c r="R567" t="str" cm="1">
        <f t="array" ref="R567">_xlfn.IFS(Q567&gt;70,"Good",Q567&lt;40,"Bad",(Q567&gt;OS605*(Q567&lt;80)),"Ok")</f>
        <v>Bad</v>
      </c>
      <c r="S567">
        <v>60</v>
      </c>
      <c r="T567" t="str" cm="1">
        <f t="array" ref="T567">_xlfn.IFS(S567&gt;50, "High", S567&lt;=50, "Low")</f>
        <v>High</v>
      </c>
      <c r="U567">
        <v>61</v>
      </c>
      <c r="V567">
        <v>0</v>
      </c>
      <c r="W567">
        <v>42</v>
      </c>
      <c r="X567">
        <v>9</v>
      </c>
      <c r="Y567">
        <f t="shared" ca="1" si="8"/>
        <v>88.68118057729248</v>
      </c>
    </row>
    <row r="568" spans="1:25" x14ac:dyDescent="0.3">
      <c r="A568" t="s">
        <v>548</v>
      </c>
      <c r="B568" t="s">
        <v>312</v>
      </c>
      <c r="C568">
        <v>1</v>
      </c>
      <c r="D568" s="1">
        <v>44064</v>
      </c>
      <c r="E568">
        <v>8528</v>
      </c>
      <c r="F568">
        <v>5</v>
      </c>
      <c r="G568">
        <v>239</v>
      </c>
      <c r="H568">
        <v>163</v>
      </c>
      <c r="I568">
        <v>583</v>
      </c>
      <c r="J568">
        <v>0</v>
      </c>
      <c r="L568">
        <v>1692897992</v>
      </c>
      <c r="M568">
        <v>114</v>
      </c>
      <c r="N568" t="s">
        <v>65</v>
      </c>
      <c r="O568" t="s">
        <v>45</v>
      </c>
      <c r="P568">
        <v>75</v>
      </c>
      <c r="Q568">
        <v>74</v>
      </c>
      <c r="R568" t="str" cm="1">
        <f t="array" ref="R568">_xlfn.IFS(Q568&gt;70,"Good",Q568&lt;40,"Bad",(Q568&gt;OS606*(Q568&lt;80)),"Ok")</f>
        <v>Good</v>
      </c>
      <c r="S568">
        <v>77</v>
      </c>
      <c r="T568" t="str" cm="1">
        <f t="array" ref="T568">_xlfn.IFS(S568&gt;50, "High", S568&lt;=50, "Low")</f>
        <v>High</v>
      </c>
      <c r="U568">
        <v>1</v>
      </c>
      <c r="V568">
        <v>0</v>
      </c>
      <c r="W568">
        <v>9</v>
      </c>
      <c r="X568">
        <v>10</v>
      </c>
      <c r="Y568">
        <f t="shared" ca="1" si="8"/>
        <v>47.291127274230995</v>
      </c>
    </row>
    <row r="569" spans="1:25" x14ac:dyDescent="0.3">
      <c r="A569" t="s">
        <v>1096</v>
      </c>
      <c r="B569" t="s">
        <v>1097</v>
      </c>
      <c r="C569">
        <v>1</v>
      </c>
      <c r="D569" s="1">
        <v>44505</v>
      </c>
      <c r="E569">
        <v>2979</v>
      </c>
      <c r="F569">
        <v>0</v>
      </c>
      <c r="G569">
        <v>44</v>
      </c>
      <c r="H569">
        <v>0</v>
      </c>
      <c r="I569">
        <v>159</v>
      </c>
      <c r="J569">
        <v>0</v>
      </c>
      <c r="K569">
        <v>0</v>
      </c>
      <c r="L569">
        <v>245095641</v>
      </c>
      <c r="M569">
        <v>144</v>
      </c>
      <c r="N569" t="s">
        <v>61</v>
      </c>
      <c r="O569" t="s">
        <v>28</v>
      </c>
      <c r="P569">
        <v>74</v>
      </c>
      <c r="Q569">
        <v>39</v>
      </c>
      <c r="R569" t="str" cm="1">
        <f t="array" ref="R569">_xlfn.IFS(Q569&gt;70,"Good",Q569&lt;40,"Bad",(Q569&gt;OS607*(Q569&lt;80)),"Ok")</f>
        <v>Bad</v>
      </c>
      <c r="S569">
        <v>65</v>
      </c>
      <c r="T569" t="str" cm="1">
        <f t="array" ref="T569">_xlfn.IFS(S569&gt;50, "High", S569&lt;=50, "Low")</f>
        <v>High</v>
      </c>
      <c r="U569">
        <v>5</v>
      </c>
      <c r="V569">
        <v>1</v>
      </c>
      <c r="W569">
        <v>11</v>
      </c>
      <c r="X569">
        <v>35</v>
      </c>
      <c r="Y569">
        <f t="shared" ca="1" si="8"/>
        <v>69.65551860513439</v>
      </c>
    </row>
    <row r="570" spans="1:25" x14ac:dyDescent="0.3">
      <c r="A570" t="s">
        <v>1098</v>
      </c>
      <c r="B570" t="s">
        <v>697</v>
      </c>
      <c r="C570">
        <v>2</v>
      </c>
      <c r="D570" s="1">
        <v>43476</v>
      </c>
      <c r="E570">
        <v>7731</v>
      </c>
      <c r="F570">
        <v>2</v>
      </c>
      <c r="G570">
        <v>110</v>
      </c>
      <c r="H570">
        <v>145</v>
      </c>
      <c r="I570">
        <v>447</v>
      </c>
      <c r="J570">
        <v>0</v>
      </c>
      <c r="K570">
        <v>46</v>
      </c>
      <c r="L570">
        <v>686734357</v>
      </c>
      <c r="M570">
        <v>101</v>
      </c>
      <c r="N570" t="s">
        <v>61</v>
      </c>
      <c r="O570" t="s">
        <v>28</v>
      </c>
      <c r="P570">
        <v>66</v>
      </c>
      <c r="Q570">
        <v>18</v>
      </c>
      <c r="R570" t="str" cm="1">
        <f t="array" ref="R570">_xlfn.IFS(Q570&gt;70,"Good",Q570&lt;40,"Bad",(Q570&gt;OS608*(Q570&lt;80)),"Ok")</f>
        <v>Bad</v>
      </c>
      <c r="S570">
        <v>68</v>
      </c>
      <c r="T570" t="str" cm="1">
        <f t="array" ref="T570">_xlfn.IFS(S570&gt;50, "High", S570&lt;=50, "Low")</f>
        <v>High</v>
      </c>
      <c r="U570">
        <v>9</v>
      </c>
      <c r="V570">
        <v>0</v>
      </c>
      <c r="W570">
        <v>12</v>
      </c>
      <c r="X570">
        <v>4</v>
      </c>
      <c r="Y570">
        <f t="shared" ca="1" si="8"/>
        <v>26.188304522901184</v>
      </c>
    </row>
    <row r="571" spans="1:25" x14ac:dyDescent="0.3">
      <c r="A571" t="s">
        <v>544</v>
      </c>
      <c r="B571" t="s">
        <v>1099</v>
      </c>
      <c r="C571">
        <v>2</v>
      </c>
      <c r="D571" s="1">
        <v>44490</v>
      </c>
      <c r="E571">
        <v>1057</v>
      </c>
      <c r="F571">
        <v>0</v>
      </c>
      <c r="G571">
        <v>17</v>
      </c>
      <c r="H571">
        <v>5</v>
      </c>
      <c r="I571">
        <v>21</v>
      </c>
      <c r="J571">
        <v>0</v>
      </c>
      <c r="K571">
        <v>0</v>
      </c>
      <c r="L571">
        <v>261414174</v>
      </c>
      <c r="M571">
        <v>84</v>
      </c>
      <c r="N571" t="s">
        <v>61</v>
      </c>
      <c r="O571" t="s">
        <v>28</v>
      </c>
      <c r="P571">
        <v>67</v>
      </c>
      <c r="Q571">
        <v>78</v>
      </c>
      <c r="R571" t="str" cm="1">
        <f t="array" ref="R571">_xlfn.IFS(Q571&gt;70,"Good",Q571&lt;40,"Bad",(Q571&gt;OS609*(Q571&lt;80)),"Ok")</f>
        <v>Good</v>
      </c>
      <c r="S571">
        <v>63</v>
      </c>
      <c r="T571" t="str" cm="1">
        <f t="array" ref="T571">_xlfn.IFS(S571&gt;50, "High", S571&lt;=50, "Low")</f>
        <v>High</v>
      </c>
      <c r="U571">
        <v>29</v>
      </c>
      <c r="V571">
        <v>0</v>
      </c>
      <c r="W571">
        <v>12</v>
      </c>
      <c r="X571">
        <v>5</v>
      </c>
      <c r="Y571">
        <f t="shared" ca="1" si="8"/>
        <v>20.075382947169508</v>
      </c>
    </row>
    <row r="572" spans="1:25" x14ac:dyDescent="0.3">
      <c r="A572" t="s">
        <v>1100</v>
      </c>
      <c r="B572" t="s">
        <v>1101</v>
      </c>
      <c r="C572">
        <v>3</v>
      </c>
      <c r="D572" s="1">
        <v>44385</v>
      </c>
      <c r="E572">
        <v>3272</v>
      </c>
      <c r="F572">
        <v>19</v>
      </c>
      <c r="G572">
        <v>101</v>
      </c>
      <c r="H572">
        <v>34</v>
      </c>
      <c r="I572">
        <v>70</v>
      </c>
      <c r="J572">
        <v>1</v>
      </c>
      <c r="K572">
        <v>2</v>
      </c>
      <c r="L572">
        <v>610045621</v>
      </c>
      <c r="M572">
        <v>154</v>
      </c>
      <c r="N572" t="s">
        <v>65</v>
      </c>
      <c r="O572" t="s">
        <v>28</v>
      </c>
      <c r="P572">
        <v>66</v>
      </c>
      <c r="Q572">
        <v>63</v>
      </c>
      <c r="R572" t="str" cm="1">
        <f t="array" ref="R572">_xlfn.IFS(Q572&gt;70,"Good",Q572&lt;40,"Bad",(Q572&gt;OS610*(Q572&lt;80)),"Ok")</f>
        <v>Ok</v>
      </c>
      <c r="S572">
        <v>69</v>
      </c>
      <c r="T572" t="str" cm="1">
        <f t="array" ref="T572">_xlfn.IFS(S572&gt;50, "High", S572&lt;=50, "Low")</f>
        <v>High</v>
      </c>
      <c r="U572">
        <v>21</v>
      </c>
      <c r="V572">
        <v>0</v>
      </c>
      <c r="W572">
        <v>11</v>
      </c>
      <c r="X572">
        <v>7</v>
      </c>
      <c r="Y572">
        <f t="shared" ca="1" si="8"/>
        <v>43.423828743774465</v>
      </c>
    </row>
    <row r="573" spans="1:25" x14ac:dyDescent="0.3">
      <c r="A573" t="s">
        <v>49</v>
      </c>
      <c r="B573" t="s">
        <v>1071</v>
      </c>
      <c r="C573">
        <v>3</v>
      </c>
      <c r="D573" s="1">
        <v>44260</v>
      </c>
      <c r="E573">
        <v>14417</v>
      </c>
      <c r="F573">
        <v>0</v>
      </c>
      <c r="G573">
        <v>237</v>
      </c>
      <c r="H573">
        <v>123</v>
      </c>
      <c r="I573">
        <v>569</v>
      </c>
      <c r="J573">
        <v>0</v>
      </c>
      <c r="K573">
        <v>10</v>
      </c>
      <c r="L573">
        <v>1115880852</v>
      </c>
      <c r="M573">
        <v>148</v>
      </c>
      <c r="N573" t="s">
        <v>34</v>
      </c>
      <c r="O573" t="s">
        <v>28</v>
      </c>
      <c r="P573">
        <v>59</v>
      </c>
      <c r="Q573">
        <v>72</v>
      </c>
      <c r="R573" t="str" cm="1">
        <f t="array" ref="R573">_xlfn.IFS(Q573&gt;70,"Good",Q573&lt;40,"Bad",(Q573&gt;OS611*(Q573&lt;80)),"Ok")</f>
        <v>Good</v>
      </c>
      <c r="S573">
        <v>62</v>
      </c>
      <c r="T573" t="str" cm="1">
        <f t="array" ref="T573">_xlfn.IFS(S573&gt;50, "High", S573&lt;=50, "Low")</f>
        <v>High</v>
      </c>
      <c r="U573">
        <v>18</v>
      </c>
      <c r="V573">
        <v>0</v>
      </c>
      <c r="W573">
        <v>9</v>
      </c>
      <c r="X573">
        <v>3</v>
      </c>
      <c r="Y573">
        <f t="shared" ca="1" si="8"/>
        <v>43.121471279346466</v>
      </c>
    </row>
    <row r="574" spans="1:25" x14ac:dyDescent="0.3">
      <c r="A574" t="s">
        <v>1102</v>
      </c>
      <c r="B574" t="s">
        <v>1103</v>
      </c>
      <c r="C574">
        <v>3</v>
      </c>
      <c r="D574" s="1">
        <v>44442</v>
      </c>
      <c r="E574">
        <v>5199</v>
      </c>
      <c r="F574">
        <v>0</v>
      </c>
      <c r="G574">
        <v>45</v>
      </c>
      <c r="H574">
        <v>43</v>
      </c>
      <c r="I574">
        <v>45</v>
      </c>
      <c r="J574">
        <v>0</v>
      </c>
      <c r="K574">
        <v>3</v>
      </c>
      <c r="L574">
        <v>594482982</v>
      </c>
      <c r="M574">
        <v>146</v>
      </c>
      <c r="N574" t="s">
        <v>34</v>
      </c>
      <c r="O574" t="s">
        <v>45</v>
      </c>
      <c r="P574">
        <v>85</v>
      </c>
      <c r="Q574">
        <v>22</v>
      </c>
      <c r="R574" t="str" cm="1">
        <f t="array" ref="R574">_xlfn.IFS(Q574&gt;70,"Good",Q574&lt;40,"Bad",(Q574&gt;OS612*(Q574&lt;80)),"Ok")</f>
        <v>Bad</v>
      </c>
      <c r="S574">
        <v>37</v>
      </c>
      <c r="T574" t="str" cm="1">
        <f t="array" ref="T574">_xlfn.IFS(S574&gt;50, "High", S574&lt;=50, "Low")</f>
        <v>Low</v>
      </c>
      <c r="U574">
        <v>13</v>
      </c>
      <c r="V574">
        <v>0</v>
      </c>
      <c r="W574">
        <v>7</v>
      </c>
      <c r="X574">
        <v>30</v>
      </c>
      <c r="Y574">
        <f t="shared" ca="1" si="8"/>
        <v>60.971720533848071</v>
      </c>
    </row>
    <row r="575" spans="1:25" x14ac:dyDescent="0.3">
      <c r="A575" t="s">
        <v>1104</v>
      </c>
      <c r="B575" t="s">
        <v>1105</v>
      </c>
      <c r="C575">
        <v>2</v>
      </c>
      <c r="D575" s="1">
        <v>44409</v>
      </c>
      <c r="E575">
        <v>6026</v>
      </c>
      <c r="F575">
        <v>0</v>
      </c>
      <c r="G575">
        <v>171</v>
      </c>
      <c r="H575">
        <v>51</v>
      </c>
      <c r="I575">
        <v>187</v>
      </c>
      <c r="J575">
        <v>1</v>
      </c>
      <c r="K575">
        <v>21</v>
      </c>
      <c r="L575">
        <v>566954746</v>
      </c>
      <c r="M575">
        <v>120</v>
      </c>
      <c r="N575" t="s">
        <v>27</v>
      </c>
      <c r="O575" t="s">
        <v>45</v>
      </c>
      <c r="P575">
        <v>77</v>
      </c>
      <c r="Q575">
        <v>51</v>
      </c>
      <c r="R575" t="str" cm="1">
        <f t="array" ref="R575">_xlfn.IFS(Q575&gt;70,"Good",Q575&lt;40,"Bad",(Q575&gt;OS613*(Q575&lt;80)),"Ok")</f>
        <v>Ok</v>
      </c>
      <c r="S575">
        <v>79</v>
      </c>
      <c r="T575" t="str" cm="1">
        <f t="array" ref="T575">_xlfn.IFS(S575&gt;50, "High", S575&lt;=50, "Low")</f>
        <v>High</v>
      </c>
      <c r="U575">
        <v>20</v>
      </c>
      <c r="V575">
        <v>0</v>
      </c>
      <c r="W575">
        <v>26</v>
      </c>
      <c r="X575">
        <v>6</v>
      </c>
      <c r="Y575">
        <f t="shared" ca="1" si="8"/>
        <v>70.284433486453864</v>
      </c>
    </row>
    <row r="576" spans="1:25" x14ac:dyDescent="0.3">
      <c r="A576" t="s">
        <v>531</v>
      </c>
      <c r="B576" t="s">
        <v>1106</v>
      </c>
      <c r="C576">
        <v>1</v>
      </c>
      <c r="D576" s="1">
        <v>25569</v>
      </c>
      <c r="E576">
        <v>2877</v>
      </c>
      <c r="F576">
        <v>0</v>
      </c>
      <c r="G576">
        <v>16</v>
      </c>
      <c r="H576">
        <v>0</v>
      </c>
      <c r="I576">
        <v>54</v>
      </c>
      <c r="J576">
        <v>0</v>
      </c>
      <c r="K576">
        <v>0</v>
      </c>
      <c r="L576" t="s">
        <v>1107</v>
      </c>
      <c r="M576">
        <v>110</v>
      </c>
      <c r="N576" t="s">
        <v>37</v>
      </c>
      <c r="O576" t="s">
        <v>28</v>
      </c>
      <c r="P576">
        <v>53</v>
      </c>
      <c r="Q576">
        <v>75</v>
      </c>
      <c r="R576" t="str" cm="1">
        <f t="array" ref="R576">_xlfn.IFS(Q576&gt;70,"Good",Q576&lt;40,"Bad",(Q576&gt;OS614*(Q576&lt;80)),"Ok")</f>
        <v>Good</v>
      </c>
      <c r="S576">
        <v>69</v>
      </c>
      <c r="T576" t="str" cm="1">
        <f t="array" ref="T576">_xlfn.IFS(S576&gt;50, "High", S576&lt;=50, "Low")</f>
        <v>High</v>
      </c>
      <c r="U576">
        <v>7</v>
      </c>
      <c r="V576">
        <v>0</v>
      </c>
      <c r="W576">
        <v>17</v>
      </c>
      <c r="X576">
        <v>3</v>
      </c>
      <c r="Y576">
        <f t="shared" ca="1" si="8"/>
        <v>47.000607790080821</v>
      </c>
    </row>
    <row r="577" spans="1:25" x14ac:dyDescent="0.3">
      <c r="A577" t="s">
        <v>1108</v>
      </c>
      <c r="B577" t="s">
        <v>1109</v>
      </c>
      <c r="C577">
        <v>2</v>
      </c>
      <c r="D577" s="1">
        <v>44511</v>
      </c>
      <c r="E577">
        <v>4640</v>
      </c>
      <c r="F577">
        <v>3</v>
      </c>
      <c r="G577">
        <v>81</v>
      </c>
      <c r="H577">
        <v>93</v>
      </c>
      <c r="I577">
        <v>507</v>
      </c>
      <c r="J577">
        <v>6</v>
      </c>
      <c r="K577">
        <v>4</v>
      </c>
      <c r="L577">
        <v>374706940</v>
      </c>
      <c r="M577">
        <v>136</v>
      </c>
      <c r="O577" t="s">
        <v>45</v>
      </c>
      <c r="P577">
        <v>77</v>
      </c>
      <c r="Q577">
        <v>82</v>
      </c>
      <c r="R577" t="str" cm="1">
        <f t="array" ref="R577">_xlfn.IFS(Q577&gt;70,"Good",Q577&lt;40,"Bad",(Q577&gt;OS615*(Q577&lt;80)),"Ok")</f>
        <v>Good</v>
      </c>
      <c r="S577">
        <v>30</v>
      </c>
      <c r="T577" t="str" cm="1">
        <f t="array" ref="T577">_xlfn.IFS(S577&gt;50, "High", S577&lt;=50, "Low")</f>
        <v>Low</v>
      </c>
      <c r="U577">
        <v>95</v>
      </c>
      <c r="V577">
        <v>0</v>
      </c>
      <c r="W577">
        <v>13</v>
      </c>
      <c r="X577">
        <v>5</v>
      </c>
      <c r="Y577">
        <f t="shared" ca="1" si="8"/>
        <v>76.808228539990708</v>
      </c>
    </row>
    <row r="578" spans="1:25" x14ac:dyDescent="0.3">
      <c r="A578" t="s">
        <v>1110</v>
      </c>
      <c r="B578" t="s">
        <v>1111</v>
      </c>
      <c r="C578">
        <v>3</v>
      </c>
      <c r="D578" s="1">
        <v>44519</v>
      </c>
      <c r="E578">
        <v>1150</v>
      </c>
      <c r="F578">
        <v>0</v>
      </c>
      <c r="G578">
        <v>20</v>
      </c>
      <c r="H578">
        <v>38</v>
      </c>
      <c r="I578">
        <v>12</v>
      </c>
      <c r="J578">
        <v>0</v>
      </c>
      <c r="K578">
        <v>0</v>
      </c>
      <c r="L578">
        <v>184937148</v>
      </c>
      <c r="M578">
        <v>141</v>
      </c>
      <c r="N578" t="s">
        <v>31</v>
      </c>
      <c r="O578" t="s">
        <v>28</v>
      </c>
      <c r="P578">
        <v>59</v>
      </c>
      <c r="Q578">
        <v>56</v>
      </c>
      <c r="R578" t="str" cm="1">
        <f t="array" ref="R578">_xlfn.IFS(Q578&gt;70,"Good",Q578&lt;40,"Bad",(Q578&gt;OS616*(Q578&lt;80)),"Ok")</f>
        <v>Ok</v>
      </c>
      <c r="S578">
        <v>63</v>
      </c>
      <c r="T578" t="str" cm="1">
        <f t="array" ref="T578">_xlfn.IFS(S578&gt;50, "High", S578&lt;=50, "Low")</f>
        <v>High</v>
      </c>
      <c r="U578">
        <v>12</v>
      </c>
      <c r="V578">
        <v>0</v>
      </c>
      <c r="W578">
        <v>6</v>
      </c>
      <c r="X578">
        <v>36</v>
      </c>
      <c r="Y578">
        <f t="shared" ref="Y578:Y641" ca="1" si="9">RAND()*100</f>
        <v>25.697388791895893</v>
      </c>
    </row>
    <row r="579" spans="1:25" x14ac:dyDescent="0.3">
      <c r="A579" t="s">
        <v>1112</v>
      </c>
      <c r="B579" t="s">
        <v>171</v>
      </c>
      <c r="C579">
        <v>1</v>
      </c>
      <c r="D579" s="1">
        <v>44568</v>
      </c>
      <c r="E579">
        <v>768</v>
      </c>
      <c r="F579">
        <v>0</v>
      </c>
      <c r="G579">
        <v>1</v>
      </c>
      <c r="H579">
        <v>1</v>
      </c>
      <c r="I579">
        <v>3</v>
      </c>
      <c r="J579">
        <v>0</v>
      </c>
      <c r="K579">
        <v>0</v>
      </c>
      <c r="L579">
        <v>31959571</v>
      </c>
      <c r="M579">
        <v>108</v>
      </c>
      <c r="N579" t="s">
        <v>37</v>
      </c>
      <c r="O579" t="s">
        <v>45</v>
      </c>
      <c r="P579">
        <v>46</v>
      </c>
      <c r="Q579">
        <v>23</v>
      </c>
      <c r="R579" t="str" cm="1">
        <f t="array" ref="R579">_xlfn.IFS(Q579&gt;70,"Good",Q579&lt;40,"Bad",(Q579&gt;OS617*(Q579&lt;80)),"Ok")</f>
        <v>Bad</v>
      </c>
      <c r="S579">
        <v>48</v>
      </c>
      <c r="T579" t="str" cm="1">
        <f t="array" ref="T579">_xlfn.IFS(S579&gt;50, "High", S579&lt;=50, "Low")</f>
        <v>Low</v>
      </c>
      <c r="U579">
        <v>75</v>
      </c>
      <c r="V579">
        <v>30</v>
      </c>
      <c r="W579">
        <v>14</v>
      </c>
      <c r="X579">
        <v>4</v>
      </c>
      <c r="Y579">
        <f t="shared" ca="1" si="9"/>
        <v>46.270143148494334</v>
      </c>
    </row>
    <row r="580" spans="1:25" x14ac:dyDescent="0.3">
      <c r="A580" t="s">
        <v>1113</v>
      </c>
      <c r="B580" t="s">
        <v>1075</v>
      </c>
      <c r="C580">
        <v>1</v>
      </c>
      <c r="D580" s="1">
        <v>44519</v>
      </c>
      <c r="E580">
        <v>925</v>
      </c>
      <c r="F580">
        <v>0</v>
      </c>
      <c r="G580">
        <v>24</v>
      </c>
      <c r="H580">
        <v>47</v>
      </c>
      <c r="I580">
        <v>74</v>
      </c>
      <c r="J580">
        <v>0</v>
      </c>
      <c r="K580">
        <v>0</v>
      </c>
      <c r="L580">
        <v>167076418</v>
      </c>
      <c r="M580">
        <v>94</v>
      </c>
      <c r="O580" t="s">
        <v>28</v>
      </c>
      <c r="P580">
        <v>42</v>
      </c>
      <c r="Q580">
        <v>47</v>
      </c>
      <c r="R580" t="str" cm="1">
        <f t="array" ref="R580">_xlfn.IFS(Q580&gt;70,"Good",Q580&lt;40,"Bad",(Q580&gt;OS618*(Q580&lt;80)),"Ok")</f>
        <v>Ok</v>
      </c>
      <c r="S580">
        <v>36</v>
      </c>
      <c r="T580" t="str" cm="1">
        <f t="array" ref="T580">_xlfn.IFS(S580&gt;50, "High", S580&lt;=50, "Low")</f>
        <v>Low</v>
      </c>
      <c r="U580">
        <v>76</v>
      </c>
      <c r="V580">
        <v>0</v>
      </c>
      <c r="W580">
        <v>9</v>
      </c>
      <c r="X580">
        <v>5</v>
      </c>
      <c r="Y580">
        <f t="shared" ca="1" si="9"/>
        <v>71.380621827486863</v>
      </c>
    </row>
    <row r="581" spans="1:25" x14ac:dyDescent="0.3">
      <c r="A581" t="s">
        <v>1114</v>
      </c>
      <c r="B581" t="s">
        <v>1115</v>
      </c>
      <c r="C581">
        <v>1</v>
      </c>
      <c r="D581" s="1">
        <v>42134</v>
      </c>
      <c r="E581">
        <v>3006</v>
      </c>
      <c r="F581">
        <v>3</v>
      </c>
      <c r="G581">
        <v>23</v>
      </c>
      <c r="H581">
        <v>21</v>
      </c>
      <c r="I581">
        <v>121</v>
      </c>
      <c r="J581">
        <v>0</v>
      </c>
      <c r="K581">
        <v>13</v>
      </c>
      <c r="L581">
        <v>824420218</v>
      </c>
      <c r="M581">
        <v>180</v>
      </c>
      <c r="N581" t="s">
        <v>37</v>
      </c>
      <c r="O581" t="s">
        <v>28</v>
      </c>
      <c r="P581">
        <v>35</v>
      </c>
      <c r="Q581">
        <v>41</v>
      </c>
      <c r="R581" t="str" cm="1">
        <f t="array" ref="R581">_xlfn.IFS(Q581&gt;70,"Good",Q581&lt;40,"Bad",(Q581&gt;OS619*(Q581&lt;80)),"Ok")</f>
        <v>Ok</v>
      </c>
      <c r="S581">
        <v>94</v>
      </c>
      <c r="T581" t="str" cm="1">
        <f t="array" ref="T581">_xlfn.IFS(S581&gt;50, "High", S581&lt;=50, "Low")</f>
        <v>High</v>
      </c>
      <c r="U581">
        <v>0</v>
      </c>
      <c r="V581">
        <v>63</v>
      </c>
      <c r="W581">
        <v>5</v>
      </c>
      <c r="X581">
        <v>5</v>
      </c>
      <c r="Y581">
        <f t="shared" ca="1" si="9"/>
        <v>83.710707583502312</v>
      </c>
    </row>
    <row r="582" spans="1:25" x14ac:dyDescent="0.3">
      <c r="A582" t="s">
        <v>1116</v>
      </c>
      <c r="B582" t="s">
        <v>1117</v>
      </c>
      <c r="C582">
        <v>1</v>
      </c>
      <c r="D582" s="1">
        <v>44440</v>
      </c>
      <c r="E582">
        <v>3098</v>
      </c>
      <c r="F582">
        <v>0</v>
      </c>
      <c r="G582">
        <v>111</v>
      </c>
      <c r="H582">
        <v>5</v>
      </c>
      <c r="I582">
        <v>182</v>
      </c>
      <c r="J582">
        <v>1</v>
      </c>
      <c r="K582">
        <v>0</v>
      </c>
      <c r="L582">
        <v>363467642</v>
      </c>
      <c r="M582">
        <v>122</v>
      </c>
      <c r="N582" t="s">
        <v>181</v>
      </c>
      <c r="O582" t="s">
        <v>28</v>
      </c>
      <c r="P582">
        <v>77</v>
      </c>
      <c r="Q582">
        <v>51</v>
      </c>
      <c r="R582" t="str" cm="1">
        <f t="array" ref="R582">_xlfn.IFS(Q582&gt;70,"Good",Q582&lt;40,"Bad",(Q582&gt;OS620*(Q582&lt;80)),"Ok")</f>
        <v>Ok</v>
      </c>
      <c r="S582">
        <v>79</v>
      </c>
      <c r="T582" t="str" cm="1">
        <f t="array" ref="T582">_xlfn.IFS(S582&gt;50, "High", S582&lt;=50, "Low")</f>
        <v>High</v>
      </c>
      <c r="U582">
        <v>5</v>
      </c>
      <c r="V582">
        <v>0</v>
      </c>
      <c r="W582">
        <v>16</v>
      </c>
      <c r="X582">
        <v>5</v>
      </c>
      <c r="Y582">
        <f t="shared" ca="1" si="9"/>
        <v>79.685951293451126</v>
      </c>
    </row>
    <row r="583" spans="1:25" x14ac:dyDescent="0.3">
      <c r="A583" t="s">
        <v>1118</v>
      </c>
      <c r="B583" t="s">
        <v>242</v>
      </c>
      <c r="C583">
        <v>1</v>
      </c>
      <c r="D583" s="1">
        <v>42307</v>
      </c>
      <c r="E583">
        <v>9771</v>
      </c>
      <c r="F583">
        <v>4</v>
      </c>
      <c r="G583">
        <v>42</v>
      </c>
      <c r="H583">
        <v>70</v>
      </c>
      <c r="I583">
        <v>384</v>
      </c>
      <c r="J583">
        <v>0</v>
      </c>
      <c r="K583">
        <v>3</v>
      </c>
      <c r="L583">
        <v>1127468248</v>
      </c>
      <c r="M583">
        <v>85</v>
      </c>
      <c r="N583" t="s">
        <v>181</v>
      </c>
      <c r="O583" t="s">
        <v>28</v>
      </c>
      <c r="P583">
        <v>59</v>
      </c>
      <c r="Q583">
        <v>33</v>
      </c>
      <c r="R583" t="str" cm="1">
        <f t="array" ref="R583">_xlfn.IFS(Q583&gt;70,"Good",Q583&lt;40,"Bad",(Q583&gt;OS621*(Q583&lt;80)),"Ok")</f>
        <v>Bad</v>
      </c>
      <c r="S583">
        <v>52</v>
      </c>
      <c r="T583" t="str" cm="1">
        <f t="array" ref="T583">_xlfn.IFS(S583&gt;50, "High", S583&lt;=50, "Low")</f>
        <v>High</v>
      </c>
      <c r="U583">
        <v>7</v>
      </c>
      <c r="V583">
        <v>15</v>
      </c>
      <c r="W583">
        <v>12</v>
      </c>
      <c r="X583">
        <v>3</v>
      </c>
      <c r="Y583">
        <f t="shared" ca="1" si="9"/>
        <v>87.402412578436255</v>
      </c>
    </row>
    <row r="584" spans="1:25" x14ac:dyDescent="0.3">
      <c r="A584" t="s">
        <v>1119</v>
      </c>
      <c r="B584" t="s">
        <v>1120</v>
      </c>
      <c r="C584">
        <v>2</v>
      </c>
      <c r="D584" s="1">
        <v>44568</v>
      </c>
      <c r="E584">
        <v>807</v>
      </c>
      <c r="F584">
        <v>0</v>
      </c>
      <c r="G584">
        <v>3</v>
      </c>
      <c r="H584">
        <v>0</v>
      </c>
      <c r="I584">
        <v>5</v>
      </c>
      <c r="J584">
        <v>0</v>
      </c>
      <c r="K584">
        <v>0</v>
      </c>
      <c r="L584">
        <v>60680939</v>
      </c>
      <c r="M584">
        <v>148</v>
      </c>
      <c r="N584" t="s">
        <v>31</v>
      </c>
      <c r="O584" t="s">
        <v>28</v>
      </c>
      <c r="P584">
        <v>68</v>
      </c>
      <c r="Q584">
        <v>29</v>
      </c>
      <c r="R584" t="str" cm="1">
        <f t="array" ref="R584">_xlfn.IFS(Q584&gt;70,"Good",Q584&lt;40,"Bad",(Q584&gt;OS622*(Q584&lt;80)),"Ok")</f>
        <v>Bad</v>
      </c>
      <c r="S584">
        <v>73</v>
      </c>
      <c r="T584" t="str" cm="1">
        <f t="array" ref="T584">_xlfn.IFS(S584&gt;50, "High", S584&lt;=50, "Low")</f>
        <v>High</v>
      </c>
      <c r="U584">
        <v>0</v>
      </c>
      <c r="V584">
        <v>0</v>
      </c>
      <c r="W584">
        <v>7</v>
      </c>
      <c r="X584">
        <v>7</v>
      </c>
      <c r="Y584">
        <f t="shared" ca="1" si="9"/>
        <v>84.974128075118315</v>
      </c>
    </row>
    <row r="585" spans="1:25" x14ac:dyDescent="0.3">
      <c r="A585" t="s">
        <v>1121</v>
      </c>
      <c r="B585" t="s">
        <v>662</v>
      </c>
      <c r="C585">
        <v>1</v>
      </c>
      <c r="D585" s="1">
        <v>44531</v>
      </c>
      <c r="E585">
        <v>521</v>
      </c>
      <c r="F585">
        <v>1</v>
      </c>
      <c r="G585">
        <v>17</v>
      </c>
      <c r="H585">
        <v>89</v>
      </c>
      <c r="I585">
        <v>11</v>
      </c>
      <c r="J585">
        <v>0</v>
      </c>
      <c r="K585">
        <v>0</v>
      </c>
      <c r="L585">
        <v>247737946</v>
      </c>
      <c r="M585">
        <v>120</v>
      </c>
      <c r="N585" t="s">
        <v>37</v>
      </c>
      <c r="O585" t="s">
        <v>28</v>
      </c>
      <c r="P585">
        <v>83</v>
      </c>
      <c r="Q585">
        <v>59</v>
      </c>
      <c r="R585" t="str" cm="1">
        <f t="array" ref="R585">_xlfn.IFS(Q585&gt;70,"Good",Q585&lt;40,"Bad",(Q585&gt;OS623*(Q585&lt;80)),"Ok")</f>
        <v>Ok</v>
      </c>
      <c r="S585">
        <v>73</v>
      </c>
      <c r="T585" t="str" cm="1">
        <f t="array" ref="T585">_xlfn.IFS(S585&gt;50, "High", S585&lt;=50, "Low")</f>
        <v>High</v>
      </c>
      <c r="U585">
        <v>6</v>
      </c>
      <c r="V585">
        <v>0</v>
      </c>
      <c r="W585">
        <v>5</v>
      </c>
      <c r="X585">
        <v>11</v>
      </c>
      <c r="Y585">
        <f t="shared" ca="1" si="9"/>
        <v>1.9958636880087366</v>
      </c>
    </row>
    <row r="586" spans="1:25" x14ac:dyDescent="0.3">
      <c r="A586" t="s">
        <v>418</v>
      </c>
      <c r="B586" t="s">
        <v>1122</v>
      </c>
      <c r="C586">
        <v>2</v>
      </c>
      <c r="D586" s="1">
        <v>44036</v>
      </c>
      <c r="E586">
        <v>12854</v>
      </c>
      <c r="F586">
        <v>0</v>
      </c>
      <c r="G586">
        <v>237</v>
      </c>
      <c r="H586">
        <v>27</v>
      </c>
      <c r="I586">
        <v>636</v>
      </c>
      <c r="J586">
        <v>0</v>
      </c>
      <c r="L586">
        <v>1699402402</v>
      </c>
      <c r="M586">
        <v>91</v>
      </c>
      <c r="N586" t="s">
        <v>94</v>
      </c>
      <c r="O586" t="s">
        <v>45</v>
      </c>
      <c r="P586">
        <v>70</v>
      </c>
      <c r="Q586">
        <v>76</v>
      </c>
      <c r="R586" t="str" cm="1">
        <f t="array" ref="R586">_xlfn.IFS(Q586&gt;70,"Good",Q586&lt;40,"Bad",(Q586&gt;OS624*(Q586&lt;80)),"Ok")</f>
        <v>Good</v>
      </c>
      <c r="S586">
        <v>72</v>
      </c>
      <c r="T586" t="str" cm="1">
        <f t="array" ref="T586">_xlfn.IFS(S586&gt;50, "High", S586&lt;=50, "Low")</f>
        <v>High</v>
      </c>
      <c r="U586">
        <v>22</v>
      </c>
      <c r="V586">
        <v>0</v>
      </c>
      <c r="W586">
        <v>27</v>
      </c>
      <c r="X586">
        <v>4</v>
      </c>
      <c r="Y586">
        <f t="shared" ca="1" si="9"/>
        <v>53.02640786578462</v>
      </c>
    </row>
    <row r="587" spans="1:25" x14ac:dyDescent="0.3">
      <c r="A587" t="s">
        <v>1123</v>
      </c>
      <c r="B587" t="s">
        <v>1124</v>
      </c>
      <c r="C587">
        <v>2</v>
      </c>
      <c r="D587" s="1">
        <v>44519</v>
      </c>
      <c r="E587">
        <v>802</v>
      </c>
      <c r="F587">
        <v>0</v>
      </c>
      <c r="G587">
        <v>13</v>
      </c>
      <c r="H587">
        <v>27</v>
      </c>
      <c r="I587">
        <v>8</v>
      </c>
      <c r="J587">
        <v>0</v>
      </c>
      <c r="K587">
        <v>0</v>
      </c>
      <c r="L587">
        <v>154797871</v>
      </c>
      <c r="M587">
        <v>120</v>
      </c>
      <c r="N587" t="s">
        <v>134</v>
      </c>
      <c r="O587" t="s">
        <v>28</v>
      </c>
      <c r="P587">
        <v>72</v>
      </c>
      <c r="Q587">
        <v>54</v>
      </c>
      <c r="R587" t="str" cm="1">
        <f t="array" ref="R587">_xlfn.IFS(Q587&gt;70,"Good",Q587&lt;40,"Bad",(Q587&gt;OS625*(Q587&lt;80)),"Ok")</f>
        <v>Ok</v>
      </c>
      <c r="S587">
        <v>71</v>
      </c>
      <c r="T587" t="str" cm="1">
        <f t="array" ref="T587">_xlfn.IFS(S587&gt;50, "High", S587&lt;=50, "Low")</f>
        <v>High</v>
      </c>
      <c r="U587">
        <v>26</v>
      </c>
      <c r="V587">
        <v>0</v>
      </c>
      <c r="W587">
        <v>10</v>
      </c>
      <c r="X587">
        <v>4</v>
      </c>
      <c r="Y587">
        <f t="shared" ca="1" si="9"/>
        <v>42.944187147055899</v>
      </c>
    </row>
    <row r="588" spans="1:25" x14ac:dyDescent="0.3">
      <c r="A588" t="s">
        <v>328</v>
      </c>
      <c r="B588" t="s">
        <v>1125</v>
      </c>
      <c r="C588">
        <v>1</v>
      </c>
      <c r="D588" s="1">
        <v>44517</v>
      </c>
      <c r="E588">
        <v>731</v>
      </c>
      <c r="F588">
        <v>0</v>
      </c>
      <c r="G588">
        <v>14</v>
      </c>
      <c r="H588">
        <v>14</v>
      </c>
      <c r="I588">
        <v>24</v>
      </c>
      <c r="J588">
        <v>0</v>
      </c>
      <c r="K588">
        <v>4</v>
      </c>
      <c r="L588">
        <v>198883004</v>
      </c>
      <c r="M588">
        <v>106</v>
      </c>
      <c r="O588" t="s">
        <v>28</v>
      </c>
      <c r="P588">
        <v>86</v>
      </c>
      <c r="Q588">
        <v>86</v>
      </c>
      <c r="R588" t="str" cm="1">
        <f t="array" ref="R588">_xlfn.IFS(Q588&gt;70,"Good",Q588&lt;40,"Bad",(Q588&gt;OS626*(Q588&lt;80)),"Ok")</f>
        <v>Good</v>
      </c>
      <c r="S588">
        <v>79</v>
      </c>
      <c r="T588" t="str" cm="1">
        <f t="array" ref="T588">_xlfn.IFS(S588&gt;50, "High", S588&lt;=50, "Low")</f>
        <v>High</v>
      </c>
      <c r="U588">
        <v>11</v>
      </c>
      <c r="V588">
        <v>0</v>
      </c>
      <c r="W588">
        <v>8</v>
      </c>
      <c r="X588">
        <v>9</v>
      </c>
      <c r="Y588">
        <f t="shared" ca="1" si="9"/>
        <v>87.512430397360575</v>
      </c>
    </row>
    <row r="589" spans="1:25" x14ac:dyDescent="0.3">
      <c r="A589" t="s">
        <v>1126</v>
      </c>
      <c r="B589" t="s">
        <v>74</v>
      </c>
      <c r="C589">
        <v>1</v>
      </c>
      <c r="D589" s="1">
        <v>44568</v>
      </c>
      <c r="E589">
        <v>788</v>
      </c>
      <c r="F589">
        <v>0</v>
      </c>
      <c r="G589">
        <v>13</v>
      </c>
      <c r="H589">
        <v>0</v>
      </c>
      <c r="I589">
        <v>32</v>
      </c>
      <c r="J589">
        <v>1</v>
      </c>
      <c r="K589">
        <v>0</v>
      </c>
      <c r="L589">
        <v>124407432</v>
      </c>
      <c r="M589">
        <v>110</v>
      </c>
      <c r="N589" t="s">
        <v>181</v>
      </c>
      <c r="O589" t="s">
        <v>28</v>
      </c>
      <c r="P589">
        <v>63</v>
      </c>
      <c r="Q589">
        <v>31</v>
      </c>
      <c r="R589" t="str" cm="1">
        <f t="array" ref="R589">_xlfn.IFS(Q589&gt;70,"Good",Q589&lt;40,"Bad",(Q589&gt;OS627*(Q589&lt;80)),"Ok")</f>
        <v>Bad</v>
      </c>
      <c r="S589">
        <v>35</v>
      </c>
      <c r="T589" t="str" cm="1">
        <f t="array" ref="T589">_xlfn.IFS(S589&gt;50, "High", S589&lt;=50, "Low")</f>
        <v>Low</v>
      </c>
      <c r="U589">
        <v>93</v>
      </c>
      <c r="V589">
        <v>0</v>
      </c>
      <c r="W589">
        <v>29</v>
      </c>
      <c r="X589">
        <v>3</v>
      </c>
      <c r="Y589">
        <f t="shared" ca="1" si="9"/>
        <v>57.282361170857989</v>
      </c>
    </row>
    <row r="590" spans="1:25" x14ac:dyDescent="0.3">
      <c r="A590" t="s">
        <v>1127</v>
      </c>
      <c r="B590" t="s">
        <v>33</v>
      </c>
      <c r="C590">
        <v>1</v>
      </c>
      <c r="D590" s="1">
        <v>44337</v>
      </c>
      <c r="E590">
        <v>3069</v>
      </c>
      <c r="F590">
        <v>4</v>
      </c>
      <c r="G590">
        <v>25</v>
      </c>
      <c r="H590">
        <v>46</v>
      </c>
      <c r="I590">
        <v>105</v>
      </c>
      <c r="J590">
        <v>0</v>
      </c>
      <c r="K590">
        <v>45</v>
      </c>
      <c r="L590">
        <v>850608354</v>
      </c>
      <c r="M590">
        <v>169</v>
      </c>
      <c r="N590" t="s">
        <v>65</v>
      </c>
      <c r="O590" t="s">
        <v>28</v>
      </c>
      <c r="P590">
        <v>39</v>
      </c>
      <c r="Q590">
        <v>36</v>
      </c>
      <c r="R590" t="str" cm="1">
        <f t="array" ref="R590">_xlfn.IFS(Q590&gt;70,"Good",Q590&lt;40,"Bad",(Q590&gt;OS628*(Q590&lt;80)),"Ok")</f>
        <v>Bad</v>
      </c>
      <c r="S590">
        <v>45</v>
      </c>
      <c r="T590" t="str" cm="1">
        <f t="array" ref="T590">_xlfn.IFS(S590&gt;50, "High", S590&lt;=50, "Low")</f>
        <v>Low</v>
      </c>
      <c r="U590">
        <v>81</v>
      </c>
      <c r="V590">
        <v>0</v>
      </c>
      <c r="W590">
        <v>8</v>
      </c>
      <c r="X590">
        <v>13</v>
      </c>
      <c r="Y590">
        <f t="shared" ca="1" si="9"/>
        <v>58.563791386250621</v>
      </c>
    </row>
    <row r="591" spans="1:25" x14ac:dyDescent="0.3">
      <c r="A591" t="s">
        <v>1128</v>
      </c>
      <c r="B591" t="s">
        <v>1129</v>
      </c>
      <c r="C591">
        <v>1</v>
      </c>
      <c r="D591" s="1">
        <v>44437</v>
      </c>
      <c r="E591">
        <v>4651</v>
      </c>
      <c r="F591">
        <v>0</v>
      </c>
      <c r="G591">
        <v>24</v>
      </c>
      <c r="H591">
        <v>6</v>
      </c>
      <c r="I591">
        <v>105</v>
      </c>
      <c r="J591">
        <v>0</v>
      </c>
      <c r="K591">
        <v>0</v>
      </c>
      <c r="L591">
        <v>376333030</v>
      </c>
      <c r="M591">
        <v>118</v>
      </c>
      <c r="N591" t="s">
        <v>31</v>
      </c>
      <c r="O591" t="s">
        <v>28</v>
      </c>
      <c r="P591">
        <v>80</v>
      </c>
      <c r="Q591">
        <v>21</v>
      </c>
      <c r="R591" t="str" cm="1">
        <f t="array" ref="R591">_xlfn.IFS(Q591&gt;70,"Good",Q591&lt;40,"Bad",(Q591&gt;OS629*(Q591&lt;80)),"Ok")</f>
        <v>Bad</v>
      </c>
      <c r="S591">
        <v>55</v>
      </c>
      <c r="T591" t="str" cm="1">
        <f t="array" ref="T591">_xlfn.IFS(S591&gt;50, "High", S591&lt;=50, "Low")</f>
        <v>High</v>
      </c>
      <c r="U591">
        <v>1</v>
      </c>
      <c r="V591">
        <v>0</v>
      </c>
      <c r="W591">
        <v>26</v>
      </c>
      <c r="X591">
        <v>17</v>
      </c>
      <c r="Y591">
        <f t="shared" ca="1" si="9"/>
        <v>7.0041273789177243</v>
      </c>
    </row>
    <row r="592" spans="1:25" x14ac:dyDescent="0.3">
      <c r="A592" t="s">
        <v>194</v>
      </c>
      <c r="B592" t="s">
        <v>905</v>
      </c>
      <c r="C592">
        <v>1</v>
      </c>
      <c r="D592" s="1">
        <v>44372</v>
      </c>
      <c r="E592">
        <v>4999</v>
      </c>
      <c r="F592">
        <v>0</v>
      </c>
      <c r="G592">
        <v>43</v>
      </c>
      <c r="H592">
        <v>19</v>
      </c>
      <c r="I592">
        <v>73</v>
      </c>
      <c r="J592">
        <v>12</v>
      </c>
      <c r="K592">
        <v>0</v>
      </c>
      <c r="L592">
        <v>516784627</v>
      </c>
      <c r="M592">
        <v>92</v>
      </c>
      <c r="N592" t="s">
        <v>81</v>
      </c>
      <c r="O592" t="s">
        <v>45</v>
      </c>
      <c r="P592">
        <v>91</v>
      </c>
      <c r="Q592">
        <v>79</v>
      </c>
      <c r="R592" t="str" cm="1">
        <f t="array" ref="R592">_xlfn.IFS(Q592&gt;70,"Good",Q592&lt;40,"Bad",(Q592&gt;OS630*(Q592&lt;80)),"Ok")</f>
        <v>Good</v>
      </c>
      <c r="S592">
        <v>66</v>
      </c>
      <c r="T592" t="str" cm="1">
        <f t="array" ref="T592">_xlfn.IFS(S592&gt;50, "High", S592&lt;=50, "Low")</f>
        <v>High</v>
      </c>
      <c r="U592">
        <v>32</v>
      </c>
      <c r="V592">
        <v>0</v>
      </c>
      <c r="W592">
        <v>9</v>
      </c>
      <c r="X592">
        <v>16</v>
      </c>
      <c r="Y592">
        <f t="shared" ca="1" si="9"/>
        <v>51.98378014264263</v>
      </c>
    </row>
    <row r="593" spans="1:25" x14ac:dyDescent="0.3">
      <c r="A593" t="s">
        <v>1130</v>
      </c>
      <c r="B593" t="s">
        <v>276</v>
      </c>
      <c r="C593">
        <v>1</v>
      </c>
      <c r="D593" s="1">
        <v>43770</v>
      </c>
      <c r="E593">
        <v>8327</v>
      </c>
      <c r="F593">
        <v>24</v>
      </c>
      <c r="G593">
        <v>205</v>
      </c>
      <c r="H593">
        <v>130</v>
      </c>
      <c r="I593">
        <v>625</v>
      </c>
      <c r="J593">
        <v>0</v>
      </c>
      <c r="K593">
        <v>25</v>
      </c>
      <c r="L593">
        <v>1608045237</v>
      </c>
      <c r="M593">
        <v>112</v>
      </c>
      <c r="N593" t="s">
        <v>302</v>
      </c>
      <c r="O593" t="s">
        <v>28</v>
      </c>
      <c r="P593">
        <v>45</v>
      </c>
      <c r="Q593">
        <v>19</v>
      </c>
      <c r="R593" t="str" cm="1">
        <f t="array" ref="R593">_xlfn.IFS(Q593&gt;70,"Good",Q593&lt;40,"Bad",(Q593&gt;OS631*(Q593&lt;80)),"Ok")</f>
        <v>Bad</v>
      </c>
      <c r="S593">
        <v>60</v>
      </c>
      <c r="T593" t="str" cm="1">
        <f t="array" ref="T593">_xlfn.IFS(S593&gt;50, "High", S593&lt;=50, "Low")</f>
        <v>High</v>
      </c>
      <c r="U593">
        <v>63</v>
      </c>
      <c r="V593">
        <v>0</v>
      </c>
      <c r="W593">
        <v>9</v>
      </c>
      <c r="X593">
        <v>6</v>
      </c>
      <c r="Y593">
        <f t="shared" ca="1" si="9"/>
        <v>95.860597747728121</v>
      </c>
    </row>
    <row r="594" spans="1:25" x14ac:dyDescent="0.3">
      <c r="A594" t="s">
        <v>1131</v>
      </c>
      <c r="B594" t="s">
        <v>1132</v>
      </c>
      <c r="C594">
        <v>1</v>
      </c>
      <c r="D594" s="1">
        <v>44190</v>
      </c>
      <c r="E594">
        <v>3297</v>
      </c>
      <c r="F594">
        <v>3</v>
      </c>
      <c r="G594">
        <v>25</v>
      </c>
      <c r="H594">
        <v>3</v>
      </c>
      <c r="I594">
        <v>52</v>
      </c>
      <c r="J594">
        <v>0</v>
      </c>
      <c r="K594">
        <v>1</v>
      </c>
      <c r="L594">
        <v>506778838</v>
      </c>
      <c r="M594">
        <v>140</v>
      </c>
      <c r="N594" t="s">
        <v>61</v>
      </c>
      <c r="O594" t="s">
        <v>28</v>
      </c>
      <c r="P594">
        <v>79</v>
      </c>
      <c r="Q594">
        <v>56</v>
      </c>
      <c r="R594" t="str" cm="1">
        <f t="array" ref="R594">_xlfn.IFS(Q594&gt;70,"Good",Q594&lt;40,"Bad",(Q594&gt;OS632*(Q594&lt;80)),"Ok")</f>
        <v>Ok</v>
      </c>
      <c r="S594">
        <v>91</v>
      </c>
      <c r="T594" t="str" cm="1">
        <f t="array" ref="T594">_xlfn.IFS(S594&gt;50, "High", S594&lt;=50, "Low")</f>
        <v>High</v>
      </c>
      <c r="U594">
        <v>26</v>
      </c>
      <c r="V594">
        <v>0</v>
      </c>
      <c r="W594">
        <v>13</v>
      </c>
      <c r="X594">
        <v>21</v>
      </c>
      <c r="Y594">
        <f t="shared" ca="1" si="9"/>
        <v>82.292560085694163</v>
      </c>
    </row>
    <row r="595" spans="1:25" x14ac:dyDescent="0.3">
      <c r="A595" t="s">
        <v>1133</v>
      </c>
      <c r="B595" t="s">
        <v>336</v>
      </c>
      <c r="C595">
        <v>1</v>
      </c>
      <c r="D595" s="1">
        <v>40511</v>
      </c>
      <c r="E595">
        <v>35684</v>
      </c>
      <c r="F595">
        <v>6</v>
      </c>
      <c r="G595">
        <v>195</v>
      </c>
      <c r="H595">
        <v>125</v>
      </c>
      <c r="I595" s="2">
        <v>6280</v>
      </c>
      <c r="J595">
        <v>2</v>
      </c>
      <c r="K595">
        <v>78</v>
      </c>
      <c r="L595">
        <v>1472799873</v>
      </c>
      <c r="M595">
        <v>105</v>
      </c>
      <c r="N595" t="s">
        <v>81</v>
      </c>
      <c r="O595" t="s">
        <v>28</v>
      </c>
      <c r="P595">
        <v>73</v>
      </c>
      <c r="Q595">
        <v>52</v>
      </c>
      <c r="R595" t="str" cm="1">
        <f t="array" ref="R595">_xlfn.IFS(Q595&gt;70,"Good",Q595&lt;40,"Bad",(Q595&gt;OS633*(Q595&lt;80)),"Ok")</f>
        <v>Ok</v>
      </c>
      <c r="S595">
        <v>76</v>
      </c>
      <c r="T595" t="str" cm="1">
        <f t="array" ref="T595">_xlfn.IFS(S595&gt;50, "High", S595&lt;=50, "Low")</f>
        <v>High</v>
      </c>
      <c r="U595">
        <v>13</v>
      </c>
      <c r="V595">
        <v>0</v>
      </c>
      <c r="W595">
        <v>5</v>
      </c>
      <c r="X595">
        <v>3</v>
      </c>
      <c r="Y595">
        <f t="shared" ca="1" si="9"/>
        <v>28.889819429108364</v>
      </c>
    </row>
    <row r="596" spans="1:25" x14ac:dyDescent="0.3">
      <c r="A596" t="s">
        <v>1134</v>
      </c>
      <c r="B596" t="s">
        <v>1135</v>
      </c>
      <c r="C596">
        <v>1</v>
      </c>
      <c r="D596" s="1">
        <v>44385</v>
      </c>
      <c r="E596">
        <v>3506</v>
      </c>
      <c r="F596">
        <v>10</v>
      </c>
      <c r="G596">
        <v>103</v>
      </c>
      <c r="H596">
        <v>76</v>
      </c>
      <c r="I596">
        <v>100</v>
      </c>
      <c r="J596">
        <v>1</v>
      </c>
      <c r="K596">
        <v>1</v>
      </c>
      <c r="L596">
        <v>513643924</v>
      </c>
      <c r="M596">
        <v>178</v>
      </c>
      <c r="N596" t="s">
        <v>34</v>
      </c>
      <c r="O596" t="s">
        <v>28</v>
      </c>
      <c r="P596">
        <v>76</v>
      </c>
      <c r="Q596">
        <v>63</v>
      </c>
      <c r="R596" t="str" cm="1">
        <f t="array" ref="R596">_xlfn.IFS(Q596&gt;70,"Good",Q596&lt;40,"Bad",(Q596&gt;OS634*(Q596&lt;80)),"Ok")</f>
        <v>Ok</v>
      </c>
      <c r="S596">
        <v>77</v>
      </c>
      <c r="T596" t="str" cm="1">
        <f t="array" ref="T596">_xlfn.IFS(S596&gt;50, "High", S596&lt;=50, "Low")</f>
        <v>High</v>
      </c>
      <c r="U596">
        <v>14</v>
      </c>
      <c r="V596">
        <v>0</v>
      </c>
      <c r="W596">
        <v>15</v>
      </c>
      <c r="X596">
        <v>22</v>
      </c>
      <c r="Y596">
        <f t="shared" ca="1" si="9"/>
        <v>68.075869367900467</v>
      </c>
    </row>
    <row r="597" spans="1:25" x14ac:dyDescent="0.3">
      <c r="A597" t="s">
        <v>1136</v>
      </c>
      <c r="B597" t="s">
        <v>1137</v>
      </c>
      <c r="C597">
        <v>2</v>
      </c>
      <c r="D597" s="1">
        <v>44553</v>
      </c>
      <c r="E597">
        <v>2999</v>
      </c>
      <c r="F597">
        <v>0</v>
      </c>
      <c r="G597">
        <v>60</v>
      </c>
      <c r="H597">
        <v>17</v>
      </c>
      <c r="I597">
        <v>154</v>
      </c>
      <c r="J597">
        <v>0</v>
      </c>
      <c r="K597">
        <v>22</v>
      </c>
      <c r="L597">
        <v>261286503</v>
      </c>
      <c r="M597">
        <v>108</v>
      </c>
      <c r="N597" t="s">
        <v>94</v>
      </c>
      <c r="O597" t="s">
        <v>45</v>
      </c>
      <c r="P597">
        <v>96</v>
      </c>
      <c r="Q597">
        <v>71</v>
      </c>
      <c r="R597" t="str" cm="1">
        <f t="array" ref="R597">_xlfn.IFS(Q597&gt;70,"Good",Q597&lt;40,"Bad",(Q597&gt;OS635*(Q597&lt;80)),"Ok")</f>
        <v>Good</v>
      </c>
      <c r="S597">
        <v>42</v>
      </c>
      <c r="T597" t="str" cm="1">
        <f t="array" ref="T597">_xlfn.IFS(S597&gt;50, "High", S597&lt;=50, "Low")</f>
        <v>Low</v>
      </c>
      <c r="U597">
        <v>57</v>
      </c>
      <c r="V597">
        <v>0</v>
      </c>
      <c r="W597">
        <v>8</v>
      </c>
      <c r="X597">
        <v>9</v>
      </c>
      <c r="Y597">
        <f t="shared" ca="1" si="9"/>
        <v>63.855972584084185</v>
      </c>
    </row>
    <row r="598" spans="1:25" x14ac:dyDescent="0.3">
      <c r="A598" t="s">
        <v>1138</v>
      </c>
      <c r="B598" t="s">
        <v>33</v>
      </c>
      <c r="C598">
        <v>1</v>
      </c>
      <c r="D598" s="1">
        <v>44337</v>
      </c>
      <c r="E598">
        <v>3681</v>
      </c>
      <c r="F598">
        <v>0</v>
      </c>
      <c r="G598">
        <v>20</v>
      </c>
      <c r="H598">
        <v>21</v>
      </c>
      <c r="I598">
        <v>99</v>
      </c>
      <c r="J598">
        <v>0</v>
      </c>
      <c r="K598">
        <v>7</v>
      </c>
      <c r="L598">
        <v>783706581</v>
      </c>
      <c r="M598">
        <v>173</v>
      </c>
      <c r="N598" t="s">
        <v>37</v>
      </c>
      <c r="O598" t="s">
        <v>28</v>
      </c>
      <c r="P598">
        <v>40</v>
      </c>
      <c r="Q598">
        <v>19</v>
      </c>
      <c r="R598" t="str" cm="1">
        <f t="array" ref="R598">_xlfn.IFS(Q598&gt;70,"Good",Q598&lt;40,"Bad",(Q598&gt;OS636*(Q598&lt;80)),"Ok")</f>
        <v>Bad</v>
      </c>
      <c r="S598">
        <v>29</v>
      </c>
      <c r="T598" t="str" cm="1">
        <f t="array" ref="T598">_xlfn.IFS(S598&gt;50, "High", S598&lt;=50, "Low")</f>
        <v>Low</v>
      </c>
      <c r="U598">
        <v>86</v>
      </c>
      <c r="V598">
        <v>0</v>
      </c>
      <c r="W598">
        <v>34</v>
      </c>
      <c r="X598">
        <v>4</v>
      </c>
      <c r="Y598">
        <f t="shared" ca="1" si="9"/>
        <v>36.431550350737155</v>
      </c>
    </row>
    <row r="599" spans="1:25" x14ac:dyDescent="0.3">
      <c r="A599" t="s">
        <v>1139</v>
      </c>
      <c r="B599" t="s">
        <v>1140</v>
      </c>
      <c r="C599">
        <v>3</v>
      </c>
      <c r="D599" s="1">
        <v>44323</v>
      </c>
      <c r="E599">
        <v>4846</v>
      </c>
      <c r="F599">
        <v>10</v>
      </c>
      <c r="G599">
        <v>54</v>
      </c>
      <c r="H599">
        <v>16</v>
      </c>
      <c r="I599">
        <v>259</v>
      </c>
      <c r="J599">
        <v>0</v>
      </c>
      <c r="K599">
        <v>13</v>
      </c>
      <c r="L599">
        <v>422691058</v>
      </c>
      <c r="M599">
        <v>101</v>
      </c>
      <c r="N599" t="s">
        <v>31</v>
      </c>
      <c r="O599" t="s">
        <v>28</v>
      </c>
      <c r="P599">
        <v>67</v>
      </c>
      <c r="Q599">
        <v>40</v>
      </c>
      <c r="R599" t="str" cm="1">
        <f t="array" ref="R599">_xlfn.IFS(Q599&gt;70,"Good",Q599&lt;40,"Bad",(Q599&gt;OS637*(Q599&lt;80)),"Ok")</f>
        <v>Ok</v>
      </c>
      <c r="S599">
        <v>90</v>
      </c>
      <c r="T599" t="str" cm="1">
        <f t="array" ref="T599">_xlfn.IFS(S599&gt;50, "High", S599&lt;=50, "Low")</f>
        <v>High</v>
      </c>
      <c r="U599">
        <v>3</v>
      </c>
      <c r="V599">
        <v>0</v>
      </c>
      <c r="W599">
        <v>34</v>
      </c>
      <c r="X599">
        <v>6</v>
      </c>
      <c r="Y599">
        <f t="shared" ca="1" si="9"/>
        <v>49.915902047649141</v>
      </c>
    </row>
    <row r="600" spans="1:25" x14ac:dyDescent="0.3">
      <c r="A600" t="s">
        <v>1141</v>
      </c>
      <c r="B600" t="s">
        <v>1142</v>
      </c>
      <c r="C600">
        <v>1</v>
      </c>
      <c r="D600" s="1">
        <v>43831</v>
      </c>
      <c r="E600">
        <v>14311</v>
      </c>
      <c r="F600">
        <v>0</v>
      </c>
      <c r="G600">
        <v>255</v>
      </c>
      <c r="H600">
        <v>32</v>
      </c>
      <c r="I600">
        <v>582</v>
      </c>
      <c r="J600">
        <v>0</v>
      </c>
      <c r="K600">
        <v>14</v>
      </c>
      <c r="L600">
        <v>1062345656</v>
      </c>
      <c r="M600">
        <v>120</v>
      </c>
      <c r="N600" t="s">
        <v>81</v>
      </c>
      <c r="O600" t="s">
        <v>45</v>
      </c>
      <c r="P600">
        <v>80</v>
      </c>
      <c r="Q600">
        <v>24</v>
      </c>
      <c r="R600" t="str" cm="1">
        <f t="array" ref="R600">_xlfn.IFS(Q600&gt;70,"Good",Q600&lt;40,"Bad",(Q600&gt;OS638*(Q600&lt;80)),"Ok")</f>
        <v>Bad</v>
      </c>
      <c r="S600">
        <v>62</v>
      </c>
      <c r="T600" t="str" cm="1">
        <f t="array" ref="T600">_xlfn.IFS(S600&gt;50, "High", S600&lt;=50, "Low")</f>
        <v>High</v>
      </c>
      <c r="U600">
        <v>41</v>
      </c>
      <c r="V600">
        <v>2</v>
      </c>
      <c r="W600">
        <v>11</v>
      </c>
      <c r="X600">
        <v>23</v>
      </c>
      <c r="Y600">
        <f t="shared" ca="1" si="9"/>
        <v>22.983050669379288</v>
      </c>
    </row>
    <row r="601" spans="1:25" x14ac:dyDescent="0.3">
      <c r="A601" t="s">
        <v>1143</v>
      </c>
      <c r="B601" t="s">
        <v>926</v>
      </c>
      <c r="C601">
        <v>1</v>
      </c>
      <c r="D601" s="1">
        <v>44127</v>
      </c>
      <c r="E601">
        <v>8207</v>
      </c>
      <c r="F601">
        <v>0</v>
      </c>
      <c r="G601">
        <v>175</v>
      </c>
      <c r="H601">
        <v>55</v>
      </c>
      <c r="I601">
        <v>95</v>
      </c>
      <c r="J601">
        <v>0</v>
      </c>
      <c r="K601">
        <v>2</v>
      </c>
      <c r="L601">
        <v>1252563873</v>
      </c>
      <c r="M601">
        <v>144</v>
      </c>
      <c r="O601" t="s">
        <v>28</v>
      </c>
      <c r="P601">
        <v>73</v>
      </c>
      <c r="Q601">
        <v>66</v>
      </c>
      <c r="R601" t="str" cm="1">
        <f t="array" ref="R601">_xlfn.IFS(Q601&gt;70,"Good",Q601&lt;40,"Bad",(Q601&gt;OS639*(Q601&lt;80)),"Ok")</f>
        <v>Ok</v>
      </c>
      <c r="S601">
        <v>80</v>
      </c>
      <c r="T601" t="str" cm="1">
        <f t="array" ref="T601">_xlfn.IFS(S601&gt;50, "High", S601&lt;=50, "Low")</f>
        <v>High</v>
      </c>
      <c r="U601">
        <v>44</v>
      </c>
      <c r="V601">
        <v>0</v>
      </c>
      <c r="W601">
        <v>9</v>
      </c>
      <c r="X601">
        <v>12</v>
      </c>
      <c r="Y601">
        <f t="shared" ca="1" si="9"/>
        <v>7.3811513494237531</v>
      </c>
    </row>
    <row r="602" spans="1:25" x14ac:dyDescent="0.3">
      <c r="A602" t="s">
        <v>527</v>
      </c>
      <c r="B602" t="s">
        <v>1033</v>
      </c>
      <c r="C602">
        <v>1</v>
      </c>
      <c r="D602" s="1">
        <v>44274</v>
      </c>
      <c r="E602">
        <v>4873</v>
      </c>
      <c r="F602">
        <v>0</v>
      </c>
      <c r="G602">
        <v>65</v>
      </c>
      <c r="H602">
        <v>88</v>
      </c>
      <c r="I602">
        <v>434</v>
      </c>
      <c r="J602">
        <v>3</v>
      </c>
      <c r="K602">
        <v>13</v>
      </c>
      <c r="L602">
        <v>851070493</v>
      </c>
      <c r="M602">
        <v>133</v>
      </c>
      <c r="N602" t="s">
        <v>31</v>
      </c>
      <c r="O602" t="s">
        <v>28</v>
      </c>
      <c r="P602">
        <v>75</v>
      </c>
      <c r="Q602">
        <v>96</v>
      </c>
      <c r="R602" t="str" cm="1">
        <f t="array" ref="R602">_xlfn.IFS(Q602&gt;70,"Good",Q602&lt;40,"Bad",(Q602&gt;OS640*(Q602&lt;80)),"Ok")</f>
        <v>Good</v>
      </c>
      <c r="S602">
        <v>61</v>
      </c>
      <c r="T602" t="str" cm="1">
        <f t="array" ref="T602">_xlfn.IFS(S602&gt;50, "High", S602&lt;=50, "Low")</f>
        <v>High</v>
      </c>
      <c r="U602">
        <v>0</v>
      </c>
      <c r="V602">
        <v>0</v>
      </c>
      <c r="W602">
        <v>18</v>
      </c>
      <c r="X602">
        <v>4</v>
      </c>
      <c r="Y602">
        <f t="shared" ca="1" si="9"/>
        <v>74.516240512024723</v>
      </c>
    </row>
    <row r="603" spans="1:25" x14ac:dyDescent="0.3">
      <c r="A603" t="s">
        <v>1144</v>
      </c>
      <c r="B603" t="s">
        <v>1145</v>
      </c>
      <c r="C603">
        <v>2</v>
      </c>
      <c r="D603" s="1">
        <v>44491</v>
      </c>
      <c r="E603">
        <v>772</v>
      </c>
      <c r="F603">
        <v>0</v>
      </c>
      <c r="G603">
        <v>7</v>
      </c>
      <c r="H603">
        <v>3</v>
      </c>
      <c r="I603">
        <v>89</v>
      </c>
      <c r="J603">
        <v>0</v>
      </c>
      <c r="K603">
        <v>0</v>
      </c>
      <c r="L603">
        <v>263894529</v>
      </c>
      <c r="M603">
        <v>158</v>
      </c>
      <c r="N603" t="s">
        <v>81</v>
      </c>
      <c r="O603" t="s">
        <v>45</v>
      </c>
      <c r="P603">
        <v>46</v>
      </c>
      <c r="Q603">
        <v>62</v>
      </c>
      <c r="R603" t="str" cm="1">
        <f t="array" ref="R603">_xlfn.IFS(Q603&gt;70,"Good",Q603&lt;40,"Bad",(Q603&gt;OS641*(Q603&lt;80)),"Ok")</f>
        <v>Ok</v>
      </c>
      <c r="S603">
        <v>83</v>
      </c>
      <c r="T603" t="str" cm="1">
        <f t="array" ref="T603">_xlfn.IFS(S603&gt;50, "High", S603&lt;=50, "Low")</f>
        <v>High</v>
      </c>
      <c r="U603">
        <v>53</v>
      </c>
      <c r="V603">
        <v>0</v>
      </c>
      <c r="W603">
        <v>97</v>
      </c>
      <c r="X603">
        <v>28</v>
      </c>
      <c r="Y603">
        <f t="shared" ca="1" si="9"/>
        <v>52.498596486800665</v>
      </c>
    </row>
    <row r="604" spans="1:25" x14ac:dyDescent="0.3">
      <c r="A604" t="s">
        <v>558</v>
      </c>
      <c r="B604" t="s">
        <v>1146</v>
      </c>
      <c r="C604">
        <v>1</v>
      </c>
      <c r="D604" s="1">
        <v>44470</v>
      </c>
      <c r="E604">
        <v>1150</v>
      </c>
      <c r="F604">
        <v>0</v>
      </c>
      <c r="G604">
        <v>20</v>
      </c>
      <c r="H604">
        <v>99</v>
      </c>
      <c r="I604">
        <v>44</v>
      </c>
      <c r="J604">
        <v>0</v>
      </c>
      <c r="K604">
        <v>2</v>
      </c>
      <c r="L604">
        <v>345903614</v>
      </c>
      <c r="M604">
        <v>120</v>
      </c>
      <c r="N604" t="s">
        <v>37</v>
      </c>
      <c r="O604" t="s">
        <v>28</v>
      </c>
      <c r="P604">
        <v>81</v>
      </c>
      <c r="Q604">
        <v>92</v>
      </c>
      <c r="R604" t="str" cm="1">
        <f t="array" ref="R604">_xlfn.IFS(Q604&gt;70,"Good",Q604&lt;40,"Bad",(Q604&gt;OS642*(Q604&lt;80)),"Ok")</f>
        <v>Good</v>
      </c>
      <c r="S604">
        <v>90</v>
      </c>
      <c r="T604" t="str" cm="1">
        <f t="array" ref="T604">_xlfn.IFS(S604&gt;50, "High", S604&lt;=50, "Low")</f>
        <v>High</v>
      </c>
      <c r="U604">
        <v>9</v>
      </c>
      <c r="V604">
        <v>0</v>
      </c>
      <c r="W604">
        <v>8</v>
      </c>
      <c r="X604">
        <v>7</v>
      </c>
      <c r="Y604">
        <f t="shared" ca="1" si="9"/>
        <v>34.809580141772614</v>
      </c>
    </row>
    <row r="605" spans="1:25" x14ac:dyDescent="0.3">
      <c r="A605" t="s">
        <v>1147</v>
      </c>
      <c r="B605" t="s">
        <v>1148</v>
      </c>
      <c r="C605">
        <v>1</v>
      </c>
      <c r="D605" s="1">
        <v>43882</v>
      </c>
      <c r="E605">
        <v>5398</v>
      </c>
      <c r="F605">
        <v>4</v>
      </c>
      <c r="G605">
        <v>111</v>
      </c>
      <c r="H605">
        <v>127</v>
      </c>
      <c r="I605">
        <v>210</v>
      </c>
      <c r="J605">
        <v>0</v>
      </c>
      <c r="K605">
        <v>37</v>
      </c>
      <c r="L605">
        <v>951637566</v>
      </c>
      <c r="M605">
        <v>129</v>
      </c>
      <c r="O605" t="s">
        <v>28</v>
      </c>
      <c r="P605">
        <v>61</v>
      </c>
      <c r="Q605">
        <v>59</v>
      </c>
      <c r="R605" t="str" cm="1">
        <f t="array" ref="R605">_xlfn.IFS(Q605&gt;70,"Good",Q605&lt;40,"Bad",(Q605&gt;OS643*(Q605&lt;80)),"Ok")</f>
        <v>Ok</v>
      </c>
      <c r="S605">
        <v>46</v>
      </c>
      <c r="T605" t="str" cm="1">
        <f t="array" ref="T605">_xlfn.IFS(S605&gt;50, "High", S605&lt;=50, "Low")</f>
        <v>Low</v>
      </c>
      <c r="U605">
        <v>56</v>
      </c>
      <c r="V605">
        <v>0</v>
      </c>
      <c r="W605">
        <v>13</v>
      </c>
      <c r="X605">
        <v>5</v>
      </c>
      <c r="Y605">
        <f t="shared" ca="1" si="9"/>
        <v>79.001643303254539</v>
      </c>
    </row>
    <row r="606" spans="1:25" x14ac:dyDescent="0.3">
      <c r="A606" t="s">
        <v>1149</v>
      </c>
      <c r="B606" t="s">
        <v>1150</v>
      </c>
      <c r="C606">
        <v>2</v>
      </c>
      <c r="D606" s="1">
        <v>42692</v>
      </c>
      <c r="E606">
        <v>7370</v>
      </c>
      <c r="F606">
        <v>0</v>
      </c>
      <c r="G606">
        <v>92</v>
      </c>
      <c r="H606">
        <v>127</v>
      </c>
      <c r="I606" s="2">
        <v>1219</v>
      </c>
      <c r="J606">
        <v>0</v>
      </c>
      <c r="K606">
        <v>62</v>
      </c>
      <c r="L606">
        <v>956865266</v>
      </c>
      <c r="M606">
        <v>102</v>
      </c>
      <c r="N606" t="s">
        <v>94</v>
      </c>
      <c r="O606" t="s">
        <v>28</v>
      </c>
      <c r="P606">
        <v>74</v>
      </c>
      <c r="Q606">
        <v>45</v>
      </c>
      <c r="R606" t="str" cm="1">
        <f t="array" ref="R606">_xlfn.IFS(Q606&gt;70,"Good",Q606&lt;40,"Bad",(Q606&gt;OS644*(Q606&lt;80)),"Ok")</f>
        <v>Ok</v>
      </c>
      <c r="S606">
        <v>89</v>
      </c>
      <c r="T606" t="str" cm="1">
        <f t="array" ref="T606">_xlfn.IFS(S606&gt;50, "High", S606&lt;=50, "Low")</f>
        <v>High</v>
      </c>
      <c r="U606">
        <v>5</v>
      </c>
      <c r="V606">
        <v>0</v>
      </c>
      <c r="W606">
        <v>26</v>
      </c>
      <c r="X606">
        <v>13</v>
      </c>
      <c r="Y606">
        <f t="shared" ca="1" si="9"/>
        <v>39.980357146627775</v>
      </c>
    </row>
    <row r="607" spans="1:25" x14ac:dyDescent="0.3">
      <c r="A607" t="s">
        <v>358</v>
      </c>
      <c r="B607" t="s">
        <v>1151</v>
      </c>
      <c r="C607">
        <v>4</v>
      </c>
      <c r="D607" s="1">
        <v>44421</v>
      </c>
      <c r="E607">
        <v>6890</v>
      </c>
      <c r="F607">
        <v>0</v>
      </c>
      <c r="G607">
        <v>122</v>
      </c>
      <c r="H607">
        <v>11</v>
      </c>
      <c r="I607">
        <v>201</v>
      </c>
      <c r="J607">
        <v>0</v>
      </c>
      <c r="K607">
        <v>1</v>
      </c>
      <c r="L607">
        <v>427486004</v>
      </c>
      <c r="M607">
        <v>124</v>
      </c>
      <c r="N607" t="s">
        <v>81</v>
      </c>
      <c r="O607" t="s">
        <v>45</v>
      </c>
      <c r="P607">
        <v>79</v>
      </c>
      <c r="Q607">
        <v>79</v>
      </c>
      <c r="R607" t="str" cm="1">
        <f t="array" ref="R607">_xlfn.IFS(Q607&gt;70,"Good",Q607&lt;40,"Bad",(Q607&gt;OS645*(Q607&lt;80)),"Ok")</f>
        <v>Good</v>
      </c>
      <c r="S607">
        <v>84</v>
      </c>
      <c r="T607" t="str" cm="1">
        <f t="array" ref="T607">_xlfn.IFS(S607&gt;50, "High", S607&lt;=50, "Low")</f>
        <v>High</v>
      </c>
      <c r="U607">
        <v>2</v>
      </c>
      <c r="V607">
        <v>0</v>
      </c>
      <c r="W607">
        <v>5</v>
      </c>
      <c r="X607">
        <v>5</v>
      </c>
      <c r="Y607">
        <f t="shared" ca="1" si="9"/>
        <v>72.919247528859017</v>
      </c>
    </row>
    <row r="608" spans="1:25" x14ac:dyDescent="0.3">
      <c r="A608" t="s">
        <v>1152</v>
      </c>
      <c r="B608" t="s">
        <v>1153</v>
      </c>
      <c r="C608">
        <v>1</v>
      </c>
      <c r="D608" s="1">
        <v>42480</v>
      </c>
      <c r="E608">
        <v>1966</v>
      </c>
      <c r="F608">
        <v>0</v>
      </c>
      <c r="G608">
        <v>4</v>
      </c>
      <c r="H608">
        <v>2</v>
      </c>
      <c r="I608">
        <v>50</v>
      </c>
      <c r="J608">
        <v>0</v>
      </c>
      <c r="K608">
        <v>0</v>
      </c>
      <c r="L608">
        <v>156658366</v>
      </c>
      <c r="M608">
        <v>90</v>
      </c>
      <c r="N608" t="s">
        <v>134</v>
      </c>
      <c r="O608" t="s">
        <v>45</v>
      </c>
      <c r="P608">
        <v>73</v>
      </c>
      <c r="Q608">
        <v>31</v>
      </c>
      <c r="R608" t="str" cm="1">
        <f t="array" ref="R608">_xlfn.IFS(Q608&gt;70,"Good",Q608&lt;40,"Bad",(Q608&gt;OS646*(Q608&lt;80)),"Ok")</f>
        <v>Bad</v>
      </c>
      <c r="S608">
        <v>45</v>
      </c>
      <c r="T608" t="str" cm="1">
        <f t="array" ref="T608">_xlfn.IFS(S608&gt;50, "High", S608&lt;=50, "Low")</f>
        <v>Low</v>
      </c>
      <c r="U608">
        <v>85</v>
      </c>
      <c r="V608">
        <v>24</v>
      </c>
      <c r="W608">
        <v>11</v>
      </c>
      <c r="X608">
        <v>3</v>
      </c>
      <c r="Y608">
        <f t="shared" ca="1" si="9"/>
        <v>77.33067771085193</v>
      </c>
    </row>
    <row r="609" spans="1:25" x14ac:dyDescent="0.3">
      <c r="A609">
        <v>2055</v>
      </c>
      <c r="B609" t="s">
        <v>1154</v>
      </c>
      <c r="C609">
        <v>1</v>
      </c>
      <c r="D609" s="1">
        <v>44300</v>
      </c>
      <c r="E609">
        <v>2226</v>
      </c>
      <c r="F609">
        <v>0</v>
      </c>
      <c r="G609">
        <v>29</v>
      </c>
      <c r="H609">
        <v>0</v>
      </c>
      <c r="I609">
        <v>44</v>
      </c>
      <c r="J609">
        <v>0</v>
      </c>
      <c r="K609">
        <v>0</v>
      </c>
      <c r="L609">
        <v>624515457</v>
      </c>
      <c r="M609">
        <v>161</v>
      </c>
      <c r="N609" t="s">
        <v>65</v>
      </c>
      <c r="O609" t="s">
        <v>45</v>
      </c>
      <c r="P609">
        <v>78</v>
      </c>
      <c r="Q609">
        <v>65</v>
      </c>
      <c r="R609" t="str" cm="1">
        <f t="array" ref="R609">_xlfn.IFS(Q609&gt;70,"Good",Q609&lt;40,"Bad",(Q609&gt;OS647*(Q609&lt;80)),"Ok")</f>
        <v>Ok</v>
      </c>
      <c r="S609">
        <v>52</v>
      </c>
      <c r="T609" t="str" cm="1">
        <f t="array" ref="T609">_xlfn.IFS(S609&gt;50, "High", S609&lt;=50, "Low")</f>
        <v>High</v>
      </c>
      <c r="U609">
        <v>46</v>
      </c>
      <c r="V609">
        <v>0</v>
      </c>
      <c r="W609">
        <v>12</v>
      </c>
      <c r="X609">
        <v>31</v>
      </c>
      <c r="Y609">
        <f t="shared" ca="1" si="9"/>
        <v>19.170655995470696</v>
      </c>
    </row>
    <row r="610" spans="1:25" x14ac:dyDescent="0.3">
      <c r="A610" t="s">
        <v>1155</v>
      </c>
      <c r="B610" t="s">
        <v>87</v>
      </c>
      <c r="C610">
        <v>1</v>
      </c>
      <c r="D610" s="1">
        <v>42824</v>
      </c>
      <c r="E610">
        <v>4204</v>
      </c>
      <c r="F610">
        <v>0</v>
      </c>
      <c r="G610">
        <v>39</v>
      </c>
      <c r="H610">
        <v>45</v>
      </c>
      <c r="I610">
        <v>250</v>
      </c>
      <c r="J610">
        <v>0</v>
      </c>
      <c r="K610">
        <v>0</v>
      </c>
      <c r="L610">
        <v>777765388</v>
      </c>
      <c r="M610">
        <v>120</v>
      </c>
      <c r="N610" t="s">
        <v>94</v>
      </c>
      <c r="O610" t="s">
        <v>28</v>
      </c>
      <c r="P610">
        <v>60</v>
      </c>
      <c r="Q610">
        <v>11</v>
      </c>
      <c r="R610" t="str" cm="1">
        <f t="array" ref="R610">_xlfn.IFS(Q610&gt;70,"Good",Q610&lt;40,"Bad",(Q610&gt;OS648*(Q610&lt;80)),"Ok")</f>
        <v>Bad</v>
      </c>
      <c r="S610">
        <v>33</v>
      </c>
      <c r="T610" t="str" cm="1">
        <f t="array" ref="T610">_xlfn.IFS(S610&gt;50, "High", S610&lt;=50, "Low")</f>
        <v>Low</v>
      </c>
      <c r="U610">
        <v>90</v>
      </c>
      <c r="V610">
        <v>0</v>
      </c>
      <c r="W610">
        <v>8</v>
      </c>
      <c r="X610">
        <v>5</v>
      </c>
      <c r="Y610">
        <f t="shared" ca="1" si="9"/>
        <v>51.875445673734063</v>
      </c>
    </row>
    <row r="611" spans="1:25" x14ac:dyDescent="0.3">
      <c r="A611" t="s">
        <v>1156</v>
      </c>
      <c r="B611" t="s">
        <v>87</v>
      </c>
      <c r="C611">
        <v>1</v>
      </c>
      <c r="D611" s="1">
        <v>44405</v>
      </c>
      <c r="E611">
        <v>1959</v>
      </c>
      <c r="F611">
        <v>0</v>
      </c>
      <c r="G611">
        <v>19</v>
      </c>
      <c r="H611">
        <v>0</v>
      </c>
      <c r="I611">
        <v>38</v>
      </c>
      <c r="J611">
        <v>0</v>
      </c>
      <c r="K611">
        <v>0</v>
      </c>
      <c r="L611">
        <v>412795151</v>
      </c>
      <c r="M611">
        <v>81</v>
      </c>
      <c r="O611" t="s">
        <v>28</v>
      </c>
      <c r="P611">
        <v>45</v>
      </c>
      <c r="Q611">
        <v>12</v>
      </c>
      <c r="R611" t="str" cm="1">
        <f t="array" ref="R611">_xlfn.IFS(Q611&gt;70,"Good",Q611&lt;40,"Bad",(Q611&gt;OS649*(Q611&lt;80)),"Ok")</f>
        <v>Bad</v>
      </c>
      <c r="S611">
        <v>57</v>
      </c>
      <c r="T611" t="str" cm="1">
        <f t="array" ref="T611">_xlfn.IFS(S611&gt;50, "High", S611&lt;=50, "Low")</f>
        <v>High</v>
      </c>
      <c r="U611">
        <v>7</v>
      </c>
      <c r="V611">
        <v>0</v>
      </c>
      <c r="W611">
        <v>23</v>
      </c>
      <c r="X611">
        <v>3</v>
      </c>
      <c r="Y611">
        <f t="shared" ca="1" si="9"/>
        <v>42.311752424132521</v>
      </c>
    </row>
    <row r="612" spans="1:25" x14ac:dyDescent="0.3">
      <c r="A612" t="s">
        <v>1157</v>
      </c>
      <c r="B612" t="s">
        <v>1158</v>
      </c>
      <c r="C612">
        <v>1</v>
      </c>
      <c r="D612" s="1">
        <v>43466</v>
      </c>
      <c r="E612">
        <v>7191</v>
      </c>
      <c r="F612">
        <v>0</v>
      </c>
      <c r="G612">
        <v>146</v>
      </c>
      <c r="H612">
        <v>18</v>
      </c>
      <c r="I612">
        <v>478</v>
      </c>
      <c r="J612">
        <v>0</v>
      </c>
      <c r="K612">
        <v>7</v>
      </c>
      <c r="L612">
        <v>1138474110</v>
      </c>
      <c r="M612">
        <v>150</v>
      </c>
      <c r="N612" t="s">
        <v>134</v>
      </c>
      <c r="O612" t="s">
        <v>45</v>
      </c>
      <c r="P612">
        <v>78</v>
      </c>
      <c r="Q612">
        <v>47</v>
      </c>
      <c r="R612" t="str" cm="1">
        <f t="array" ref="R612">_xlfn.IFS(Q612&gt;70,"Good",Q612&lt;40,"Bad",(Q612&gt;OS650*(Q612&lt;80)),"Ok")</f>
        <v>Ok</v>
      </c>
      <c r="S612">
        <v>70</v>
      </c>
      <c r="T612" t="str" cm="1">
        <f t="array" ref="T612">_xlfn.IFS(S612&gt;50, "High", S612&lt;=50, "Low")</f>
        <v>High</v>
      </c>
      <c r="U612">
        <v>18</v>
      </c>
      <c r="V612">
        <v>0</v>
      </c>
      <c r="W612">
        <v>15</v>
      </c>
      <c r="X612">
        <v>9</v>
      </c>
      <c r="Y612">
        <f t="shared" ca="1" si="9"/>
        <v>22.782993548431996</v>
      </c>
    </row>
    <row r="613" spans="1:25" x14ac:dyDescent="0.3">
      <c r="A613" t="s">
        <v>1159</v>
      </c>
      <c r="B613" t="s">
        <v>1160</v>
      </c>
      <c r="C613">
        <v>2</v>
      </c>
      <c r="D613" s="1">
        <v>44441</v>
      </c>
      <c r="E613">
        <v>2012</v>
      </c>
      <c r="F613">
        <v>0</v>
      </c>
      <c r="G613">
        <v>101</v>
      </c>
      <c r="H613">
        <v>12</v>
      </c>
      <c r="I613">
        <v>38</v>
      </c>
      <c r="J613">
        <v>0</v>
      </c>
      <c r="K613">
        <v>0</v>
      </c>
      <c r="L613">
        <v>355219175</v>
      </c>
      <c r="M613">
        <v>105</v>
      </c>
      <c r="N613" t="s">
        <v>81</v>
      </c>
      <c r="O613" t="s">
        <v>28</v>
      </c>
      <c r="P613">
        <v>76</v>
      </c>
      <c r="Q613">
        <v>58</v>
      </c>
      <c r="R613" t="str" cm="1">
        <f t="array" ref="R613">_xlfn.IFS(Q613&gt;70,"Good",Q613&lt;40,"Bad",(Q613&gt;OS651*(Q613&lt;80)),"Ok")</f>
        <v>Ok</v>
      </c>
      <c r="S613">
        <v>84</v>
      </c>
      <c r="T613" t="str" cm="1">
        <f t="array" ref="T613">_xlfn.IFS(S613&gt;50, "High", S613&lt;=50, "Low")</f>
        <v>High</v>
      </c>
      <c r="U613">
        <v>10</v>
      </c>
      <c r="V613">
        <v>0</v>
      </c>
      <c r="W613">
        <v>13</v>
      </c>
      <c r="X613">
        <v>10</v>
      </c>
      <c r="Y613">
        <f t="shared" ca="1" si="9"/>
        <v>76.20583445354761</v>
      </c>
    </row>
    <row r="614" spans="1:25" x14ac:dyDescent="0.3">
      <c r="A614" t="s">
        <v>150</v>
      </c>
      <c r="B614" t="s">
        <v>1161</v>
      </c>
      <c r="C614">
        <v>1</v>
      </c>
      <c r="D614" s="1">
        <v>44418</v>
      </c>
      <c r="E614">
        <v>1211</v>
      </c>
      <c r="F614">
        <v>2</v>
      </c>
      <c r="G614">
        <v>30</v>
      </c>
      <c r="H614">
        <v>2</v>
      </c>
      <c r="I614">
        <v>5</v>
      </c>
      <c r="J614">
        <v>0</v>
      </c>
      <c r="K614">
        <v>6</v>
      </c>
      <c r="L614">
        <v>290228626</v>
      </c>
      <c r="M614">
        <v>79</v>
      </c>
      <c r="N614" t="s">
        <v>65</v>
      </c>
      <c r="O614" t="s">
        <v>28</v>
      </c>
      <c r="P614">
        <v>63</v>
      </c>
      <c r="Q614">
        <v>76</v>
      </c>
      <c r="R614" t="str" cm="1">
        <f t="array" ref="R614">_xlfn.IFS(Q614&gt;70,"Good",Q614&lt;40,"Bad",(Q614&gt;OS652*(Q614&lt;80)),"Ok")</f>
        <v>Good</v>
      </c>
      <c r="S614">
        <v>67</v>
      </c>
      <c r="T614" t="str" cm="1">
        <f t="array" ref="T614">_xlfn.IFS(S614&gt;50, "High", S614&lt;=50, "Low")</f>
        <v>High</v>
      </c>
      <c r="U614">
        <v>38</v>
      </c>
      <c r="V614">
        <v>0</v>
      </c>
      <c r="W614">
        <v>6</v>
      </c>
      <c r="X614">
        <v>4</v>
      </c>
      <c r="Y614">
        <f t="shared" ca="1" si="9"/>
        <v>96.777281231725638</v>
      </c>
    </row>
    <row r="615" spans="1:25" x14ac:dyDescent="0.3">
      <c r="A615" t="s">
        <v>1162</v>
      </c>
      <c r="B615" t="s">
        <v>442</v>
      </c>
      <c r="C615">
        <v>1</v>
      </c>
      <c r="D615" s="1">
        <v>40455</v>
      </c>
      <c r="E615">
        <v>7109</v>
      </c>
      <c r="F615">
        <v>2</v>
      </c>
      <c r="G615">
        <v>5</v>
      </c>
      <c r="H615">
        <v>0</v>
      </c>
      <c r="I615">
        <v>862</v>
      </c>
      <c r="J615">
        <v>0</v>
      </c>
      <c r="K615">
        <v>0</v>
      </c>
      <c r="L615">
        <v>1062956628</v>
      </c>
      <c r="M615">
        <v>146</v>
      </c>
      <c r="N615" t="s">
        <v>31</v>
      </c>
      <c r="O615" t="s">
        <v>45</v>
      </c>
      <c r="P615">
        <v>52</v>
      </c>
      <c r="Q615">
        <v>7</v>
      </c>
      <c r="R615" t="str" cm="1">
        <f t="array" ref="R615">_xlfn.IFS(Q615&gt;70,"Good",Q615&lt;40,"Bad",(Q615&gt;OS653*(Q615&lt;80)),"Ok")</f>
        <v>Bad</v>
      </c>
      <c r="S615">
        <v>61</v>
      </c>
      <c r="T615" t="str" cm="1">
        <f t="array" ref="T615">_xlfn.IFS(S615&gt;50, "High", S615&lt;=50, "Low")</f>
        <v>High</v>
      </c>
      <c r="U615">
        <v>51</v>
      </c>
      <c r="V615">
        <v>0</v>
      </c>
      <c r="W615">
        <v>11</v>
      </c>
      <c r="X615">
        <v>3</v>
      </c>
      <c r="Y615">
        <f t="shared" ca="1" si="9"/>
        <v>15.401665731920399</v>
      </c>
    </row>
    <row r="616" spans="1:25" x14ac:dyDescent="0.3">
      <c r="A616" t="s">
        <v>1163</v>
      </c>
      <c r="B616" t="s">
        <v>1164</v>
      </c>
      <c r="C616">
        <v>1</v>
      </c>
      <c r="D616" s="1">
        <v>43938</v>
      </c>
      <c r="E616">
        <v>6638</v>
      </c>
      <c r="F616">
        <v>0</v>
      </c>
      <c r="G616">
        <v>167</v>
      </c>
      <c r="H616">
        <v>19</v>
      </c>
      <c r="I616">
        <v>318</v>
      </c>
      <c r="J616">
        <v>0</v>
      </c>
      <c r="K616">
        <v>1</v>
      </c>
      <c r="L616">
        <v>1180094974</v>
      </c>
      <c r="M616">
        <v>124</v>
      </c>
      <c r="N616" t="s">
        <v>134</v>
      </c>
      <c r="O616" t="s">
        <v>28</v>
      </c>
      <c r="P616">
        <v>64</v>
      </c>
      <c r="Q616">
        <v>8</v>
      </c>
      <c r="R616" t="str" cm="1">
        <f t="array" ref="R616">_xlfn.IFS(Q616&gt;70,"Good",Q616&lt;40,"Bad",(Q616&gt;OS654*(Q616&lt;80)),"Ok")</f>
        <v>Bad</v>
      </c>
      <c r="S616">
        <v>37</v>
      </c>
      <c r="T616" t="str" cm="1">
        <f t="array" ref="T616">_xlfn.IFS(S616&gt;50, "High", S616&lt;=50, "Low")</f>
        <v>Low</v>
      </c>
      <c r="U616">
        <v>79</v>
      </c>
      <c r="V616">
        <v>0</v>
      </c>
      <c r="W616">
        <v>9</v>
      </c>
      <c r="X616">
        <v>5</v>
      </c>
      <c r="Y616">
        <f t="shared" ca="1" si="9"/>
        <v>1.7398213121888717</v>
      </c>
    </row>
    <row r="617" spans="1:25" x14ac:dyDescent="0.3">
      <c r="A617" t="s">
        <v>1165</v>
      </c>
      <c r="B617" t="s">
        <v>1166</v>
      </c>
      <c r="C617">
        <v>1</v>
      </c>
      <c r="D617" s="1">
        <v>41640</v>
      </c>
      <c r="E617">
        <v>17354</v>
      </c>
      <c r="F617">
        <v>8</v>
      </c>
      <c r="G617">
        <v>92</v>
      </c>
      <c r="H617">
        <v>122</v>
      </c>
      <c r="I617" s="2">
        <v>1282</v>
      </c>
      <c r="J617">
        <v>0</v>
      </c>
      <c r="K617">
        <v>55</v>
      </c>
      <c r="L617">
        <v>1456081449</v>
      </c>
      <c r="M617">
        <v>126</v>
      </c>
      <c r="N617" t="s">
        <v>65</v>
      </c>
      <c r="O617" t="s">
        <v>28</v>
      </c>
      <c r="P617">
        <v>53</v>
      </c>
      <c r="Q617">
        <v>66</v>
      </c>
      <c r="R617" t="str" cm="1">
        <f t="array" ref="R617">_xlfn.IFS(Q617&gt;70,"Good",Q617&lt;40,"Bad",(Q617&gt;OS655*(Q617&lt;80)),"Ok")</f>
        <v>Ok</v>
      </c>
      <c r="S617">
        <v>85</v>
      </c>
      <c r="T617" t="str" cm="1">
        <f t="array" ref="T617">_xlfn.IFS(S617&gt;50, "High", S617&lt;=50, "Low")</f>
        <v>High</v>
      </c>
      <c r="U617">
        <v>2</v>
      </c>
      <c r="V617">
        <v>0</v>
      </c>
      <c r="W617">
        <v>24</v>
      </c>
      <c r="X617">
        <v>4</v>
      </c>
      <c r="Y617">
        <f t="shared" ca="1" si="9"/>
        <v>99.032906101472022</v>
      </c>
    </row>
    <row r="618" spans="1:25" x14ac:dyDescent="0.3">
      <c r="A618" t="s">
        <v>1016</v>
      </c>
      <c r="B618" t="s">
        <v>171</v>
      </c>
      <c r="C618">
        <v>1</v>
      </c>
      <c r="D618" s="1">
        <v>44414</v>
      </c>
      <c r="E618">
        <v>6392</v>
      </c>
      <c r="F618">
        <v>0</v>
      </c>
      <c r="G618">
        <v>174</v>
      </c>
      <c r="H618">
        <v>73</v>
      </c>
      <c r="I618">
        <v>344</v>
      </c>
      <c r="J618">
        <v>0</v>
      </c>
      <c r="K618">
        <v>0</v>
      </c>
      <c r="L618">
        <v>432702334</v>
      </c>
      <c r="M618">
        <v>121</v>
      </c>
      <c r="N618" t="s">
        <v>81</v>
      </c>
      <c r="O618" t="s">
        <v>28</v>
      </c>
      <c r="P618">
        <v>75</v>
      </c>
      <c r="Q618">
        <v>53</v>
      </c>
      <c r="R618" t="str" cm="1">
        <f t="array" ref="R618">_xlfn.IFS(Q618&gt;70,"Good",Q618&lt;40,"Bad",(Q618&gt;OS656*(Q618&lt;80)),"Ok")</f>
        <v>Ok</v>
      </c>
      <c r="S618">
        <v>74</v>
      </c>
      <c r="T618" t="str" cm="1">
        <f t="array" ref="T618">_xlfn.IFS(S618&gt;50, "High", S618&lt;=50, "Low")</f>
        <v>High</v>
      </c>
      <c r="U618">
        <v>2</v>
      </c>
      <c r="V618">
        <v>0</v>
      </c>
      <c r="W618">
        <v>11</v>
      </c>
      <c r="X618">
        <v>5</v>
      </c>
      <c r="Y618">
        <f t="shared" ca="1" si="9"/>
        <v>19.82748218720436</v>
      </c>
    </row>
    <row r="619" spans="1:25" x14ac:dyDescent="0.3">
      <c r="A619" t="s">
        <v>1167</v>
      </c>
      <c r="B619" t="s">
        <v>1168</v>
      </c>
      <c r="C619">
        <v>3</v>
      </c>
      <c r="D619" s="1">
        <v>44442</v>
      </c>
      <c r="E619">
        <v>5481</v>
      </c>
      <c r="F619">
        <v>0</v>
      </c>
      <c r="G619">
        <v>144</v>
      </c>
      <c r="H619">
        <v>30</v>
      </c>
      <c r="I619">
        <v>86</v>
      </c>
      <c r="J619">
        <v>0</v>
      </c>
      <c r="K619">
        <v>0</v>
      </c>
      <c r="L619">
        <v>489945871</v>
      </c>
      <c r="M619">
        <v>136</v>
      </c>
      <c r="N619" t="s">
        <v>27</v>
      </c>
      <c r="O619" t="s">
        <v>45</v>
      </c>
      <c r="P619">
        <v>80</v>
      </c>
      <c r="Q619">
        <v>33</v>
      </c>
      <c r="R619" t="str" cm="1">
        <f t="array" ref="R619">_xlfn.IFS(Q619&gt;70,"Good",Q619&lt;40,"Bad",(Q619&gt;OS657*(Q619&lt;80)),"Ok")</f>
        <v>Bad</v>
      </c>
      <c r="S619">
        <v>60</v>
      </c>
      <c r="T619" t="str" cm="1">
        <f t="array" ref="T619">_xlfn.IFS(S619&gt;50, "High", S619&lt;=50, "Low")</f>
        <v>High</v>
      </c>
      <c r="U619">
        <v>0</v>
      </c>
      <c r="V619">
        <v>0</v>
      </c>
      <c r="W619">
        <v>32</v>
      </c>
      <c r="X619">
        <v>14</v>
      </c>
      <c r="Y619">
        <f t="shared" ca="1" si="9"/>
        <v>26.012350436498355</v>
      </c>
    </row>
    <row r="620" spans="1:25" x14ac:dyDescent="0.3">
      <c r="A620" t="s">
        <v>1169</v>
      </c>
      <c r="B620" t="s">
        <v>1068</v>
      </c>
      <c r="C620">
        <v>1</v>
      </c>
      <c r="D620" s="1">
        <v>44372</v>
      </c>
      <c r="E620">
        <v>2636</v>
      </c>
      <c r="F620">
        <v>3</v>
      </c>
      <c r="G620">
        <v>36</v>
      </c>
      <c r="H620">
        <v>82</v>
      </c>
      <c r="I620">
        <v>39</v>
      </c>
      <c r="J620">
        <v>0</v>
      </c>
      <c r="K620">
        <v>5</v>
      </c>
      <c r="L620">
        <v>465959382</v>
      </c>
      <c r="M620">
        <v>102</v>
      </c>
      <c r="N620" t="s">
        <v>37</v>
      </c>
      <c r="O620" t="s">
        <v>45</v>
      </c>
      <c r="P620">
        <v>77</v>
      </c>
      <c r="Q620">
        <v>26</v>
      </c>
      <c r="R620" t="str" cm="1">
        <f t="array" ref="R620">_xlfn.IFS(Q620&gt;70,"Good",Q620&lt;40,"Bad",(Q620&gt;OS658*(Q620&lt;80)),"Ok")</f>
        <v>Bad</v>
      </c>
      <c r="S620">
        <v>63</v>
      </c>
      <c r="T620" t="str" cm="1">
        <f t="array" ref="T620">_xlfn.IFS(S620&gt;50, "High", S620&lt;=50, "Low")</f>
        <v>High</v>
      </c>
      <c r="U620">
        <v>58</v>
      </c>
      <c r="V620">
        <v>0</v>
      </c>
      <c r="W620">
        <v>11</v>
      </c>
      <c r="X620">
        <v>5</v>
      </c>
      <c r="Y620">
        <f t="shared" ca="1" si="9"/>
        <v>25.236335383653021</v>
      </c>
    </row>
    <row r="621" spans="1:25" x14ac:dyDescent="0.3">
      <c r="A621" t="s">
        <v>1170</v>
      </c>
      <c r="B621" t="s">
        <v>1171</v>
      </c>
      <c r="C621">
        <v>3</v>
      </c>
      <c r="D621" s="1">
        <v>44496</v>
      </c>
      <c r="E621">
        <v>824</v>
      </c>
      <c r="F621">
        <v>0</v>
      </c>
      <c r="G621">
        <v>8</v>
      </c>
      <c r="H621">
        <v>8</v>
      </c>
      <c r="I621">
        <v>8</v>
      </c>
      <c r="J621">
        <v>2</v>
      </c>
      <c r="K621">
        <v>0</v>
      </c>
      <c r="L621">
        <v>1223481149</v>
      </c>
      <c r="M621">
        <v>77</v>
      </c>
      <c r="N621" t="s">
        <v>94</v>
      </c>
      <c r="O621" t="s">
        <v>28</v>
      </c>
      <c r="P621">
        <v>73</v>
      </c>
      <c r="Q621">
        <v>54</v>
      </c>
      <c r="R621" t="str" cm="1">
        <f t="array" ref="R621">_xlfn.IFS(Q621&gt;70,"Good",Q621&lt;40,"Bad",(Q621&gt;OS659*(Q621&lt;80)),"Ok")</f>
        <v>Ok</v>
      </c>
      <c r="S621">
        <v>74</v>
      </c>
      <c r="T621" t="str" cm="1">
        <f t="array" ref="T621">_xlfn.IFS(S621&gt;50, "High", S621&lt;=50, "Low")</f>
        <v>High</v>
      </c>
      <c r="U621">
        <v>23</v>
      </c>
      <c r="V621">
        <v>0</v>
      </c>
      <c r="W621">
        <v>41</v>
      </c>
      <c r="X621">
        <v>23</v>
      </c>
      <c r="Y621">
        <f t="shared" ca="1" si="9"/>
        <v>59.956873964428624</v>
      </c>
    </row>
    <row r="622" spans="1:25" x14ac:dyDescent="0.3">
      <c r="A622" t="s">
        <v>1172</v>
      </c>
      <c r="B622" t="s">
        <v>1173</v>
      </c>
      <c r="C622">
        <v>1</v>
      </c>
      <c r="D622" s="1">
        <v>43595</v>
      </c>
      <c r="E622">
        <v>24529</v>
      </c>
      <c r="F622">
        <v>0</v>
      </c>
      <c r="G622">
        <v>533</v>
      </c>
      <c r="H622">
        <v>167</v>
      </c>
      <c r="I622" s="2">
        <v>3595</v>
      </c>
      <c r="J622">
        <v>6</v>
      </c>
      <c r="L622">
        <v>2864791672</v>
      </c>
      <c r="M622">
        <v>98</v>
      </c>
      <c r="N622" t="s">
        <v>65</v>
      </c>
      <c r="O622" t="s">
        <v>45</v>
      </c>
      <c r="P622">
        <v>82</v>
      </c>
      <c r="Q622">
        <v>54</v>
      </c>
      <c r="R622" t="str" cm="1">
        <f t="array" ref="R622">_xlfn.IFS(Q622&gt;70,"Good",Q622&lt;40,"Bad",(Q622&gt;OS660*(Q622&lt;80)),"Ok")</f>
        <v>Ok</v>
      </c>
      <c r="S622">
        <v>59</v>
      </c>
      <c r="T622" t="str" cm="1">
        <f t="array" ref="T622">_xlfn.IFS(S622&gt;50, "High", S622&lt;=50, "Low")</f>
        <v>High</v>
      </c>
      <c r="U622">
        <v>69</v>
      </c>
      <c r="V622">
        <v>0</v>
      </c>
      <c r="W622">
        <v>18</v>
      </c>
      <c r="X622">
        <v>10</v>
      </c>
      <c r="Y622">
        <f t="shared" ca="1" si="9"/>
        <v>79.526082738507569</v>
      </c>
    </row>
    <row r="623" spans="1:25" x14ac:dyDescent="0.3">
      <c r="A623" t="s">
        <v>1174</v>
      </c>
      <c r="B623" t="s">
        <v>1175</v>
      </c>
      <c r="C623">
        <v>1</v>
      </c>
      <c r="D623" s="1">
        <v>42901</v>
      </c>
      <c r="E623">
        <v>14749</v>
      </c>
      <c r="F623">
        <v>0</v>
      </c>
      <c r="G623">
        <v>188</v>
      </c>
      <c r="H623">
        <v>34</v>
      </c>
      <c r="I623">
        <v>710</v>
      </c>
      <c r="J623">
        <v>0</v>
      </c>
      <c r="K623">
        <v>5</v>
      </c>
      <c r="L623">
        <v>2288695111</v>
      </c>
      <c r="M623">
        <v>84</v>
      </c>
      <c r="N623" t="s">
        <v>27</v>
      </c>
      <c r="O623" t="s">
        <v>45</v>
      </c>
      <c r="P623">
        <v>44</v>
      </c>
      <c r="Q623">
        <v>22</v>
      </c>
      <c r="R623" t="str" cm="1">
        <f t="array" ref="R623">_xlfn.IFS(Q623&gt;70,"Good",Q623&lt;40,"Bad",(Q623&gt;OS661*(Q623&lt;80)),"Ok")</f>
        <v>Bad</v>
      </c>
      <c r="S623">
        <v>48</v>
      </c>
      <c r="T623" t="str" cm="1">
        <f t="array" ref="T623">_xlfn.IFS(S623&gt;50, "High", S623&lt;=50, "Low")</f>
        <v>Low</v>
      </c>
      <c r="U623">
        <v>38</v>
      </c>
      <c r="V623">
        <v>0</v>
      </c>
      <c r="W623">
        <v>33</v>
      </c>
      <c r="X623">
        <v>24</v>
      </c>
      <c r="Y623">
        <f t="shared" ca="1" si="9"/>
        <v>91.298893954115428</v>
      </c>
    </row>
    <row r="624" spans="1:25" x14ac:dyDescent="0.3">
      <c r="A624" t="s">
        <v>432</v>
      </c>
      <c r="B624" t="s">
        <v>1176</v>
      </c>
      <c r="C624">
        <v>2</v>
      </c>
      <c r="D624" s="1">
        <v>44224</v>
      </c>
      <c r="E624">
        <v>8087</v>
      </c>
      <c r="F624">
        <v>0</v>
      </c>
      <c r="G624">
        <v>92</v>
      </c>
      <c r="H624">
        <v>34</v>
      </c>
      <c r="I624">
        <v>131</v>
      </c>
      <c r="J624">
        <v>0</v>
      </c>
      <c r="K624">
        <v>0</v>
      </c>
      <c r="L624">
        <v>720825549</v>
      </c>
      <c r="M624">
        <v>102</v>
      </c>
      <c r="N624" t="s">
        <v>81</v>
      </c>
      <c r="O624" t="s">
        <v>28</v>
      </c>
      <c r="P624">
        <v>89</v>
      </c>
      <c r="Q624">
        <v>77</v>
      </c>
      <c r="R624" t="str" cm="1">
        <f t="array" ref="R624">_xlfn.IFS(Q624&gt;70,"Good",Q624&lt;40,"Bad",(Q624&gt;OS662*(Q624&lt;80)),"Ok")</f>
        <v>Good</v>
      </c>
      <c r="S624">
        <v>82</v>
      </c>
      <c r="T624" t="str" cm="1">
        <f t="array" ref="T624">_xlfn.IFS(S624&gt;50, "High", S624&lt;=50, "Low")</f>
        <v>High</v>
      </c>
      <c r="U624">
        <v>3</v>
      </c>
      <c r="V624">
        <v>0</v>
      </c>
      <c r="W624">
        <v>17</v>
      </c>
      <c r="X624">
        <v>11</v>
      </c>
      <c r="Y624">
        <f t="shared" ca="1" si="9"/>
        <v>75.083055359261436</v>
      </c>
    </row>
    <row r="625" spans="1:25" x14ac:dyDescent="0.3">
      <c r="A625" t="s">
        <v>1177</v>
      </c>
      <c r="B625" t="s">
        <v>1178</v>
      </c>
      <c r="C625">
        <v>1</v>
      </c>
      <c r="D625" s="1">
        <v>41487</v>
      </c>
      <c r="E625">
        <v>27221</v>
      </c>
      <c r="F625">
        <v>0</v>
      </c>
      <c r="G625">
        <v>308</v>
      </c>
      <c r="H625">
        <v>118</v>
      </c>
      <c r="I625" s="2">
        <v>4534</v>
      </c>
      <c r="J625">
        <v>2</v>
      </c>
      <c r="K625">
        <v>77</v>
      </c>
      <c r="L625">
        <v>2086124197</v>
      </c>
      <c r="M625">
        <v>120</v>
      </c>
      <c r="N625" t="s">
        <v>81</v>
      </c>
      <c r="O625" t="s">
        <v>28</v>
      </c>
      <c r="P625">
        <v>42</v>
      </c>
      <c r="Q625">
        <v>33</v>
      </c>
      <c r="R625" t="str" cm="1">
        <f t="array" ref="R625">_xlfn.IFS(Q625&gt;70,"Good",Q625&lt;40,"Bad",(Q625&gt;OS663*(Q625&lt;80)),"Ok")</f>
        <v>Bad</v>
      </c>
      <c r="S625">
        <v>26</v>
      </c>
      <c r="T625" t="str" cm="1">
        <f t="array" ref="T625">_xlfn.IFS(S625&gt;50, "High", S625&lt;=50, "Low")</f>
        <v>Low</v>
      </c>
      <c r="U625">
        <v>92</v>
      </c>
      <c r="V625">
        <v>0</v>
      </c>
      <c r="W625">
        <v>13</v>
      </c>
      <c r="X625">
        <v>3</v>
      </c>
      <c r="Y625">
        <f t="shared" ca="1" si="9"/>
        <v>36.717773645225392</v>
      </c>
    </row>
    <row r="626" spans="1:25" x14ac:dyDescent="0.3">
      <c r="A626" t="s">
        <v>62</v>
      </c>
      <c r="B626" t="s">
        <v>1179</v>
      </c>
      <c r="C626">
        <v>1</v>
      </c>
      <c r="D626" s="1">
        <v>33491</v>
      </c>
      <c r="E626">
        <v>49991</v>
      </c>
      <c r="F626">
        <v>9</v>
      </c>
      <c r="G626">
        <v>265</v>
      </c>
      <c r="H626">
        <v>121</v>
      </c>
      <c r="I626" s="2">
        <v>12367</v>
      </c>
      <c r="J626">
        <v>4</v>
      </c>
      <c r="K626">
        <v>160</v>
      </c>
      <c r="L626">
        <v>1690192927</v>
      </c>
      <c r="M626">
        <v>117</v>
      </c>
      <c r="N626" t="s">
        <v>31</v>
      </c>
      <c r="O626" t="s">
        <v>28</v>
      </c>
      <c r="P626">
        <v>52</v>
      </c>
      <c r="Q626">
        <v>73</v>
      </c>
      <c r="R626" t="str" cm="1">
        <f t="array" ref="R626">_xlfn.IFS(Q626&gt;70,"Good",Q626&lt;40,"Bad",(Q626&gt;OS664*(Q626&lt;80)),"Ok")</f>
        <v>Good</v>
      </c>
      <c r="S626">
        <v>91</v>
      </c>
      <c r="T626" t="str" cm="1">
        <f t="array" ref="T626">_xlfn.IFS(S626&gt;50, "High", S626&lt;=50, "Low")</f>
        <v>High</v>
      </c>
      <c r="U626">
        <v>0</v>
      </c>
      <c r="V626">
        <v>0</v>
      </c>
      <c r="W626">
        <v>11</v>
      </c>
      <c r="X626">
        <v>7</v>
      </c>
      <c r="Y626">
        <f t="shared" ca="1" si="9"/>
        <v>8.0045378448530986</v>
      </c>
    </row>
    <row r="627" spans="1:25" x14ac:dyDescent="0.3">
      <c r="A627" t="s">
        <v>1180</v>
      </c>
      <c r="B627" t="s">
        <v>1181</v>
      </c>
      <c r="C627">
        <v>1</v>
      </c>
      <c r="D627" s="1">
        <v>43531</v>
      </c>
      <c r="E627">
        <v>6646</v>
      </c>
      <c r="F627">
        <v>0</v>
      </c>
      <c r="G627">
        <v>107</v>
      </c>
      <c r="H627">
        <v>47</v>
      </c>
      <c r="I627">
        <v>584</v>
      </c>
      <c r="J627">
        <v>1</v>
      </c>
      <c r="L627">
        <v>991336132</v>
      </c>
      <c r="M627">
        <v>72</v>
      </c>
      <c r="N627" t="s">
        <v>37</v>
      </c>
      <c r="O627" t="s">
        <v>45</v>
      </c>
      <c r="P627">
        <v>45</v>
      </c>
      <c r="Q627">
        <v>27</v>
      </c>
      <c r="R627" t="str" cm="1">
        <f t="array" ref="R627">_xlfn.IFS(Q627&gt;70,"Good",Q627&lt;40,"Bad",(Q627&gt;OS665*(Q627&lt;80)),"Ok")</f>
        <v>Bad</v>
      </c>
      <c r="S627">
        <v>33</v>
      </c>
      <c r="T627" t="str" cm="1">
        <f t="array" ref="T627">_xlfn.IFS(S627&gt;50, "High", S627&lt;=50, "Low")</f>
        <v>Low</v>
      </c>
      <c r="U627">
        <v>82</v>
      </c>
      <c r="V627">
        <v>0</v>
      </c>
      <c r="W627">
        <v>14</v>
      </c>
      <c r="X627">
        <v>4</v>
      </c>
      <c r="Y627">
        <f t="shared" ca="1" si="9"/>
        <v>51.570216893708675</v>
      </c>
    </row>
    <row r="628" spans="1:25" x14ac:dyDescent="0.3">
      <c r="A628" t="s">
        <v>1182</v>
      </c>
      <c r="B628" t="s">
        <v>1183</v>
      </c>
      <c r="C628">
        <v>2</v>
      </c>
      <c r="D628" s="1">
        <v>44442</v>
      </c>
      <c r="E628">
        <v>5403</v>
      </c>
      <c r="F628">
        <v>6</v>
      </c>
      <c r="G628">
        <v>118</v>
      </c>
      <c r="H628">
        <v>116</v>
      </c>
      <c r="I628">
        <v>96</v>
      </c>
      <c r="J628">
        <v>0</v>
      </c>
      <c r="K628">
        <v>3</v>
      </c>
      <c r="L628">
        <v>593917618</v>
      </c>
      <c r="M628">
        <v>168</v>
      </c>
      <c r="N628" t="s">
        <v>31</v>
      </c>
      <c r="O628" t="s">
        <v>28</v>
      </c>
      <c r="P628">
        <v>67</v>
      </c>
      <c r="Q628">
        <v>29</v>
      </c>
      <c r="R628" t="str" cm="1">
        <f t="array" ref="R628">_xlfn.IFS(Q628&gt;70,"Good",Q628&lt;40,"Bad",(Q628&gt;OS666*(Q628&lt;80)),"Ok")</f>
        <v>Bad</v>
      </c>
      <c r="S628">
        <v>47</v>
      </c>
      <c r="T628" t="str" cm="1">
        <f t="array" ref="T628">_xlfn.IFS(S628&gt;50, "High", S628&lt;=50, "Low")</f>
        <v>Low</v>
      </c>
      <c r="U628">
        <v>5</v>
      </c>
      <c r="V628">
        <v>0</v>
      </c>
      <c r="W628">
        <v>22</v>
      </c>
      <c r="X628">
        <v>26</v>
      </c>
      <c r="Y628">
        <f t="shared" ca="1" si="9"/>
        <v>51.877589056635202</v>
      </c>
    </row>
    <row r="629" spans="1:25" x14ac:dyDescent="0.3">
      <c r="A629" t="s">
        <v>1184</v>
      </c>
      <c r="B629" t="s">
        <v>1185</v>
      </c>
      <c r="C629">
        <v>2</v>
      </c>
      <c r="D629" s="1">
        <v>44511</v>
      </c>
      <c r="E629">
        <v>755</v>
      </c>
      <c r="F629">
        <v>4</v>
      </c>
      <c r="G629">
        <v>22</v>
      </c>
      <c r="H629">
        <v>3</v>
      </c>
      <c r="I629">
        <v>0</v>
      </c>
      <c r="J629">
        <v>0</v>
      </c>
      <c r="K629">
        <v>0</v>
      </c>
      <c r="L629">
        <v>200972675</v>
      </c>
      <c r="M629">
        <v>94</v>
      </c>
      <c r="N629" t="s">
        <v>31</v>
      </c>
      <c r="O629" t="s">
        <v>28</v>
      </c>
      <c r="P629">
        <v>52</v>
      </c>
      <c r="Q629">
        <v>68</v>
      </c>
      <c r="R629" t="str" cm="1">
        <f t="array" ref="R629">_xlfn.IFS(Q629&gt;70,"Good",Q629&lt;40,"Bad",(Q629&gt;OS667*(Q629&lt;80)),"Ok")</f>
        <v>Ok</v>
      </c>
      <c r="S629">
        <v>69</v>
      </c>
      <c r="T629" t="str" cm="1">
        <f t="array" ref="T629">_xlfn.IFS(S629&gt;50, "High", S629&lt;=50, "Low")</f>
        <v>High</v>
      </c>
      <c r="U629">
        <v>13</v>
      </c>
      <c r="V629">
        <v>0</v>
      </c>
      <c r="W629">
        <v>33</v>
      </c>
      <c r="X629">
        <v>8</v>
      </c>
      <c r="Y629">
        <f t="shared" ca="1" si="9"/>
        <v>64.555028600999663</v>
      </c>
    </row>
    <row r="630" spans="1:25" x14ac:dyDescent="0.3">
      <c r="A630" t="s">
        <v>1186</v>
      </c>
      <c r="B630" t="s">
        <v>1187</v>
      </c>
      <c r="C630">
        <v>1</v>
      </c>
      <c r="D630" s="1">
        <v>44571</v>
      </c>
      <c r="E630">
        <v>254</v>
      </c>
      <c r="F630">
        <v>0</v>
      </c>
      <c r="G630">
        <v>0</v>
      </c>
      <c r="H630">
        <v>4</v>
      </c>
      <c r="I630">
        <v>23</v>
      </c>
      <c r="J630">
        <v>0</v>
      </c>
      <c r="K630">
        <v>0</v>
      </c>
      <c r="L630">
        <v>71014967</v>
      </c>
      <c r="M630">
        <v>145</v>
      </c>
      <c r="N630" t="s">
        <v>81</v>
      </c>
      <c r="O630" t="s">
        <v>28</v>
      </c>
      <c r="P630">
        <v>41</v>
      </c>
      <c r="Q630">
        <v>65</v>
      </c>
      <c r="R630" t="str" cm="1">
        <f t="array" ref="R630">_xlfn.IFS(Q630&gt;70,"Good",Q630&lt;40,"Bad",(Q630&gt;OS668*(Q630&lt;80)),"Ok")</f>
        <v>Ok</v>
      </c>
      <c r="S630">
        <v>88</v>
      </c>
      <c r="T630" t="str" cm="1">
        <f t="array" ref="T630">_xlfn.IFS(S630&gt;50, "High", S630&lt;=50, "Low")</f>
        <v>High</v>
      </c>
      <c r="U630">
        <v>0</v>
      </c>
      <c r="V630">
        <v>0</v>
      </c>
      <c r="W630">
        <v>26</v>
      </c>
      <c r="X630">
        <v>5</v>
      </c>
      <c r="Y630">
        <f t="shared" ca="1" si="9"/>
        <v>40.043427399996524</v>
      </c>
    </row>
    <row r="631" spans="1:25" x14ac:dyDescent="0.3">
      <c r="A631" t="s">
        <v>1188</v>
      </c>
      <c r="B631" t="s">
        <v>1189</v>
      </c>
      <c r="C631">
        <v>2</v>
      </c>
      <c r="D631" s="1">
        <v>44435</v>
      </c>
      <c r="E631">
        <v>6308</v>
      </c>
      <c r="F631">
        <v>5</v>
      </c>
      <c r="G631">
        <v>114</v>
      </c>
      <c r="H631">
        <v>15</v>
      </c>
      <c r="I631">
        <v>63</v>
      </c>
      <c r="J631">
        <v>0</v>
      </c>
      <c r="K631">
        <v>2</v>
      </c>
      <c r="L631">
        <v>560222750</v>
      </c>
      <c r="M631">
        <v>134</v>
      </c>
      <c r="N631" t="s">
        <v>31</v>
      </c>
      <c r="O631" t="s">
        <v>28</v>
      </c>
      <c r="P631">
        <v>71</v>
      </c>
      <c r="Q631">
        <v>14</v>
      </c>
      <c r="R631" t="str" cm="1">
        <f t="array" ref="R631">_xlfn.IFS(Q631&gt;70,"Good",Q631&lt;40,"Bad",(Q631&gt;OS669*(Q631&lt;80)),"Ok")</f>
        <v>Bad</v>
      </c>
      <c r="S631">
        <v>61</v>
      </c>
      <c r="T631" t="str" cm="1">
        <f t="array" ref="T631">_xlfn.IFS(S631&gt;50, "High", S631&lt;=50, "Low")</f>
        <v>High</v>
      </c>
      <c r="U631">
        <v>1</v>
      </c>
      <c r="V631">
        <v>0</v>
      </c>
      <c r="W631">
        <v>23</v>
      </c>
      <c r="X631">
        <v>33</v>
      </c>
      <c r="Y631">
        <f t="shared" ca="1" si="9"/>
        <v>55.907142720250114</v>
      </c>
    </row>
    <row r="632" spans="1:25" x14ac:dyDescent="0.3">
      <c r="A632" t="s">
        <v>1190</v>
      </c>
      <c r="B632" t="s">
        <v>1191</v>
      </c>
      <c r="C632">
        <v>1</v>
      </c>
      <c r="D632" s="1">
        <v>37887</v>
      </c>
      <c r="E632">
        <v>51979</v>
      </c>
      <c r="F632">
        <v>15</v>
      </c>
      <c r="G632">
        <v>306</v>
      </c>
      <c r="H632">
        <v>99</v>
      </c>
      <c r="I632" s="2">
        <v>5063</v>
      </c>
      <c r="J632">
        <v>2</v>
      </c>
      <c r="K632">
        <v>120</v>
      </c>
      <c r="L632">
        <v>1806617704</v>
      </c>
      <c r="M632">
        <v>148</v>
      </c>
      <c r="N632" t="s">
        <v>31</v>
      </c>
      <c r="O632" t="s">
        <v>28</v>
      </c>
      <c r="P632">
        <v>35</v>
      </c>
      <c r="Q632">
        <v>24</v>
      </c>
      <c r="R632" t="str" cm="1">
        <f t="array" ref="R632">_xlfn.IFS(Q632&gt;70,"Good",Q632&lt;40,"Bad",(Q632&gt;OS670*(Q632&lt;80)),"Ok")</f>
        <v>Bad</v>
      </c>
      <c r="S632">
        <v>93</v>
      </c>
      <c r="T632" t="str" cm="1">
        <f t="array" ref="T632">_xlfn.IFS(S632&gt;50, "High", S632&lt;=50, "Low")</f>
        <v>High</v>
      </c>
      <c r="U632">
        <v>0</v>
      </c>
      <c r="V632">
        <v>0</v>
      </c>
      <c r="W632">
        <v>10</v>
      </c>
      <c r="X632">
        <v>8</v>
      </c>
      <c r="Y632">
        <f t="shared" ca="1" si="9"/>
        <v>66.179889475041364</v>
      </c>
    </row>
    <row r="633" spans="1:25" x14ac:dyDescent="0.3">
      <c r="A633" t="s">
        <v>1192</v>
      </c>
      <c r="B633" t="s">
        <v>599</v>
      </c>
      <c r="C633">
        <v>1</v>
      </c>
      <c r="D633" s="1">
        <v>44571</v>
      </c>
      <c r="E633">
        <v>246</v>
      </c>
      <c r="F633">
        <v>0</v>
      </c>
      <c r="G633">
        <v>2</v>
      </c>
      <c r="H633">
        <v>12</v>
      </c>
      <c r="I633">
        <v>10</v>
      </c>
      <c r="J633">
        <v>0</v>
      </c>
      <c r="K633">
        <v>0</v>
      </c>
      <c r="L633">
        <v>77337771</v>
      </c>
      <c r="M633">
        <v>127</v>
      </c>
      <c r="N633" t="s">
        <v>134</v>
      </c>
      <c r="O633" t="s">
        <v>45</v>
      </c>
      <c r="P633">
        <v>60</v>
      </c>
      <c r="Q633">
        <v>40</v>
      </c>
      <c r="R633" t="str" cm="1">
        <f t="array" ref="R633">_xlfn.IFS(Q633&gt;70,"Good",Q633&lt;40,"Bad",(Q633&gt;OS671*(Q633&lt;80)),"Ok")</f>
        <v>Ok</v>
      </c>
      <c r="S633">
        <v>89</v>
      </c>
      <c r="T633" t="str" cm="1">
        <f t="array" ref="T633">_xlfn.IFS(S633&gt;50, "High", S633&lt;=50, "Low")</f>
        <v>High</v>
      </c>
      <c r="U633">
        <v>9</v>
      </c>
      <c r="V633">
        <v>0</v>
      </c>
      <c r="W633">
        <v>60</v>
      </c>
      <c r="X633">
        <v>6</v>
      </c>
      <c r="Y633">
        <f t="shared" ca="1" si="9"/>
        <v>91.82773342353201</v>
      </c>
    </row>
    <row r="634" spans="1:25" x14ac:dyDescent="0.3">
      <c r="A634" t="s">
        <v>496</v>
      </c>
      <c r="B634" t="s">
        <v>1193</v>
      </c>
      <c r="C634">
        <v>3</v>
      </c>
      <c r="D634" s="1">
        <v>44371</v>
      </c>
      <c r="E634">
        <v>6556</v>
      </c>
      <c r="F634">
        <v>0</v>
      </c>
      <c r="G634">
        <v>93</v>
      </c>
      <c r="H634">
        <v>5</v>
      </c>
      <c r="I634">
        <v>67</v>
      </c>
      <c r="J634">
        <v>1</v>
      </c>
      <c r="K634">
        <v>0</v>
      </c>
      <c r="L634">
        <v>528544703</v>
      </c>
      <c r="M634">
        <v>172</v>
      </c>
      <c r="N634" t="s">
        <v>65</v>
      </c>
      <c r="O634" t="s">
        <v>45</v>
      </c>
      <c r="P634">
        <v>74</v>
      </c>
      <c r="Q634">
        <v>79</v>
      </c>
      <c r="R634" t="str" cm="1">
        <f t="array" ref="R634">_xlfn.IFS(Q634&gt;70,"Good",Q634&lt;40,"Bad",(Q634&gt;OS672*(Q634&lt;80)),"Ok")</f>
        <v>Good</v>
      </c>
      <c r="S634">
        <v>66</v>
      </c>
      <c r="T634" t="str" cm="1">
        <f t="array" ref="T634">_xlfn.IFS(S634&gt;50, "High", S634&lt;=50, "Low")</f>
        <v>High</v>
      </c>
      <c r="U634">
        <v>11</v>
      </c>
      <c r="V634">
        <v>0</v>
      </c>
      <c r="W634">
        <v>8</v>
      </c>
      <c r="X634">
        <v>16</v>
      </c>
      <c r="Y634">
        <f t="shared" ca="1" si="9"/>
        <v>57.947976167228667</v>
      </c>
    </row>
    <row r="635" spans="1:25" x14ac:dyDescent="0.3">
      <c r="A635" t="s">
        <v>1194</v>
      </c>
      <c r="B635" t="s">
        <v>905</v>
      </c>
      <c r="C635">
        <v>1</v>
      </c>
      <c r="D635" s="1">
        <v>43776</v>
      </c>
      <c r="E635">
        <v>5728</v>
      </c>
      <c r="F635">
        <v>0</v>
      </c>
      <c r="G635">
        <v>85</v>
      </c>
      <c r="H635">
        <v>87</v>
      </c>
      <c r="I635">
        <v>179</v>
      </c>
      <c r="J635">
        <v>0</v>
      </c>
      <c r="K635">
        <v>12</v>
      </c>
      <c r="L635">
        <v>865640097</v>
      </c>
      <c r="M635">
        <v>90</v>
      </c>
      <c r="N635" t="s">
        <v>27</v>
      </c>
      <c r="O635" t="s">
        <v>28</v>
      </c>
      <c r="P635">
        <v>75</v>
      </c>
      <c r="Q635">
        <v>19</v>
      </c>
      <c r="R635" t="str" cm="1">
        <f t="array" ref="R635">_xlfn.IFS(Q635&gt;70,"Good",Q635&lt;40,"Bad",(Q635&gt;OS673*(Q635&lt;80)),"Ok")</f>
        <v>Bad</v>
      </c>
      <c r="S635">
        <v>46</v>
      </c>
      <c r="T635" t="str" cm="1">
        <f t="array" ref="T635">_xlfn.IFS(S635&gt;50, "High", S635&lt;=50, "Low")</f>
        <v>Low</v>
      </c>
      <c r="U635">
        <v>21</v>
      </c>
      <c r="V635">
        <v>4</v>
      </c>
      <c r="W635">
        <v>34</v>
      </c>
      <c r="X635">
        <v>8</v>
      </c>
      <c r="Y635">
        <f t="shared" ca="1" si="9"/>
        <v>5.9957663117109705</v>
      </c>
    </row>
    <row r="636" spans="1:25" x14ac:dyDescent="0.3">
      <c r="A636" t="s">
        <v>1195</v>
      </c>
      <c r="B636" t="s">
        <v>1196</v>
      </c>
      <c r="C636">
        <v>2</v>
      </c>
      <c r="D636" s="1">
        <v>43370</v>
      </c>
      <c r="E636">
        <v>16636</v>
      </c>
      <c r="F636">
        <v>12</v>
      </c>
      <c r="G636">
        <v>368</v>
      </c>
      <c r="H636">
        <v>155</v>
      </c>
      <c r="I636" s="2">
        <v>2854</v>
      </c>
      <c r="J636">
        <v>6</v>
      </c>
      <c r="K636">
        <v>121</v>
      </c>
      <c r="L636">
        <v>2159346687</v>
      </c>
      <c r="M636">
        <v>96</v>
      </c>
      <c r="N636" t="s">
        <v>94</v>
      </c>
      <c r="O636" t="s">
        <v>28</v>
      </c>
      <c r="P636">
        <v>57</v>
      </c>
      <c r="Q636">
        <v>30</v>
      </c>
      <c r="R636" t="str" cm="1">
        <f t="array" ref="R636">_xlfn.IFS(Q636&gt;70,"Good",Q636&lt;40,"Bad",(Q636&gt;OS674*(Q636&lt;80)),"Ok")</f>
        <v>Bad</v>
      </c>
      <c r="S636">
        <v>40</v>
      </c>
      <c r="T636" t="str" cm="1">
        <f t="array" ref="T636">_xlfn.IFS(S636&gt;50, "High", S636&lt;=50, "Low")</f>
        <v>Low</v>
      </c>
      <c r="U636">
        <v>38</v>
      </c>
      <c r="V636">
        <v>0</v>
      </c>
      <c r="W636">
        <v>26</v>
      </c>
      <c r="X636">
        <v>3</v>
      </c>
      <c r="Y636">
        <f t="shared" ca="1" si="9"/>
        <v>49.315693141007799</v>
      </c>
    </row>
    <row r="637" spans="1:25" x14ac:dyDescent="0.3">
      <c r="A637" t="s">
        <v>1197</v>
      </c>
      <c r="B637" t="s">
        <v>599</v>
      </c>
      <c r="C637">
        <v>1</v>
      </c>
      <c r="D637" s="1">
        <v>44571</v>
      </c>
      <c r="E637">
        <v>461</v>
      </c>
      <c r="F637">
        <v>0</v>
      </c>
      <c r="G637">
        <v>10</v>
      </c>
      <c r="H637">
        <v>56</v>
      </c>
      <c r="I637">
        <v>17</v>
      </c>
      <c r="J637">
        <v>0</v>
      </c>
      <c r="K637">
        <v>0</v>
      </c>
      <c r="L637">
        <v>211372494</v>
      </c>
      <c r="M637">
        <v>138</v>
      </c>
      <c r="N637" t="s">
        <v>94</v>
      </c>
      <c r="O637" t="s">
        <v>45</v>
      </c>
      <c r="P637">
        <v>74</v>
      </c>
      <c r="Q637">
        <v>65</v>
      </c>
      <c r="R637" t="str" cm="1">
        <f t="array" ref="R637">_xlfn.IFS(Q637&gt;70,"Good",Q637&lt;40,"Bad",(Q637&gt;OS675*(Q637&lt;80)),"Ok")</f>
        <v>Ok</v>
      </c>
      <c r="S637">
        <v>67</v>
      </c>
      <c r="T637" t="str" cm="1">
        <f t="array" ref="T637">_xlfn.IFS(S637&gt;50, "High", S637&lt;=50, "Low")</f>
        <v>High</v>
      </c>
      <c r="U637">
        <v>46</v>
      </c>
      <c r="V637">
        <v>0</v>
      </c>
      <c r="W637">
        <v>36</v>
      </c>
      <c r="X637">
        <v>4</v>
      </c>
      <c r="Y637">
        <f t="shared" ca="1" si="9"/>
        <v>55.794899488332028</v>
      </c>
    </row>
    <row r="638" spans="1:25" x14ac:dyDescent="0.3">
      <c r="A638" t="s">
        <v>1198</v>
      </c>
      <c r="B638" t="s">
        <v>1199</v>
      </c>
      <c r="C638">
        <v>2</v>
      </c>
      <c r="D638" s="1">
        <v>44314</v>
      </c>
      <c r="E638">
        <v>4893</v>
      </c>
      <c r="F638">
        <v>4</v>
      </c>
      <c r="G638">
        <v>143</v>
      </c>
      <c r="H638">
        <v>24</v>
      </c>
      <c r="I638">
        <v>110</v>
      </c>
      <c r="J638">
        <v>0</v>
      </c>
      <c r="K638">
        <v>70</v>
      </c>
      <c r="L638">
        <v>651732901</v>
      </c>
      <c r="M638">
        <v>120</v>
      </c>
      <c r="N638" t="s">
        <v>94</v>
      </c>
      <c r="O638" t="s">
        <v>28</v>
      </c>
      <c r="P638">
        <v>72</v>
      </c>
      <c r="Q638">
        <v>67</v>
      </c>
      <c r="R638" t="str" cm="1">
        <f t="array" ref="R638">_xlfn.IFS(Q638&gt;70,"Good",Q638&lt;40,"Bad",(Q638&gt;OS676*(Q638&lt;80)),"Ok")</f>
        <v>Ok</v>
      </c>
      <c r="S638">
        <v>72</v>
      </c>
      <c r="T638" t="str" cm="1">
        <f t="array" ref="T638">_xlfn.IFS(S638&gt;50, "High", S638&lt;=50, "Low")</f>
        <v>High</v>
      </c>
      <c r="U638">
        <v>0</v>
      </c>
      <c r="V638">
        <v>0</v>
      </c>
      <c r="W638">
        <v>13</v>
      </c>
      <c r="X638">
        <v>4</v>
      </c>
      <c r="Y638">
        <f t="shared" ca="1" si="9"/>
        <v>99.801730370793834</v>
      </c>
    </row>
    <row r="639" spans="1:25" x14ac:dyDescent="0.3">
      <c r="A639" t="s">
        <v>1200</v>
      </c>
      <c r="B639" t="s">
        <v>312</v>
      </c>
      <c r="C639">
        <v>1</v>
      </c>
      <c r="D639" s="1">
        <v>44386</v>
      </c>
      <c r="E639">
        <v>1801</v>
      </c>
      <c r="F639">
        <v>2</v>
      </c>
      <c r="G639">
        <v>77</v>
      </c>
      <c r="H639">
        <v>134</v>
      </c>
      <c r="I639">
        <v>74</v>
      </c>
      <c r="J639">
        <v>0</v>
      </c>
      <c r="K639">
        <v>2</v>
      </c>
      <c r="L639">
        <v>608334048</v>
      </c>
      <c r="M639">
        <v>125</v>
      </c>
      <c r="N639" t="s">
        <v>37</v>
      </c>
      <c r="O639" t="s">
        <v>28</v>
      </c>
      <c r="P639">
        <v>70</v>
      </c>
      <c r="Q639">
        <v>65</v>
      </c>
      <c r="R639" t="str" cm="1">
        <f t="array" ref="R639">_xlfn.IFS(Q639&gt;70,"Good",Q639&lt;40,"Bad",(Q639&gt;OS677*(Q639&lt;80)),"Ok")</f>
        <v>Ok</v>
      </c>
      <c r="S639">
        <v>74</v>
      </c>
      <c r="T639" t="str" cm="1">
        <f t="array" ref="T639">_xlfn.IFS(S639&gt;50, "High", S639&lt;=50, "Low")</f>
        <v>High</v>
      </c>
      <c r="U639">
        <v>1</v>
      </c>
      <c r="V639">
        <v>0</v>
      </c>
      <c r="W639">
        <v>34</v>
      </c>
      <c r="X639">
        <v>4</v>
      </c>
      <c r="Y639">
        <f t="shared" ca="1" si="9"/>
        <v>11.06715751768883</v>
      </c>
    </row>
    <row r="640" spans="1:25" x14ac:dyDescent="0.3">
      <c r="A640" t="s">
        <v>223</v>
      </c>
      <c r="B640" t="s">
        <v>1201</v>
      </c>
      <c r="C640">
        <v>4</v>
      </c>
      <c r="D640" s="1">
        <v>44211</v>
      </c>
      <c r="E640">
        <v>12043</v>
      </c>
      <c r="F640">
        <v>0</v>
      </c>
      <c r="G640">
        <v>209</v>
      </c>
      <c r="H640">
        <v>54</v>
      </c>
      <c r="I640">
        <v>710</v>
      </c>
      <c r="J640">
        <v>0</v>
      </c>
      <c r="K640">
        <v>18</v>
      </c>
      <c r="L640">
        <v>863756573</v>
      </c>
      <c r="M640">
        <v>123</v>
      </c>
      <c r="N640" t="s">
        <v>61</v>
      </c>
      <c r="O640" t="s">
        <v>28</v>
      </c>
      <c r="P640">
        <v>82</v>
      </c>
      <c r="Q640">
        <v>80</v>
      </c>
      <c r="R640" t="str" cm="1">
        <f t="array" ref="R640">_xlfn.IFS(Q640&gt;70,"Good",Q640&lt;40,"Bad",(Q640&gt;OS678*(Q640&lt;80)),"Ok")</f>
        <v>Good</v>
      </c>
      <c r="S640">
        <v>86</v>
      </c>
      <c r="T640" t="str" cm="1">
        <f t="array" ref="T640">_xlfn.IFS(S640&gt;50, "High", S640&lt;=50, "Low")</f>
        <v>High</v>
      </c>
      <c r="U640">
        <v>1</v>
      </c>
      <c r="V640">
        <v>0</v>
      </c>
      <c r="W640">
        <v>30</v>
      </c>
      <c r="X640">
        <v>13</v>
      </c>
      <c r="Y640">
        <f t="shared" ca="1" si="9"/>
        <v>66.447097681723136</v>
      </c>
    </row>
    <row r="641" spans="1:25" x14ac:dyDescent="0.3">
      <c r="A641" t="s">
        <v>1202</v>
      </c>
      <c r="B641" t="s">
        <v>1203</v>
      </c>
      <c r="C641">
        <v>1</v>
      </c>
      <c r="D641" s="1">
        <v>44295</v>
      </c>
      <c r="E641">
        <v>4731</v>
      </c>
      <c r="F641">
        <v>0</v>
      </c>
      <c r="G641">
        <v>141</v>
      </c>
      <c r="H641">
        <v>12</v>
      </c>
      <c r="I641">
        <v>78</v>
      </c>
      <c r="J641">
        <v>0</v>
      </c>
      <c r="K641">
        <v>0</v>
      </c>
      <c r="L641">
        <v>797402345</v>
      </c>
      <c r="M641">
        <v>81</v>
      </c>
      <c r="N641" t="s">
        <v>65</v>
      </c>
      <c r="O641" t="s">
        <v>28</v>
      </c>
      <c r="P641">
        <v>79</v>
      </c>
      <c r="Q641">
        <v>44</v>
      </c>
      <c r="R641" t="str" cm="1">
        <f t="array" ref="R641">_xlfn.IFS(Q641&gt;70,"Good",Q641&lt;40,"Bad",(Q641&gt;OS679*(Q641&lt;80)),"Ok")</f>
        <v>Ok</v>
      </c>
      <c r="S641">
        <v>54</v>
      </c>
      <c r="T641" t="str" cm="1">
        <f t="array" ref="T641">_xlfn.IFS(S641&gt;50, "High", S641&lt;=50, "Low")</f>
        <v>High</v>
      </c>
      <c r="U641">
        <v>41</v>
      </c>
      <c r="V641">
        <v>0</v>
      </c>
      <c r="W641">
        <v>13</v>
      </c>
      <c r="X641">
        <v>24</v>
      </c>
      <c r="Y641">
        <f t="shared" ca="1" si="9"/>
        <v>74.474078138214566</v>
      </c>
    </row>
    <row r="642" spans="1:25" x14ac:dyDescent="0.3">
      <c r="A642" t="s">
        <v>1204</v>
      </c>
      <c r="B642" t="s">
        <v>1205</v>
      </c>
      <c r="C642">
        <v>2</v>
      </c>
      <c r="D642" s="1">
        <v>37402</v>
      </c>
      <c r="E642">
        <v>22923</v>
      </c>
      <c r="F642">
        <v>0</v>
      </c>
      <c r="G642">
        <v>78</v>
      </c>
      <c r="H642">
        <v>46</v>
      </c>
      <c r="I642" s="2">
        <v>2515</v>
      </c>
      <c r="J642">
        <v>1</v>
      </c>
      <c r="K642">
        <v>0</v>
      </c>
      <c r="L642">
        <v>1695712020</v>
      </c>
      <c r="M642">
        <v>171</v>
      </c>
      <c r="N642" t="s">
        <v>31</v>
      </c>
      <c r="O642" t="s">
        <v>28</v>
      </c>
      <c r="P642">
        <v>55</v>
      </c>
      <c r="Q642">
        <v>10</v>
      </c>
      <c r="R642" t="str" cm="1">
        <f t="array" ref="R642">_xlfn.IFS(Q642&gt;70,"Good",Q642&lt;40,"Bad",(Q642&gt;OS680*(Q642&lt;80)),"Ok")</f>
        <v>Bad</v>
      </c>
      <c r="S642">
        <v>85</v>
      </c>
      <c r="T642" t="str" cm="1">
        <f t="array" ref="T642">_xlfn.IFS(S642&gt;50, "High", S642&lt;=50, "Low")</f>
        <v>High</v>
      </c>
      <c r="U642">
        <v>7</v>
      </c>
      <c r="V642">
        <v>0</v>
      </c>
      <c r="W642">
        <v>8</v>
      </c>
      <c r="X642">
        <v>20</v>
      </c>
      <c r="Y642">
        <f t="shared" ref="Y642:Y705" ca="1" si="10">RAND()*100</f>
        <v>97.966110431676185</v>
      </c>
    </row>
    <row r="643" spans="1:25" x14ac:dyDescent="0.3">
      <c r="A643" t="s">
        <v>1206</v>
      </c>
      <c r="B643" t="s">
        <v>1207</v>
      </c>
      <c r="C643">
        <v>1</v>
      </c>
      <c r="D643" s="1">
        <v>43728</v>
      </c>
      <c r="E643">
        <v>9974</v>
      </c>
      <c r="F643">
        <v>2</v>
      </c>
      <c r="G643">
        <v>272</v>
      </c>
      <c r="H643">
        <v>67</v>
      </c>
      <c r="I643" s="2">
        <v>1066</v>
      </c>
      <c r="J643">
        <v>1</v>
      </c>
      <c r="K643">
        <v>19</v>
      </c>
      <c r="L643">
        <v>1759567999</v>
      </c>
      <c r="M643">
        <v>91</v>
      </c>
      <c r="N643" t="s">
        <v>27</v>
      </c>
      <c r="O643" t="s">
        <v>28</v>
      </c>
      <c r="P643">
        <v>77</v>
      </c>
      <c r="Q643">
        <v>60</v>
      </c>
      <c r="R643" t="str" cm="1">
        <f t="array" ref="R643">_xlfn.IFS(Q643&gt;70,"Good",Q643&lt;40,"Bad",(Q643&gt;OS681*(Q643&lt;80)),"Ok")</f>
        <v>Ok</v>
      </c>
      <c r="S643">
        <v>32</v>
      </c>
      <c r="T643" t="str" cm="1">
        <f t="array" ref="T643">_xlfn.IFS(S643&gt;50, "High", S643&lt;=50, "Low")</f>
        <v>Low</v>
      </c>
      <c r="U643">
        <v>84</v>
      </c>
      <c r="V643">
        <v>0</v>
      </c>
      <c r="W643">
        <v>8</v>
      </c>
      <c r="X643">
        <v>5</v>
      </c>
      <c r="Y643">
        <f t="shared" ca="1" si="10"/>
        <v>48.784038337930369</v>
      </c>
    </row>
    <row r="644" spans="1:25" x14ac:dyDescent="0.3">
      <c r="A644" t="s">
        <v>1208</v>
      </c>
      <c r="B644" t="s">
        <v>1209</v>
      </c>
      <c r="C644">
        <v>8</v>
      </c>
      <c r="D644" s="1">
        <v>44420</v>
      </c>
      <c r="E644">
        <v>1560</v>
      </c>
      <c r="F644">
        <v>0</v>
      </c>
      <c r="G644">
        <v>72</v>
      </c>
      <c r="H644">
        <v>0</v>
      </c>
      <c r="I644">
        <v>0</v>
      </c>
      <c r="J644">
        <v>0</v>
      </c>
      <c r="K644">
        <v>0</v>
      </c>
      <c r="L644">
        <v>223319934</v>
      </c>
      <c r="M644">
        <v>84</v>
      </c>
      <c r="N644" t="s">
        <v>94</v>
      </c>
      <c r="O644" t="s">
        <v>45</v>
      </c>
      <c r="P644">
        <v>56</v>
      </c>
      <c r="Q644">
        <v>61</v>
      </c>
      <c r="R644" t="str" cm="1">
        <f t="array" ref="R644">_xlfn.IFS(Q644&gt;70,"Good",Q644&lt;40,"Bad",(Q644&gt;OS682*(Q644&lt;80)),"Ok")</f>
        <v>Ok</v>
      </c>
      <c r="S644">
        <v>76</v>
      </c>
      <c r="T644" t="str" cm="1">
        <f t="array" ref="T644">_xlfn.IFS(S644&gt;50, "High", S644&lt;=50, "Low")</f>
        <v>High</v>
      </c>
      <c r="U644">
        <v>10</v>
      </c>
      <c r="V644">
        <v>0</v>
      </c>
      <c r="W644">
        <v>14</v>
      </c>
      <c r="X644">
        <v>11</v>
      </c>
      <c r="Y644">
        <f t="shared" ca="1" si="10"/>
        <v>92.296273770877917</v>
      </c>
    </row>
    <row r="645" spans="1:25" x14ac:dyDescent="0.3">
      <c r="A645" t="s">
        <v>108</v>
      </c>
      <c r="B645" t="s">
        <v>1210</v>
      </c>
      <c r="C645">
        <v>2</v>
      </c>
      <c r="D645" s="1">
        <v>44568</v>
      </c>
      <c r="E645">
        <v>620</v>
      </c>
      <c r="F645">
        <v>0</v>
      </c>
      <c r="G645">
        <v>17</v>
      </c>
      <c r="H645">
        <v>3</v>
      </c>
      <c r="I645">
        <v>3</v>
      </c>
      <c r="J645">
        <v>0</v>
      </c>
      <c r="K645">
        <v>0</v>
      </c>
      <c r="L645">
        <v>54937991</v>
      </c>
      <c r="M645">
        <v>115</v>
      </c>
      <c r="N645" t="s">
        <v>34</v>
      </c>
      <c r="O645" t="s">
        <v>45</v>
      </c>
      <c r="P645">
        <v>90</v>
      </c>
      <c r="Q645">
        <v>74</v>
      </c>
      <c r="R645" t="str" cm="1">
        <f t="array" ref="R645">_xlfn.IFS(Q645&gt;70,"Good",Q645&lt;40,"Bad",(Q645&gt;OS683*(Q645&lt;80)),"Ok")</f>
        <v>Good</v>
      </c>
      <c r="S645">
        <v>54</v>
      </c>
      <c r="T645" t="str" cm="1">
        <f t="array" ref="T645">_xlfn.IFS(S645&gt;50, "High", S645&lt;=50, "Low")</f>
        <v>High</v>
      </c>
      <c r="U645">
        <v>16</v>
      </c>
      <c r="V645">
        <v>0</v>
      </c>
      <c r="W645">
        <v>13</v>
      </c>
      <c r="X645">
        <v>28</v>
      </c>
      <c r="Y645">
        <f t="shared" ca="1" si="10"/>
        <v>65.486903918103707</v>
      </c>
    </row>
    <row r="646" spans="1:25" x14ac:dyDescent="0.3">
      <c r="A646" t="s">
        <v>1211</v>
      </c>
      <c r="B646" t="s">
        <v>1212</v>
      </c>
      <c r="C646">
        <v>2</v>
      </c>
      <c r="D646" s="1">
        <v>44559</v>
      </c>
      <c r="E646">
        <v>3270</v>
      </c>
      <c r="F646">
        <v>0</v>
      </c>
      <c r="G646">
        <v>89</v>
      </c>
      <c r="H646">
        <v>21</v>
      </c>
      <c r="I646">
        <v>65</v>
      </c>
      <c r="J646">
        <v>0</v>
      </c>
      <c r="K646">
        <v>0</v>
      </c>
      <c r="L646">
        <v>226897599</v>
      </c>
      <c r="M646">
        <v>125</v>
      </c>
      <c r="O646" t="s">
        <v>28</v>
      </c>
      <c r="P646">
        <v>69</v>
      </c>
      <c r="Q646">
        <v>70</v>
      </c>
      <c r="R646" t="str" cm="1">
        <f t="array" ref="R646">_xlfn.IFS(Q646&gt;70,"Good",Q646&lt;40,"Bad",(Q646&gt;OS684*(Q646&lt;80)),"Ok")</f>
        <v>Ok</v>
      </c>
      <c r="S646">
        <v>89</v>
      </c>
      <c r="T646" t="str" cm="1">
        <f t="array" ref="T646">_xlfn.IFS(S646&gt;50, "High", S646&lt;=50, "Low")</f>
        <v>High</v>
      </c>
      <c r="U646">
        <v>4</v>
      </c>
      <c r="V646">
        <v>0</v>
      </c>
      <c r="W646">
        <v>49</v>
      </c>
      <c r="X646">
        <v>3</v>
      </c>
      <c r="Y646">
        <f t="shared" ca="1" si="10"/>
        <v>8.370296610043793</v>
      </c>
    </row>
    <row r="647" spans="1:25" x14ac:dyDescent="0.3">
      <c r="A647" t="s">
        <v>1213</v>
      </c>
      <c r="B647" t="s">
        <v>1214</v>
      </c>
      <c r="C647">
        <v>2</v>
      </c>
      <c r="D647" s="1">
        <v>44483</v>
      </c>
      <c r="E647">
        <v>580</v>
      </c>
      <c r="F647">
        <v>0</v>
      </c>
      <c r="G647">
        <v>24</v>
      </c>
      <c r="H647">
        <v>92</v>
      </c>
      <c r="I647">
        <v>93</v>
      </c>
      <c r="J647">
        <v>0</v>
      </c>
      <c r="K647">
        <v>0</v>
      </c>
      <c r="L647">
        <v>258316038</v>
      </c>
      <c r="M647">
        <v>122</v>
      </c>
      <c r="N647" t="s">
        <v>65</v>
      </c>
      <c r="O647" t="s">
        <v>45</v>
      </c>
      <c r="P647">
        <v>80</v>
      </c>
      <c r="Q647">
        <v>62</v>
      </c>
      <c r="R647" t="str" cm="1">
        <f t="array" ref="R647">_xlfn.IFS(Q647&gt;70,"Good",Q647&lt;40,"Bad",(Q647&gt;OS685*(Q647&lt;80)),"Ok")</f>
        <v>Ok</v>
      </c>
      <c r="S647">
        <v>69</v>
      </c>
      <c r="T647" t="str" cm="1">
        <f t="array" ref="T647">_xlfn.IFS(S647&gt;50, "High", S647&lt;=50, "Low")</f>
        <v>High</v>
      </c>
      <c r="U647">
        <v>28</v>
      </c>
      <c r="V647">
        <v>0</v>
      </c>
      <c r="W647">
        <v>13</v>
      </c>
      <c r="X647">
        <v>7</v>
      </c>
      <c r="Y647">
        <f t="shared" ca="1" si="10"/>
        <v>84.956885672208017</v>
      </c>
    </row>
    <row r="648" spans="1:25" x14ac:dyDescent="0.3">
      <c r="A648" t="s">
        <v>343</v>
      </c>
      <c r="B648" t="s">
        <v>1215</v>
      </c>
      <c r="C648">
        <v>2</v>
      </c>
      <c r="D648" s="1">
        <v>44315</v>
      </c>
      <c r="E648">
        <v>3406</v>
      </c>
      <c r="F648">
        <v>16</v>
      </c>
      <c r="G648">
        <v>61</v>
      </c>
      <c r="H648">
        <v>23</v>
      </c>
      <c r="I648">
        <v>70</v>
      </c>
      <c r="J648">
        <v>1</v>
      </c>
      <c r="K648">
        <v>0</v>
      </c>
      <c r="L648">
        <v>596152090</v>
      </c>
      <c r="M648">
        <v>92</v>
      </c>
      <c r="N648" t="s">
        <v>61</v>
      </c>
      <c r="O648" t="s">
        <v>28</v>
      </c>
      <c r="P648">
        <v>85</v>
      </c>
      <c r="Q648">
        <v>92</v>
      </c>
      <c r="R648" t="str" cm="1">
        <f t="array" ref="R648">_xlfn.IFS(Q648&gt;70,"Good",Q648&lt;40,"Bad",(Q648&gt;OS686*(Q648&lt;80)),"Ok")</f>
        <v>Good</v>
      </c>
      <c r="S648">
        <v>54</v>
      </c>
      <c r="T648" t="str" cm="1">
        <f t="array" ref="T648">_xlfn.IFS(S648&gt;50, "High", S648&lt;=50, "Low")</f>
        <v>High</v>
      </c>
      <c r="U648">
        <v>16</v>
      </c>
      <c r="V648">
        <v>0</v>
      </c>
      <c r="W648">
        <v>29</v>
      </c>
      <c r="X648">
        <v>7</v>
      </c>
      <c r="Y648">
        <f t="shared" ca="1" si="10"/>
        <v>5.3909596305950824</v>
      </c>
    </row>
    <row r="649" spans="1:25" x14ac:dyDescent="0.3">
      <c r="A649" t="s">
        <v>291</v>
      </c>
      <c r="B649" t="s">
        <v>1216</v>
      </c>
      <c r="C649">
        <v>3</v>
      </c>
      <c r="D649" s="1">
        <v>44518</v>
      </c>
      <c r="E649">
        <v>903</v>
      </c>
      <c r="F649">
        <v>0</v>
      </c>
      <c r="G649">
        <v>30</v>
      </c>
      <c r="H649">
        <v>26</v>
      </c>
      <c r="I649">
        <v>15</v>
      </c>
      <c r="J649">
        <v>0</v>
      </c>
      <c r="K649">
        <v>0</v>
      </c>
      <c r="L649">
        <v>177129919</v>
      </c>
      <c r="M649">
        <v>90</v>
      </c>
      <c r="N649" t="s">
        <v>65</v>
      </c>
      <c r="O649" t="s">
        <v>45</v>
      </c>
      <c r="P649">
        <v>63</v>
      </c>
      <c r="Q649">
        <v>75</v>
      </c>
      <c r="R649" t="str" cm="1">
        <f t="array" ref="R649">_xlfn.IFS(Q649&gt;70,"Good",Q649&lt;40,"Bad",(Q649&gt;OS687*(Q649&lt;80)),"Ok")</f>
        <v>Good</v>
      </c>
      <c r="S649">
        <v>75</v>
      </c>
      <c r="T649" t="str" cm="1">
        <f t="array" ref="T649">_xlfn.IFS(S649&gt;50, "High", S649&lt;=50, "Low")</f>
        <v>High</v>
      </c>
      <c r="U649">
        <v>17</v>
      </c>
      <c r="V649">
        <v>0</v>
      </c>
      <c r="W649">
        <v>11</v>
      </c>
      <c r="X649">
        <v>8</v>
      </c>
      <c r="Y649">
        <f t="shared" ca="1" si="10"/>
        <v>95.881014132226369</v>
      </c>
    </row>
    <row r="650" spans="1:25" x14ac:dyDescent="0.3">
      <c r="A650" t="s">
        <v>144</v>
      </c>
      <c r="B650" t="s">
        <v>1217</v>
      </c>
      <c r="C650">
        <v>2</v>
      </c>
      <c r="D650" s="1">
        <v>44602</v>
      </c>
      <c r="E650">
        <v>6809</v>
      </c>
      <c r="F650">
        <v>28</v>
      </c>
      <c r="G650">
        <v>151</v>
      </c>
      <c r="H650">
        <v>102</v>
      </c>
      <c r="I650">
        <v>175</v>
      </c>
      <c r="J650">
        <v>5</v>
      </c>
      <c r="K650">
        <v>29</v>
      </c>
      <c r="L650">
        <v>716591492</v>
      </c>
      <c r="M650">
        <v>94</v>
      </c>
      <c r="N650" t="s">
        <v>134</v>
      </c>
      <c r="O650" t="s">
        <v>45</v>
      </c>
      <c r="P650">
        <v>84</v>
      </c>
      <c r="Q650">
        <v>90</v>
      </c>
      <c r="R650" t="str" cm="1">
        <f t="array" ref="R650">_xlfn.IFS(Q650&gt;70,"Good",Q650&lt;40,"Bad",(Q650&gt;OS688*(Q650&lt;80)),"Ok")</f>
        <v>Good</v>
      </c>
      <c r="S650">
        <v>70</v>
      </c>
      <c r="T650" t="str" cm="1">
        <f t="array" ref="T650">_xlfn.IFS(S650&gt;50, "High", S650&lt;=50, "Low")</f>
        <v>High</v>
      </c>
      <c r="U650">
        <v>9</v>
      </c>
      <c r="V650">
        <v>0</v>
      </c>
      <c r="W650">
        <v>14</v>
      </c>
      <c r="X650">
        <v>8</v>
      </c>
      <c r="Y650">
        <f t="shared" ca="1" si="10"/>
        <v>76.609268897953726</v>
      </c>
    </row>
    <row r="651" spans="1:25" x14ac:dyDescent="0.3">
      <c r="A651" t="s">
        <v>1218</v>
      </c>
      <c r="B651" t="s">
        <v>1219</v>
      </c>
      <c r="C651">
        <v>2</v>
      </c>
      <c r="D651" s="1">
        <v>36161</v>
      </c>
      <c r="E651">
        <v>33966</v>
      </c>
      <c r="F651">
        <v>0</v>
      </c>
      <c r="G651">
        <v>141</v>
      </c>
      <c r="H651">
        <v>78</v>
      </c>
      <c r="I651" s="2">
        <v>6591</v>
      </c>
      <c r="J651">
        <v>1</v>
      </c>
      <c r="K651">
        <v>0</v>
      </c>
      <c r="L651">
        <v>1210599487</v>
      </c>
      <c r="M651">
        <v>93</v>
      </c>
      <c r="N651" t="s">
        <v>27</v>
      </c>
      <c r="O651" t="s">
        <v>28</v>
      </c>
      <c r="P651">
        <v>81</v>
      </c>
      <c r="Q651">
        <v>53</v>
      </c>
      <c r="R651" t="str" cm="1">
        <f t="array" ref="R651">_xlfn.IFS(Q651&gt;70,"Good",Q651&lt;40,"Bad",(Q651&gt;OS689*(Q651&lt;80)),"Ok")</f>
        <v>Ok</v>
      </c>
      <c r="S651">
        <v>78</v>
      </c>
      <c r="T651" t="str" cm="1">
        <f t="array" ref="T651">_xlfn.IFS(S651&gt;50, "High", S651&lt;=50, "Low")</f>
        <v>High</v>
      </c>
      <c r="U651">
        <v>18</v>
      </c>
      <c r="V651">
        <v>0</v>
      </c>
      <c r="W651">
        <v>6</v>
      </c>
      <c r="X651">
        <v>24</v>
      </c>
      <c r="Y651">
        <f t="shared" ca="1" si="10"/>
        <v>10.613960795930023</v>
      </c>
    </row>
    <row r="652" spans="1:25" x14ac:dyDescent="0.3">
      <c r="A652" t="s">
        <v>1220</v>
      </c>
      <c r="B652" t="s">
        <v>298</v>
      </c>
      <c r="C652">
        <v>1</v>
      </c>
      <c r="D652" s="1">
        <v>44603</v>
      </c>
      <c r="E652">
        <v>590</v>
      </c>
      <c r="F652">
        <v>5</v>
      </c>
      <c r="G652">
        <v>4</v>
      </c>
      <c r="H652">
        <v>113</v>
      </c>
      <c r="I652">
        <v>20</v>
      </c>
      <c r="J652">
        <v>0</v>
      </c>
      <c r="K652">
        <v>1</v>
      </c>
      <c r="L652">
        <v>246376690</v>
      </c>
      <c r="M652">
        <v>130</v>
      </c>
      <c r="N652" t="s">
        <v>61</v>
      </c>
      <c r="O652" t="s">
        <v>45</v>
      </c>
      <c r="P652">
        <v>51</v>
      </c>
      <c r="Q652">
        <v>50</v>
      </c>
      <c r="R652" t="str" cm="1">
        <f t="array" ref="R652">_xlfn.IFS(Q652&gt;70,"Good",Q652&lt;40,"Bad",(Q652&gt;OS690*(Q652&lt;80)),"Ok")</f>
        <v>Ok</v>
      </c>
      <c r="S652">
        <v>76</v>
      </c>
      <c r="T652" t="str" cm="1">
        <f t="array" ref="T652">_xlfn.IFS(S652&gt;50, "High", S652&lt;=50, "Low")</f>
        <v>High</v>
      </c>
      <c r="U652">
        <v>30</v>
      </c>
      <c r="V652">
        <v>0</v>
      </c>
      <c r="W652">
        <v>10</v>
      </c>
      <c r="X652">
        <v>7</v>
      </c>
      <c r="Y652">
        <f t="shared" ca="1" si="10"/>
        <v>70.95625917290846</v>
      </c>
    </row>
    <row r="653" spans="1:25" x14ac:dyDescent="0.3">
      <c r="A653" t="s">
        <v>1221</v>
      </c>
      <c r="B653" t="s">
        <v>1222</v>
      </c>
      <c r="C653">
        <v>1</v>
      </c>
      <c r="D653" s="1">
        <v>44603</v>
      </c>
      <c r="E653">
        <v>3766</v>
      </c>
      <c r="F653">
        <v>0</v>
      </c>
      <c r="G653">
        <v>76</v>
      </c>
      <c r="H653">
        <v>0</v>
      </c>
      <c r="I653">
        <v>102</v>
      </c>
      <c r="J653">
        <v>0</v>
      </c>
      <c r="K653">
        <v>2</v>
      </c>
      <c r="L653">
        <v>496311364</v>
      </c>
      <c r="M653">
        <v>180</v>
      </c>
      <c r="N653" t="s">
        <v>94</v>
      </c>
      <c r="O653" t="s">
        <v>45</v>
      </c>
      <c r="P653">
        <v>35</v>
      </c>
      <c r="Q653">
        <v>23</v>
      </c>
      <c r="R653" t="str" cm="1">
        <f t="array" ref="R653">_xlfn.IFS(Q653&gt;70,"Good",Q653&lt;40,"Bad",(Q653&gt;OS691*(Q653&lt;80)),"Ok")</f>
        <v>Bad</v>
      </c>
      <c r="S653">
        <v>61</v>
      </c>
      <c r="T653" t="str" cm="1">
        <f t="array" ref="T653">_xlfn.IFS(S653&gt;50, "High", S653&lt;=50, "Low")</f>
        <v>High</v>
      </c>
      <c r="U653">
        <v>23</v>
      </c>
      <c r="V653">
        <v>0</v>
      </c>
      <c r="W653">
        <v>19</v>
      </c>
      <c r="X653">
        <v>6</v>
      </c>
      <c r="Y653">
        <f t="shared" ca="1" si="10"/>
        <v>43.141686197247942</v>
      </c>
    </row>
    <row r="654" spans="1:25" x14ac:dyDescent="0.3">
      <c r="A654" t="s">
        <v>1223</v>
      </c>
      <c r="B654" t="s">
        <v>1224</v>
      </c>
      <c r="C654">
        <v>2</v>
      </c>
      <c r="D654" s="1">
        <v>44603</v>
      </c>
      <c r="E654">
        <v>1430</v>
      </c>
      <c r="F654">
        <v>0</v>
      </c>
      <c r="G654">
        <v>46</v>
      </c>
      <c r="H654">
        <v>1</v>
      </c>
      <c r="I654">
        <v>34</v>
      </c>
      <c r="J654">
        <v>0</v>
      </c>
      <c r="K654">
        <v>0</v>
      </c>
      <c r="L654">
        <v>146789379</v>
      </c>
      <c r="M654">
        <v>134</v>
      </c>
      <c r="O654" t="s">
        <v>28</v>
      </c>
      <c r="P654">
        <v>53</v>
      </c>
      <c r="Q654">
        <v>31</v>
      </c>
      <c r="R654" t="str" cm="1">
        <f t="array" ref="R654">_xlfn.IFS(Q654&gt;70,"Good",Q654&lt;40,"Bad",(Q654&gt;OS692*(Q654&lt;80)),"Ok")</f>
        <v>Bad</v>
      </c>
      <c r="S654">
        <v>31</v>
      </c>
      <c r="T654" t="str" cm="1">
        <f t="array" ref="T654">_xlfn.IFS(S654&gt;50, "High", S654&lt;=50, "Low")</f>
        <v>Low</v>
      </c>
      <c r="U654">
        <v>92</v>
      </c>
      <c r="V654">
        <v>0</v>
      </c>
      <c r="W654">
        <v>28</v>
      </c>
      <c r="X654">
        <v>3</v>
      </c>
      <c r="Y654">
        <f t="shared" ca="1" si="10"/>
        <v>67.953334362743163</v>
      </c>
    </row>
    <row r="655" spans="1:25" x14ac:dyDescent="0.3">
      <c r="A655" t="s">
        <v>1225</v>
      </c>
      <c r="B655" t="s">
        <v>1219</v>
      </c>
      <c r="C655">
        <v>2</v>
      </c>
      <c r="D655" s="1">
        <v>36161</v>
      </c>
      <c r="E655">
        <v>31762</v>
      </c>
      <c r="F655">
        <v>0</v>
      </c>
      <c r="G655">
        <v>142</v>
      </c>
      <c r="H655">
        <v>40</v>
      </c>
      <c r="I655" s="2">
        <v>5451</v>
      </c>
      <c r="J655">
        <v>1</v>
      </c>
      <c r="K655">
        <v>953</v>
      </c>
      <c r="L655">
        <v>843309044</v>
      </c>
      <c r="M655">
        <v>95</v>
      </c>
      <c r="N655" t="s">
        <v>302</v>
      </c>
      <c r="O655" t="s">
        <v>45</v>
      </c>
      <c r="P655">
        <v>92</v>
      </c>
      <c r="Q655">
        <v>31</v>
      </c>
      <c r="R655" t="str" cm="1">
        <f t="array" ref="R655">_xlfn.IFS(Q655&gt;70,"Good",Q655&lt;40,"Bad",(Q655&gt;OS693*(Q655&lt;80)),"Ok")</f>
        <v>Bad</v>
      </c>
      <c r="S655">
        <v>89</v>
      </c>
      <c r="T655" t="str" cm="1">
        <f t="array" ref="T655">_xlfn.IFS(S655&gt;50, "High", S655&lt;=50, "Low")</f>
        <v>High</v>
      </c>
      <c r="U655">
        <v>3</v>
      </c>
      <c r="V655">
        <v>0</v>
      </c>
      <c r="W655">
        <v>8</v>
      </c>
      <c r="X655">
        <v>25</v>
      </c>
      <c r="Y655">
        <f t="shared" ca="1" si="10"/>
        <v>69.448957689985775</v>
      </c>
    </row>
    <row r="656" spans="1:25" x14ac:dyDescent="0.3">
      <c r="A656" t="s">
        <v>436</v>
      </c>
      <c r="B656" t="s">
        <v>1226</v>
      </c>
      <c r="C656">
        <v>1</v>
      </c>
      <c r="D656" s="1">
        <v>44580</v>
      </c>
      <c r="E656">
        <v>4049</v>
      </c>
      <c r="F656">
        <v>0</v>
      </c>
      <c r="G656">
        <v>119</v>
      </c>
      <c r="H656">
        <v>6</v>
      </c>
      <c r="I656">
        <v>85</v>
      </c>
      <c r="J656">
        <v>1</v>
      </c>
      <c r="K656">
        <v>1</v>
      </c>
      <c r="L656">
        <v>500340342</v>
      </c>
      <c r="M656">
        <v>184</v>
      </c>
      <c r="N656" t="s">
        <v>65</v>
      </c>
      <c r="O656" t="s">
        <v>28</v>
      </c>
      <c r="P656">
        <v>69</v>
      </c>
      <c r="Q656">
        <v>91</v>
      </c>
      <c r="R656" t="str" cm="1">
        <f t="array" ref="R656">_xlfn.IFS(Q656&gt;70,"Good",Q656&lt;40,"Bad",(Q656&gt;OS694*(Q656&lt;80)),"Ok")</f>
        <v>Good</v>
      </c>
      <c r="S656">
        <v>63</v>
      </c>
      <c r="T656" t="str" cm="1">
        <f t="array" ref="T656">_xlfn.IFS(S656&gt;50, "High", S656&lt;=50, "Low")</f>
        <v>High</v>
      </c>
      <c r="U656">
        <v>11</v>
      </c>
      <c r="V656">
        <v>0</v>
      </c>
      <c r="W656">
        <v>9</v>
      </c>
      <c r="X656">
        <v>31</v>
      </c>
      <c r="Y656">
        <f t="shared" ca="1" si="10"/>
        <v>11.893035037926147</v>
      </c>
    </row>
    <row r="657" spans="1:25" x14ac:dyDescent="0.3">
      <c r="A657" t="s">
        <v>1227</v>
      </c>
      <c r="B657" t="s">
        <v>1228</v>
      </c>
      <c r="C657">
        <v>3</v>
      </c>
      <c r="D657" s="1">
        <v>44603</v>
      </c>
      <c r="E657">
        <v>2096</v>
      </c>
      <c r="F657">
        <v>0</v>
      </c>
      <c r="G657">
        <v>34</v>
      </c>
      <c r="H657">
        <v>3</v>
      </c>
      <c r="I657">
        <v>30</v>
      </c>
      <c r="J657">
        <v>0</v>
      </c>
      <c r="K657">
        <v>0</v>
      </c>
      <c r="L657">
        <v>107255472</v>
      </c>
      <c r="M657">
        <v>147</v>
      </c>
      <c r="N657" t="s">
        <v>81</v>
      </c>
      <c r="O657" t="s">
        <v>45</v>
      </c>
      <c r="P657">
        <v>47</v>
      </c>
      <c r="Q657">
        <v>50</v>
      </c>
      <c r="R657" t="str" cm="1">
        <f t="array" ref="R657">_xlfn.IFS(Q657&gt;70,"Good",Q657&lt;40,"Bad",(Q657&gt;OS695*(Q657&lt;80)),"Ok")</f>
        <v>Ok</v>
      </c>
      <c r="S657">
        <v>80</v>
      </c>
      <c r="T657" t="str" cm="1">
        <f t="array" ref="T657">_xlfn.IFS(S657&gt;50, "High", S657&lt;=50, "Low")</f>
        <v>High</v>
      </c>
      <c r="U657">
        <v>10</v>
      </c>
      <c r="V657">
        <v>0</v>
      </c>
      <c r="W657">
        <v>32</v>
      </c>
      <c r="X657">
        <v>38</v>
      </c>
      <c r="Y657">
        <f t="shared" ca="1" si="10"/>
        <v>9.5944421876896229</v>
      </c>
    </row>
    <row r="658" spans="1:25" x14ac:dyDescent="0.3">
      <c r="A658" t="s">
        <v>1229</v>
      </c>
      <c r="B658" t="s">
        <v>1230</v>
      </c>
      <c r="C658">
        <v>2</v>
      </c>
      <c r="D658" s="1">
        <v>44594</v>
      </c>
      <c r="E658">
        <v>1175</v>
      </c>
      <c r="F658">
        <v>0</v>
      </c>
      <c r="G658">
        <v>34</v>
      </c>
      <c r="H658">
        <v>1</v>
      </c>
      <c r="I658">
        <v>31</v>
      </c>
      <c r="J658">
        <v>0</v>
      </c>
      <c r="K658">
        <v>0</v>
      </c>
      <c r="L658">
        <v>135079152</v>
      </c>
      <c r="M658">
        <v>123</v>
      </c>
      <c r="N658" t="s">
        <v>94</v>
      </c>
      <c r="O658" t="s">
        <v>28</v>
      </c>
      <c r="P658">
        <v>52</v>
      </c>
      <c r="Q658">
        <v>44</v>
      </c>
      <c r="R658" t="str" cm="1">
        <f t="array" ref="R658">_xlfn.IFS(Q658&gt;70,"Good",Q658&lt;40,"Bad",(Q658&gt;OS696*(Q658&lt;80)),"Ok")</f>
        <v>Ok</v>
      </c>
      <c r="S658">
        <v>60</v>
      </c>
      <c r="T658" t="str" cm="1">
        <f t="array" ref="T658">_xlfn.IFS(S658&gt;50, "High", S658&lt;=50, "Low")</f>
        <v>High</v>
      </c>
      <c r="U658">
        <v>40</v>
      </c>
      <c r="V658">
        <v>0</v>
      </c>
      <c r="W658">
        <v>26</v>
      </c>
      <c r="X658">
        <v>3</v>
      </c>
      <c r="Y658">
        <f t="shared" ca="1" si="10"/>
        <v>52.8576879793251</v>
      </c>
    </row>
    <row r="659" spans="1:25" x14ac:dyDescent="0.3">
      <c r="A659" t="s">
        <v>1231</v>
      </c>
      <c r="B659" t="s">
        <v>518</v>
      </c>
      <c r="C659">
        <v>1</v>
      </c>
      <c r="D659" s="1">
        <v>40909</v>
      </c>
      <c r="E659">
        <v>29499</v>
      </c>
      <c r="F659">
        <v>11</v>
      </c>
      <c r="G659">
        <v>124</v>
      </c>
      <c r="H659">
        <v>27</v>
      </c>
      <c r="I659">
        <v>587</v>
      </c>
      <c r="J659">
        <v>0</v>
      </c>
      <c r="K659">
        <v>4</v>
      </c>
      <c r="L659">
        <v>822239726</v>
      </c>
      <c r="M659">
        <v>123</v>
      </c>
      <c r="N659" t="s">
        <v>181</v>
      </c>
      <c r="O659" t="s">
        <v>45</v>
      </c>
      <c r="P659">
        <v>91</v>
      </c>
      <c r="Q659">
        <v>49</v>
      </c>
      <c r="R659" t="str" cm="1">
        <f t="array" ref="R659">_xlfn.IFS(Q659&gt;70,"Good",Q659&lt;40,"Bad",(Q659&gt;OS697*(Q659&lt;80)),"Ok")</f>
        <v>Ok</v>
      </c>
      <c r="S659">
        <v>61</v>
      </c>
      <c r="T659" t="str" cm="1">
        <f t="array" ref="T659">_xlfn.IFS(S659&gt;50, "High", S659&lt;=50, "Low")</f>
        <v>High</v>
      </c>
      <c r="U659">
        <v>3</v>
      </c>
      <c r="V659">
        <v>0</v>
      </c>
      <c r="W659">
        <v>17</v>
      </c>
      <c r="X659">
        <v>22</v>
      </c>
      <c r="Y659">
        <f t="shared" ca="1" si="10"/>
        <v>57.845426667641377</v>
      </c>
    </row>
    <row r="660" spans="1:25" x14ac:dyDescent="0.3">
      <c r="A660" t="s">
        <v>280</v>
      </c>
      <c r="B660" t="s">
        <v>1232</v>
      </c>
      <c r="C660">
        <v>1</v>
      </c>
      <c r="D660" s="1">
        <v>37257</v>
      </c>
      <c r="E660">
        <v>30427</v>
      </c>
      <c r="F660">
        <v>7</v>
      </c>
      <c r="G660">
        <v>235</v>
      </c>
      <c r="H660">
        <v>106</v>
      </c>
      <c r="I660" s="2">
        <v>5221</v>
      </c>
      <c r="J660">
        <v>1</v>
      </c>
      <c r="K660">
        <v>35</v>
      </c>
      <c r="L660">
        <v>1202722675</v>
      </c>
      <c r="M660">
        <v>90</v>
      </c>
      <c r="N660" t="s">
        <v>65</v>
      </c>
      <c r="O660" t="s">
        <v>45</v>
      </c>
      <c r="P660">
        <v>90</v>
      </c>
      <c r="Q660">
        <v>79</v>
      </c>
      <c r="R660" t="str" cm="1">
        <f t="array" ref="R660">_xlfn.IFS(Q660&gt;70,"Good",Q660&lt;40,"Bad",(Q660&gt;OS698*(Q660&lt;80)),"Ok")</f>
        <v>Good</v>
      </c>
      <c r="S660">
        <v>71</v>
      </c>
      <c r="T660" t="str" cm="1">
        <f t="array" ref="T660">_xlfn.IFS(S660&gt;50, "High", S660&lt;=50, "Low")</f>
        <v>High</v>
      </c>
      <c r="U660">
        <v>26</v>
      </c>
      <c r="V660">
        <v>0</v>
      </c>
      <c r="W660">
        <v>7</v>
      </c>
      <c r="X660">
        <v>37</v>
      </c>
      <c r="Y660">
        <f t="shared" ca="1" si="10"/>
        <v>66.632333656925837</v>
      </c>
    </row>
    <row r="661" spans="1:25" x14ac:dyDescent="0.3">
      <c r="A661" t="s">
        <v>1233</v>
      </c>
      <c r="B661" t="s">
        <v>1164</v>
      </c>
      <c r="C661">
        <v>1</v>
      </c>
      <c r="D661" s="1">
        <v>44596</v>
      </c>
      <c r="E661">
        <v>2711</v>
      </c>
      <c r="F661">
        <v>0</v>
      </c>
      <c r="G661">
        <v>105</v>
      </c>
      <c r="H661">
        <v>12</v>
      </c>
      <c r="I661">
        <v>51</v>
      </c>
      <c r="J661">
        <v>0</v>
      </c>
      <c r="K661">
        <v>12</v>
      </c>
      <c r="L661">
        <v>343197054</v>
      </c>
      <c r="M661">
        <v>160</v>
      </c>
      <c r="N661" t="s">
        <v>61</v>
      </c>
      <c r="O661" t="s">
        <v>45</v>
      </c>
      <c r="P661">
        <v>61</v>
      </c>
      <c r="Q661">
        <v>65</v>
      </c>
      <c r="R661" t="str" cm="1">
        <f t="array" ref="R661">_xlfn.IFS(Q661&gt;70,"Good",Q661&lt;40,"Bad",(Q661&gt;OS699*(Q661&lt;80)),"Ok")</f>
        <v>Ok</v>
      </c>
      <c r="S661">
        <v>64</v>
      </c>
      <c r="T661" t="str" cm="1">
        <f t="array" ref="T661">_xlfn.IFS(S661&gt;50, "High", S661&lt;=50, "Low")</f>
        <v>High</v>
      </c>
      <c r="U661">
        <v>1</v>
      </c>
      <c r="V661">
        <v>0</v>
      </c>
      <c r="W661">
        <v>12</v>
      </c>
      <c r="X661">
        <v>4</v>
      </c>
      <c r="Y661">
        <f t="shared" ca="1" si="10"/>
        <v>88.940672127628673</v>
      </c>
    </row>
    <row r="662" spans="1:25" x14ac:dyDescent="0.3">
      <c r="A662" t="s">
        <v>1234</v>
      </c>
      <c r="B662" t="s">
        <v>1235</v>
      </c>
      <c r="C662">
        <v>1</v>
      </c>
      <c r="D662" s="1">
        <v>41502</v>
      </c>
      <c r="E662">
        <v>4310</v>
      </c>
      <c r="F662">
        <v>0</v>
      </c>
      <c r="G662">
        <v>13</v>
      </c>
      <c r="H662">
        <v>0</v>
      </c>
      <c r="I662">
        <v>113</v>
      </c>
      <c r="J662">
        <v>1</v>
      </c>
      <c r="K662">
        <v>3</v>
      </c>
      <c r="L662">
        <v>240769997</v>
      </c>
      <c r="M662">
        <v>115</v>
      </c>
      <c r="N662" t="s">
        <v>31</v>
      </c>
      <c r="O662" t="s">
        <v>28</v>
      </c>
      <c r="P662">
        <v>60</v>
      </c>
      <c r="Q662">
        <v>37</v>
      </c>
      <c r="R662" t="str" cm="1">
        <f t="array" ref="R662">_xlfn.IFS(Q662&gt;70,"Good",Q662&lt;40,"Bad",(Q662&gt;OS700*(Q662&lt;80)),"Ok")</f>
        <v>Bad</v>
      </c>
      <c r="S662">
        <v>71</v>
      </c>
      <c r="T662" t="str" cm="1">
        <f t="array" ref="T662">_xlfn.IFS(S662&gt;50, "High", S662&lt;=50, "Low")</f>
        <v>High</v>
      </c>
      <c r="U662">
        <v>8</v>
      </c>
      <c r="V662">
        <v>0</v>
      </c>
      <c r="W662">
        <v>48</v>
      </c>
      <c r="X662">
        <v>4</v>
      </c>
      <c r="Y662">
        <f t="shared" ca="1" si="10"/>
        <v>99.878888282694561</v>
      </c>
    </row>
    <row r="663" spans="1:25" x14ac:dyDescent="0.3">
      <c r="A663" t="s">
        <v>1236</v>
      </c>
      <c r="B663" t="s">
        <v>1237</v>
      </c>
      <c r="C663">
        <v>2</v>
      </c>
      <c r="D663" s="1">
        <v>43681</v>
      </c>
      <c r="E663">
        <v>5342</v>
      </c>
      <c r="F663">
        <v>0</v>
      </c>
      <c r="G663">
        <v>33</v>
      </c>
      <c r="H663">
        <v>123</v>
      </c>
      <c r="I663">
        <v>7</v>
      </c>
      <c r="J663">
        <v>0</v>
      </c>
      <c r="K663">
        <v>4</v>
      </c>
      <c r="L663">
        <v>426204830</v>
      </c>
      <c r="M663">
        <v>141</v>
      </c>
      <c r="N663" t="s">
        <v>302</v>
      </c>
      <c r="O663" t="s">
        <v>28</v>
      </c>
      <c r="P663">
        <v>37</v>
      </c>
      <c r="Q663">
        <v>17</v>
      </c>
      <c r="R663" t="str" cm="1">
        <f t="array" ref="R663">_xlfn.IFS(Q663&gt;70,"Good",Q663&lt;40,"Bad",(Q663&gt;OS701*(Q663&lt;80)),"Ok")</f>
        <v>Bad</v>
      </c>
      <c r="S663">
        <v>67</v>
      </c>
      <c r="T663" t="str" cm="1">
        <f t="array" ref="T663">_xlfn.IFS(S663&gt;50, "High", S663&lt;=50, "Low")</f>
        <v>High</v>
      </c>
      <c r="U663">
        <v>2</v>
      </c>
      <c r="V663">
        <v>0</v>
      </c>
      <c r="W663">
        <v>34</v>
      </c>
      <c r="X663">
        <v>9</v>
      </c>
      <c r="Y663">
        <f t="shared" ca="1" si="10"/>
        <v>46.273806047110391</v>
      </c>
    </row>
    <row r="664" spans="1:25" x14ac:dyDescent="0.3">
      <c r="A664" t="s">
        <v>1238</v>
      </c>
      <c r="B664" t="s">
        <v>1239</v>
      </c>
      <c r="C664">
        <v>1</v>
      </c>
      <c r="D664" s="1">
        <v>42587</v>
      </c>
      <c r="E664">
        <v>2393</v>
      </c>
      <c r="F664">
        <v>0</v>
      </c>
      <c r="G664">
        <v>22</v>
      </c>
      <c r="H664">
        <v>13</v>
      </c>
      <c r="I664">
        <v>65</v>
      </c>
      <c r="J664">
        <v>0</v>
      </c>
      <c r="K664">
        <v>6</v>
      </c>
      <c r="L664">
        <v>421135627</v>
      </c>
      <c r="M664">
        <v>160</v>
      </c>
      <c r="N664" t="s">
        <v>37</v>
      </c>
      <c r="O664" t="s">
        <v>28</v>
      </c>
      <c r="P664">
        <v>31</v>
      </c>
      <c r="Q664">
        <v>30</v>
      </c>
      <c r="R664" t="str" cm="1">
        <f t="array" ref="R664">_xlfn.IFS(Q664&gt;70,"Good",Q664&lt;40,"Bad",(Q664&gt;OS702*(Q664&lt;80)),"Ok")</f>
        <v>Bad</v>
      </c>
      <c r="S664">
        <v>88</v>
      </c>
      <c r="T664" t="str" cm="1">
        <f t="array" ref="T664">_xlfn.IFS(S664&gt;50, "High", S664&lt;=50, "Low")</f>
        <v>High</v>
      </c>
      <c r="U664">
        <v>7</v>
      </c>
      <c r="V664">
        <v>0</v>
      </c>
      <c r="W664">
        <v>8</v>
      </c>
      <c r="X664">
        <v>8</v>
      </c>
      <c r="Y664">
        <f t="shared" ca="1" si="10"/>
        <v>8.468120209402441</v>
      </c>
    </row>
    <row r="665" spans="1:25" x14ac:dyDescent="0.3">
      <c r="A665" t="s">
        <v>1240</v>
      </c>
      <c r="B665" t="s">
        <v>656</v>
      </c>
      <c r="C665">
        <v>1</v>
      </c>
      <c r="D665" s="1">
        <v>43742</v>
      </c>
      <c r="E665">
        <v>3444</v>
      </c>
      <c r="F665">
        <v>7</v>
      </c>
      <c r="G665">
        <v>24</v>
      </c>
      <c r="H665">
        <v>85</v>
      </c>
      <c r="I665">
        <v>102</v>
      </c>
      <c r="J665">
        <v>0</v>
      </c>
      <c r="K665">
        <v>1</v>
      </c>
      <c r="L665">
        <v>554875730</v>
      </c>
      <c r="M665">
        <v>145</v>
      </c>
      <c r="N665" t="s">
        <v>27</v>
      </c>
      <c r="O665" t="s">
        <v>28</v>
      </c>
      <c r="P665">
        <v>57</v>
      </c>
      <c r="Q665">
        <v>23</v>
      </c>
      <c r="R665" t="str" cm="1">
        <f t="array" ref="R665">_xlfn.IFS(Q665&gt;70,"Good",Q665&lt;40,"Bad",(Q665&gt;OS703*(Q665&lt;80)),"Ok")</f>
        <v>Bad</v>
      </c>
      <c r="S665">
        <v>66</v>
      </c>
      <c r="T665" t="str" cm="1">
        <f t="array" ref="T665">_xlfn.IFS(S665&gt;50, "High", S665&lt;=50, "Low")</f>
        <v>High</v>
      </c>
      <c r="U665">
        <v>4</v>
      </c>
      <c r="V665">
        <v>6</v>
      </c>
      <c r="W665">
        <v>15</v>
      </c>
      <c r="X665">
        <v>4</v>
      </c>
      <c r="Y665">
        <f t="shared" ca="1" si="10"/>
        <v>71.010633126227901</v>
      </c>
    </row>
    <row r="666" spans="1:25" x14ac:dyDescent="0.3">
      <c r="A666" t="s">
        <v>1241</v>
      </c>
      <c r="B666" t="s">
        <v>656</v>
      </c>
      <c r="C666">
        <v>1</v>
      </c>
      <c r="D666" s="1">
        <v>43637</v>
      </c>
      <c r="E666">
        <v>5443</v>
      </c>
      <c r="F666">
        <v>0</v>
      </c>
      <c r="G666">
        <v>45</v>
      </c>
      <c r="H666">
        <v>1</v>
      </c>
      <c r="I666">
        <v>80</v>
      </c>
      <c r="J666">
        <v>0</v>
      </c>
      <c r="K666">
        <v>12</v>
      </c>
      <c r="L666">
        <v>467727006</v>
      </c>
      <c r="M666">
        <v>89</v>
      </c>
      <c r="O666" t="s">
        <v>45</v>
      </c>
      <c r="P666">
        <v>46</v>
      </c>
      <c r="Q666">
        <v>43</v>
      </c>
      <c r="R666" t="str" cm="1">
        <f t="array" ref="R666">_xlfn.IFS(Q666&gt;70,"Good",Q666&lt;40,"Bad",(Q666&gt;OS704*(Q666&lt;80)),"Ok")</f>
        <v>Ok</v>
      </c>
      <c r="S666">
        <v>43</v>
      </c>
      <c r="T666" t="str" cm="1">
        <f t="array" ref="T666">_xlfn.IFS(S666&gt;50, "High", S666&lt;=50, "Low")</f>
        <v>Low</v>
      </c>
      <c r="U666">
        <v>23</v>
      </c>
      <c r="V666">
        <v>8</v>
      </c>
      <c r="W666">
        <v>8</v>
      </c>
      <c r="X666">
        <v>22</v>
      </c>
      <c r="Y666">
        <f t="shared" ca="1" si="10"/>
        <v>67.510263749364185</v>
      </c>
    </row>
    <row r="667" spans="1:25" x14ac:dyDescent="0.3">
      <c r="A667" t="s">
        <v>1242</v>
      </c>
      <c r="B667" t="s">
        <v>1243</v>
      </c>
      <c r="C667">
        <v>3</v>
      </c>
      <c r="D667" s="1">
        <v>44036</v>
      </c>
      <c r="E667">
        <v>272</v>
      </c>
      <c r="F667">
        <v>4</v>
      </c>
      <c r="G667">
        <v>7</v>
      </c>
      <c r="H667">
        <v>21</v>
      </c>
      <c r="I667">
        <v>2</v>
      </c>
      <c r="J667">
        <v>0</v>
      </c>
      <c r="K667">
        <v>0</v>
      </c>
      <c r="L667">
        <v>327498031</v>
      </c>
      <c r="M667">
        <v>95</v>
      </c>
      <c r="N667" t="s">
        <v>34</v>
      </c>
      <c r="O667" t="s">
        <v>45</v>
      </c>
      <c r="P667">
        <v>84</v>
      </c>
      <c r="Q667">
        <v>49</v>
      </c>
      <c r="R667" t="str" cm="1">
        <f t="array" ref="R667">_xlfn.IFS(Q667&gt;70,"Good",Q667&lt;40,"Bad",(Q667&gt;OS705*(Q667&lt;80)),"Ok")</f>
        <v>Ok</v>
      </c>
      <c r="S667">
        <v>72</v>
      </c>
      <c r="T667" t="str" cm="1">
        <f t="array" ref="T667">_xlfn.IFS(S667&gt;50, "High", S667&lt;=50, "Low")</f>
        <v>High</v>
      </c>
      <c r="U667">
        <v>8</v>
      </c>
      <c r="V667">
        <v>0</v>
      </c>
      <c r="W667">
        <v>15</v>
      </c>
      <c r="X667">
        <v>8</v>
      </c>
      <c r="Y667">
        <f t="shared" ca="1" si="10"/>
        <v>32.568609046451535</v>
      </c>
    </row>
    <row r="668" spans="1:25" x14ac:dyDescent="0.3">
      <c r="A668" t="s">
        <v>1244</v>
      </c>
      <c r="B668" t="s">
        <v>1175</v>
      </c>
      <c r="C668">
        <v>1</v>
      </c>
      <c r="D668" s="1">
        <v>44540</v>
      </c>
      <c r="E668">
        <v>975</v>
      </c>
      <c r="F668">
        <v>0</v>
      </c>
      <c r="G668">
        <v>11</v>
      </c>
      <c r="H668">
        <v>0</v>
      </c>
      <c r="I668">
        <v>10</v>
      </c>
      <c r="J668">
        <v>0</v>
      </c>
      <c r="K668">
        <v>0</v>
      </c>
      <c r="L668">
        <v>185408548</v>
      </c>
      <c r="M668">
        <v>160</v>
      </c>
      <c r="N668" t="s">
        <v>61</v>
      </c>
      <c r="O668" t="s">
        <v>28</v>
      </c>
      <c r="P668">
        <v>60</v>
      </c>
      <c r="Q668">
        <v>47</v>
      </c>
      <c r="R668" t="str" cm="1">
        <f t="array" ref="R668">_xlfn.IFS(Q668&gt;70,"Good",Q668&lt;40,"Bad",(Q668&gt;OS706*(Q668&lt;80)),"Ok")</f>
        <v>Ok</v>
      </c>
      <c r="S668">
        <v>62</v>
      </c>
      <c r="T668" t="str" cm="1">
        <f t="array" ref="T668">_xlfn.IFS(S668&gt;50, "High", S668&lt;=50, "Low")</f>
        <v>High</v>
      </c>
      <c r="U668">
        <v>3</v>
      </c>
      <c r="V668">
        <v>0</v>
      </c>
      <c r="W668">
        <v>38</v>
      </c>
      <c r="X668">
        <v>4</v>
      </c>
      <c r="Y668">
        <f t="shared" ca="1" si="10"/>
        <v>46.829530582896496</v>
      </c>
    </row>
    <row r="669" spans="1:25" x14ac:dyDescent="0.3">
      <c r="A669" t="s">
        <v>283</v>
      </c>
      <c r="B669" t="s">
        <v>1245</v>
      </c>
      <c r="C669">
        <v>7</v>
      </c>
      <c r="D669" s="1">
        <v>44575</v>
      </c>
      <c r="E669">
        <v>1034</v>
      </c>
      <c r="F669">
        <v>1</v>
      </c>
      <c r="G669">
        <v>19</v>
      </c>
      <c r="H669">
        <v>5</v>
      </c>
      <c r="I669">
        <v>12</v>
      </c>
      <c r="J669">
        <v>0</v>
      </c>
      <c r="K669">
        <v>0</v>
      </c>
      <c r="L669">
        <v>245400167</v>
      </c>
      <c r="M669">
        <v>174</v>
      </c>
      <c r="N669" t="s">
        <v>34</v>
      </c>
      <c r="O669" t="s">
        <v>45</v>
      </c>
      <c r="P669">
        <v>67</v>
      </c>
      <c r="Q669">
        <v>74</v>
      </c>
      <c r="R669" t="str" cm="1">
        <f t="array" ref="R669">_xlfn.IFS(Q669&gt;70,"Good",Q669&lt;40,"Bad",(Q669&gt;OS707*(Q669&lt;80)),"Ok")</f>
        <v>Good</v>
      </c>
      <c r="S669">
        <v>75</v>
      </c>
      <c r="T669" t="str" cm="1">
        <f t="array" ref="T669">_xlfn.IFS(S669&gt;50, "High", S669&lt;=50, "Low")</f>
        <v>High</v>
      </c>
      <c r="U669">
        <v>44</v>
      </c>
      <c r="V669">
        <v>0</v>
      </c>
      <c r="W669">
        <v>7</v>
      </c>
      <c r="X669">
        <v>30</v>
      </c>
      <c r="Y669">
        <f t="shared" ca="1" si="10"/>
        <v>40.995677098210734</v>
      </c>
    </row>
    <row r="670" spans="1:25" x14ac:dyDescent="0.3">
      <c r="A670" t="s">
        <v>164</v>
      </c>
      <c r="B670" t="s">
        <v>1246</v>
      </c>
      <c r="C670">
        <v>3</v>
      </c>
      <c r="D670" s="1">
        <v>35061</v>
      </c>
      <c r="E670">
        <v>18773</v>
      </c>
      <c r="F670">
        <v>0</v>
      </c>
      <c r="G670">
        <v>128</v>
      </c>
      <c r="H670">
        <v>17</v>
      </c>
      <c r="I670" s="2">
        <v>1663</v>
      </c>
      <c r="J670">
        <v>0</v>
      </c>
      <c r="K670">
        <v>0</v>
      </c>
      <c r="L670">
        <v>579395142</v>
      </c>
      <c r="M670">
        <v>92</v>
      </c>
      <c r="N670" t="s">
        <v>94</v>
      </c>
      <c r="O670" t="s">
        <v>28</v>
      </c>
      <c r="P670">
        <v>77</v>
      </c>
      <c r="Q670">
        <v>76</v>
      </c>
      <c r="R670" t="str" cm="1">
        <f t="array" ref="R670">_xlfn.IFS(Q670&gt;70,"Good",Q670&lt;40,"Bad",(Q670&gt;OS708*(Q670&lt;80)),"Ok")</f>
        <v>Good</v>
      </c>
      <c r="S670">
        <v>84</v>
      </c>
      <c r="T670" t="str" cm="1">
        <f t="array" ref="T670">_xlfn.IFS(S670&gt;50, "High", S670&lt;=50, "Low")</f>
        <v>High</v>
      </c>
      <c r="U670">
        <v>3</v>
      </c>
      <c r="V670">
        <v>0</v>
      </c>
      <c r="W670">
        <v>38</v>
      </c>
      <c r="X670">
        <v>4</v>
      </c>
      <c r="Y670">
        <f t="shared" ca="1" si="10"/>
        <v>73.881662413078189</v>
      </c>
    </row>
    <row r="671" spans="1:25" x14ac:dyDescent="0.3">
      <c r="A671" t="s">
        <v>1247</v>
      </c>
      <c r="B671" t="s">
        <v>1248</v>
      </c>
      <c r="C671">
        <v>2</v>
      </c>
      <c r="D671" s="1">
        <v>36161</v>
      </c>
      <c r="E671">
        <v>19067</v>
      </c>
      <c r="F671">
        <v>0</v>
      </c>
      <c r="G671">
        <v>78</v>
      </c>
      <c r="H671">
        <v>15</v>
      </c>
      <c r="I671" s="2">
        <v>1674</v>
      </c>
      <c r="J671">
        <v>0</v>
      </c>
      <c r="K671">
        <v>3</v>
      </c>
      <c r="L671">
        <v>675039469</v>
      </c>
      <c r="M671">
        <v>134</v>
      </c>
      <c r="N671" t="s">
        <v>81</v>
      </c>
      <c r="O671" t="s">
        <v>28</v>
      </c>
      <c r="P671">
        <v>93</v>
      </c>
      <c r="Q671">
        <v>61</v>
      </c>
      <c r="R671" t="str" cm="1">
        <f t="array" ref="R671">_xlfn.IFS(Q671&gt;70,"Good",Q671&lt;40,"Bad",(Q671&gt;OS709*(Q671&lt;80)),"Ok")</f>
        <v>Ok</v>
      </c>
      <c r="S671">
        <v>74</v>
      </c>
      <c r="T671" t="str" cm="1">
        <f t="array" ref="T671">_xlfn.IFS(S671&gt;50, "High", S671&lt;=50, "Low")</f>
        <v>High</v>
      </c>
      <c r="U671">
        <v>9</v>
      </c>
      <c r="V671">
        <v>0</v>
      </c>
      <c r="W671">
        <v>17</v>
      </c>
      <c r="X671">
        <v>8</v>
      </c>
      <c r="Y671">
        <f t="shared" ca="1" si="10"/>
        <v>26.893646988333796</v>
      </c>
    </row>
    <row r="672" spans="1:25" x14ac:dyDescent="0.3">
      <c r="A672" t="s">
        <v>1249</v>
      </c>
      <c r="B672" t="s">
        <v>1250</v>
      </c>
      <c r="C672">
        <v>2</v>
      </c>
      <c r="D672" s="1">
        <v>44519</v>
      </c>
      <c r="E672">
        <v>3541</v>
      </c>
      <c r="F672">
        <v>2</v>
      </c>
      <c r="G672">
        <v>57</v>
      </c>
      <c r="H672">
        <v>13</v>
      </c>
      <c r="I672">
        <v>50</v>
      </c>
      <c r="J672">
        <v>1</v>
      </c>
      <c r="K672">
        <v>7</v>
      </c>
      <c r="L672">
        <v>252871192</v>
      </c>
      <c r="M672">
        <v>172</v>
      </c>
      <c r="N672" t="s">
        <v>27</v>
      </c>
      <c r="O672" t="s">
        <v>45</v>
      </c>
      <c r="P672">
        <v>31</v>
      </c>
      <c r="Q672">
        <v>4</v>
      </c>
      <c r="R672" t="str" cm="1">
        <f t="array" ref="R672">_xlfn.IFS(Q672&gt;70,"Good",Q672&lt;40,"Bad",(Q672&gt;OS710*(Q672&lt;80)),"Ok")</f>
        <v>Bad</v>
      </c>
      <c r="S672">
        <v>86</v>
      </c>
      <c r="T672" t="str" cm="1">
        <f t="array" ref="T672">_xlfn.IFS(S672&gt;50, "High", S672&lt;=50, "Low")</f>
        <v>High</v>
      </c>
      <c r="U672">
        <v>1</v>
      </c>
      <c r="V672">
        <v>0</v>
      </c>
      <c r="W672">
        <v>28</v>
      </c>
      <c r="X672">
        <v>17</v>
      </c>
      <c r="Y672">
        <f t="shared" ca="1" si="10"/>
        <v>5.5397099884473828</v>
      </c>
    </row>
    <row r="673" spans="1:25" x14ac:dyDescent="0.3">
      <c r="A673" t="s">
        <v>148</v>
      </c>
      <c r="B673" t="s">
        <v>1251</v>
      </c>
      <c r="C673">
        <v>1</v>
      </c>
      <c r="D673" s="1">
        <v>44547</v>
      </c>
      <c r="E673">
        <v>1492</v>
      </c>
      <c r="F673">
        <v>0</v>
      </c>
      <c r="G673">
        <v>44</v>
      </c>
      <c r="H673">
        <v>63</v>
      </c>
      <c r="I673">
        <v>91</v>
      </c>
      <c r="J673">
        <v>0</v>
      </c>
      <c r="K673">
        <v>24</v>
      </c>
      <c r="L673">
        <v>231996128</v>
      </c>
      <c r="M673">
        <v>80</v>
      </c>
      <c r="N673" t="s">
        <v>37</v>
      </c>
      <c r="O673" t="s">
        <v>28</v>
      </c>
      <c r="P673">
        <v>76</v>
      </c>
      <c r="Q673">
        <v>92</v>
      </c>
      <c r="R673" t="str" cm="1">
        <f t="array" ref="R673">_xlfn.IFS(Q673&gt;70,"Good",Q673&lt;40,"Bad",(Q673&gt;OS711*(Q673&lt;80)),"Ok")</f>
        <v>Good</v>
      </c>
      <c r="S673">
        <v>62</v>
      </c>
      <c r="T673" t="str" cm="1">
        <f t="array" ref="T673">_xlfn.IFS(S673&gt;50, "High", S673&lt;=50, "Low")</f>
        <v>High</v>
      </c>
      <c r="U673">
        <v>6</v>
      </c>
      <c r="V673">
        <v>0</v>
      </c>
      <c r="W673">
        <v>8</v>
      </c>
      <c r="X673">
        <v>13</v>
      </c>
      <c r="Y673">
        <f t="shared" ca="1" si="10"/>
        <v>25.838097539259032</v>
      </c>
    </row>
    <row r="674" spans="1:25" x14ac:dyDescent="0.3">
      <c r="A674" t="s">
        <v>1252</v>
      </c>
      <c r="B674" t="s">
        <v>1253</v>
      </c>
      <c r="C674">
        <v>1</v>
      </c>
      <c r="D674" s="1">
        <v>42824</v>
      </c>
      <c r="E674">
        <v>33206</v>
      </c>
      <c r="F674">
        <v>1</v>
      </c>
      <c r="G674">
        <v>284</v>
      </c>
      <c r="H674">
        <v>114</v>
      </c>
      <c r="I674" s="2">
        <v>1481</v>
      </c>
      <c r="J674">
        <v>0</v>
      </c>
      <c r="K674">
        <v>5</v>
      </c>
      <c r="L674">
        <v>1929770265</v>
      </c>
      <c r="M674">
        <v>150</v>
      </c>
      <c r="N674" t="s">
        <v>31</v>
      </c>
      <c r="O674" t="s">
        <v>45</v>
      </c>
      <c r="P674">
        <v>91</v>
      </c>
      <c r="Q674">
        <v>42</v>
      </c>
      <c r="R674" t="str" cm="1">
        <f t="array" ref="R674">_xlfn.IFS(Q674&gt;70,"Good",Q674&lt;40,"Bad",(Q674&gt;OS712*(Q674&lt;80)),"Ok")</f>
        <v>Ok</v>
      </c>
      <c r="S674">
        <v>60</v>
      </c>
      <c r="T674" t="str" cm="1">
        <f t="array" ref="T674">_xlfn.IFS(S674&gt;50, "High", S674&lt;=50, "Low")</f>
        <v>High</v>
      </c>
      <c r="U674">
        <v>0</v>
      </c>
      <c r="V674">
        <v>0</v>
      </c>
      <c r="W674">
        <v>9</v>
      </c>
      <c r="X674">
        <v>12</v>
      </c>
      <c r="Y674">
        <f t="shared" ca="1" si="10"/>
        <v>15.326974232005131</v>
      </c>
    </row>
    <row r="675" spans="1:25" x14ac:dyDescent="0.3">
      <c r="A675" t="s">
        <v>1254</v>
      </c>
      <c r="B675" t="s">
        <v>1255</v>
      </c>
      <c r="C675">
        <v>2</v>
      </c>
      <c r="D675" s="1">
        <v>36485</v>
      </c>
      <c r="E675">
        <v>17115</v>
      </c>
      <c r="F675">
        <v>0</v>
      </c>
      <c r="G675">
        <v>83</v>
      </c>
      <c r="H675">
        <v>63</v>
      </c>
      <c r="I675" s="2">
        <v>4180</v>
      </c>
      <c r="J675">
        <v>0</v>
      </c>
      <c r="K675">
        <v>0</v>
      </c>
      <c r="L675">
        <v>918915401</v>
      </c>
      <c r="M675">
        <v>80</v>
      </c>
      <c r="N675" t="s">
        <v>65</v>
      </c>
      <c r="O675" t="s">
        <v>45</v>
      </c>
      <c r="P675">
        <v>78</v>
      </c>
      <c r="Q675">
        <v>53</v>
      </c>
      <c r="R675" t="str" cm="1">
        <f t="array" ref="R675">_xlfn.IFS(Q675&gt;70,"Good",Q675&lt;40,"Bad",(Q675&gt;OS713*(Q675&lt;80)),"Ok")</f>
        <v>Ok</v>
      </c>
      <c r="S675">
        <v>74</v>
      </c>
      <c r="T675" t="str" cm="1">
        <f t="array" ref="T675">_xlfn.IFS(S675&gt;50, "High", S675&lt;=50, "Low")</f>
        <v>High</v>
      </c>
      <c r="U675">
        <v>4</v>
      </c>
      <c r="V675">
        <v>0</v>
      </c>
      <c r="W675">
        <v>45</v>
      </c>
      <c r="X675">
        <v>21</v>
      </c>
      <c r="Y675">
        <f t="shared" ca="1" si="10"/>
        <v>21.701846108418575</v>
      </c>
    </row>
    <row r="676" spans="1:25" x14ac:dyDescent="0.3">
      <c r="A676" t="s">
        <v>317</v>
      </c>
      <c r="B676" t="s">
        <v>1256</v>
      </c>
      <c r="C676">
        <v>2</v>
      </c>
      <c r="D676" s="1">
        <v>43846</v>
      </c>
      <c r="E676">
        <v>6955</v>
      </c>
      <c r="F676">
        <v>0</v>
      </c>
      <c r="G676">
        <v>65</v>
      </c>
      <c r="H676">
        <v>45</v>
      </c>
      <c r="I676">
        <v>398</v>
      </c>
      <c r="J676">
        <v>0</v>
      </c>
      <c r="K676">
        <v>1</v>
      </c>
      <c r="L676">
        <v>1180896317</v>
      </c>
      <c r="M676">
        <v>166</v>
      </c>
      <c r="N676" t="s">
        <v>181</v>
      </c>
      <c r="O676" t="s">
        <v>45</v>
      </c>
      <c r="P676">
        <v>81</v>
      </c>
      <c r="Q676">
        <v>83</v>
      </c>
      <c r="R676" t="str" cm="1">
        <f t="array" ref="R676">_xlfn.IFS(Q676&gt;70,"Good",Q676&lt;40,"Bad",(Q676&gt;OS714*(Q676&lt;80)),"Ok")</f>
        <v>Good</v>
      </c>
      <c r="S676">
        <v>75</v>
      </c>
      <c r="T676" t="str" cm="1">
        <f t="array" ref="T676">_xlfn.IFS(S676&gt;50, "High", S676&lt;=50, "Low")</f>
        <v>High</v>
      </c>
      <c r="U676">
        <v>14</v>
      </c>
      <c r="V676">
        <v>0</v>
      </c>
      <c r="W676">
        <v>29</v>
      </c>
      <c r="X676">
        <v>34</v>
      </c>
      <c r="Y676">
        <f t="shared" ca="1" si="10"/>
        <v>44.089929851782742</v>
      </c>
    </row>
    <row r="677" spans="1:25" x14ac:dyDescent="0.3">
      <c r="A677" t="s">
        <v>1257</v>
      </c>
      <c r="B677" t="s">
        <v>1258</v>
      </c>
      <c r="C677">
        <v>1</v>
      </c>
      <c r="D677" s="1">
        <v>43012</v>
      </c>
      <c r="E677">
        <v>2742</v>
      </c>
      <c r="F677">
        <v>0</v>
      </c>
      <c r="G677">
        <v>5</v>
      </c>
      <c r="H677">
        <v>1</v>
      </c>
      <c r="I677">
        <v>62</v>
      </c>
      <c r="J677">
        <v>0</v>
      </c>
      <c r="K677">
        <v>0</v>
      </c>
      <c r="L677">
        <v>498960285</v>
      </c>
      <c r="M677">
        <v>120</v>
      </c>
      <c r="N677" t="s">
        <v>81</v>
      </c>
      <c r="O677" t="s">
        <v>28</v>
      </c>
      <c r="P677">
        <v>67</v>
      </c>
      <c r="Q677">
        <v>8</v>
      </c>
      <c r="R677" t="str" cm="1">
        <f t="array" ref="R677">_xlfn.IFS(Q677&gt;70,"Good",Q677&lt;40,"Bad",(Q677&gt;OS715*(Q677&lt;80)),"Ok")</f>
        <v>Bad</v>
      </c>
      <c r="S677">
        <v>54</v>
      </c>
      <c r="T677" t="str" cm="1">
        <f t="array" ref="T677">_xlfn.IFS(S677&gt;50, "High", S677&lt;=50, "Low")</f>
        <v>High</v>
      </c>
      <c r="U677">
        <v>27</v>
      </c>
      <c r="V677">
        <v>0</v>
      </c>
      <c r="W677">
        <v>8</v>
      </c>
      <c r="X677">
        <v>4</v>
      </c>
      <c r="Y677">
        <f t="shared" ca="1" si="10"/>
        <v>1.3409639814556007</v>
      </c>
    </row>
    <row r="678" spans="1:25" x14ac:dyDescent="0.3">
      <c r="A678" t="s">
        <v>308</v>
      </c>
      <c r="B678" t="s">
        <v>44</v>
      </c>
      <c r="C678">
        <v>1</v>
      </c>
      <c r="D678" s="1">
        <v>43890</v>
      </c>
      <c r="E678">
        <v>4214</v>
      </c>
      <c r="F678">
        <v>11</v>
      </c>
      <c r="G678">
        <v>21</v>
      </c>
      <c r="H678">
        <v>20</v>
      </c>
      <c r="I678">
        <v>40</v>
      </c>
      <c r="J678">
        <v>0</v>
      </c>
      <c r="K678">
        <v>0</v>
      </c>
      <c r="L678">
        <v>685071800</v>
      </c>
      <c r="M678">
        <v>92</v>
      </c>
      <c r="O678" t="s">
        <v>28</v>
      </c>
      <c r="P678">
        <v>86</v>
      </c>
      <c r="Q678">
        <v>89</v>
      </c>
      <c r="R678" t="str" cm="1">
        <f t="array" ref="R678">_xlfn.IFS(Q678&gt;70,"Good",Q678&lt;40,"Bad",(Q678&gt;OS716*(Q678&lt;80)),"Ok")</f>
        <v>Good</v>
      </c>
      <c r="S678">
        <v>79</v>
      </c>
      <c r="T678" t="str" cm="1">
        <f t="array" ref="T678">_xlfn.IFS(S678&gt;50, "High", S678&lt;=50, "Low")</f>
        <v>High</v>
      </c>
      <c r="U678">
        <v>17</v>
      </c>
      <c r="V678">
        <v>0</v>
      </c>
      <c r="W678">
        <v>11</v>
      </c>
      <c r="X678">
        <v>6</v>
      </c>
      <c r="Y678">
        <f t="shared" ca="1" si="10"/>
        <v>54.269962078045822</v>
      </c>
    </row>
    <row r="679" spans="1:25" x14ac:dyDescent="0.3">
      <c r="A679" t="s">
        <v>1259</v>
      </c>
      <c r="B679" t="s">
        <v>1260</v>
      </c>
      <c r="C679">
        <v>1</v>
      </c>
      <c r="D679" s="1">
        <v>44589</v>
      </c>
      <c r="E679">
        <v>2026</v>
      </c>
      <c r="F679">
        <v>0</v>
      </c>
      <c r="G679">
        <v>47</v>
      </c>
      <c r="H679">
        <v>3</v>
      </c>
      <c r="I679">
        <v>42</v>
      </c>
      <c r="J679">
        <v>12</v>
      </c>
      <c r="K679">
        <v>6</v>
      </c>
      <c r="L679">
        <v>258714692</v>
      </c>
      <c r="M679">
        <v>85</v>
      </c>
      <c r="N679" t="s">
        <v>81</v>
      </c>
      <c r="O679" t="s">
        <v>45</v>
      </c>
      <c r="P679">
        <v>74</v>
      </c>
      <c r="Q679">
        <v>61</v>
      </c>
      <c r="R679" t="str" cm="1">
        <f t="array" ref="R679">_xlfn.IFS(Q679&gt;70,"Good",Q679&lt;40,"Bad",(Q679&gt;OS717*(Q679&lt;80)),"Ok")</f>
        <v>Ok</v>
      </c>
      <c r="S679">
        <v>52</v>
      </c>
      <c r="T679" t="str" cm="1">
        <f t="array" ref="T679">_xlfn.IFS(S679&gt;50, "High", S679&lt;=50, "Low")</f>
        <v>High</v>
      </c>
      <c r="U679">
        <v>30</v>
      </c>
      <c r="V679">
        <v>0</v>
      </c>
      <c r="W679">
        <v>26</v>
      </c>
      <c r="X679">
        <v>9</v>
      </c>
      <c r="Y679">
        <f t="shared" ca="1" si="10"/>
        <v>12.730548241896711</v>
      </c>
    </row>
    <row r="680" spans="1:25" x14ac:dyDescent="0.3">
      <c r="A680">
        <v>212</v>
      </c>
      <c r="B680" t="s">
        <v>1261</v>
      </c>
      <c r="C680">
        <v>2</v>
      </c>
      <c r="D680" s="1">
        <v>44576</v>
      </c>
      <c r="E680">
        <v>352</v>
      </c>
      <c r="F680">
        <v>0</v>
      </c>
      <c r="G680">
        <v>10</v>
      </c>
      <c r="H680">
        <v>0</v>
      </c>
      <c r="I680">
        <v>39</v>
      </c>
      <c r="J680">
        <v>0</v>
      </c>
      <c r="K680">
        <v>0</v>
      </c>
      <c r="L680">
        <v>143139338</v>
      </c>
      <c r="M680">
        <v>154</v>
      </c>
      <c r="N680" t="s">
        <v>61</v>
      </c>
      <c r="O680" t="s">
        <v>45</v>
      </c>
      <c r="P680">
        <v>79</v>
      </c>
      <c r="Q680">
        <v>86</v>
      </c>
      <c r="R680" t="str" cm="1">
        <f t="array" ref="R680">_xlfn.IFS(Q680&gt;70,"Good",Q680&lt;40,"Bad",(Q680&gt;OS718*(Q680&lt;80)),"Ok")</f>
        <v>Good</v>
      </c>
      <c r="S680">
        <v>52</v>
      </c>
      <c r="T680" t="str" cm="1">
        <f t="array" ref="T680">_xlfn.IFS(S680&gt;50, "High", S680&lt;=50, "Low")</f>
        <v>High</v>
      </c>
      <c r="U680">
        <v>66</v>
      </c>
      <c r="V680">
        <v>0</v>
      </c>
      <c r="W680">
        <v>9</v>
      </c>
      <c r="X680">
        <v>7</v>
      </c>
      <c r="Y680">
        <f t="shared" ca="1" si="10"/>
        <v>9.1384600491026031</v>
      </c>
    </row>
    <row r="681" spans="1:25" x14ac:dyDescent="0.3">
      <c r="A681" t="s">
        <v>1262</v>
      </c>
      <c r="B681" t="s">
        <v>1263</v>
      </c>
      <c r="C681">
        <v>2</v>
      </c>
      <c r="D681" s="1">
        <v>44491</v>
      </c>
      <c r="E681">
        <v>1517</v>
      </c>
      <c r="F681">
        <v>0</v>
      </c>
      <c r="G681">
        <v>42</v>
      </c>
      <c r="H681">
        <v>7</v>
      </c>
      <c r="I681">
        <v>15</v>
      </c>
      <c r="J681">
        <v>0</v>
      </c>
      <c r="K681">
        <v>4</v>
      </c>
      <c r="L681">
        <v>209768491</v>
      </c>
      <c r="M681">
        <v>92</v>
      </c>
      <c r="N681" t="s">
        <v>61</v>
      </c>
      <c r="O681" t="s">
        <v>45</v>
      </c>
      <c r="P681">
        <v>73</v>
      </c>
      <c r="Q681">
        <v>37</v>
      </c>
      <c r="R681" t="str" cm="1">
        <f t="array" ref="R681">_xlfn.IFS(Q681&gt;70,"Good",Q681&lt;40,"Bad",(Q681&gt;OS719*(Q681&lt;80)),"Ok")</f>
        <v>Bad</v>
      </c>
      <c r="S681">
        <v>74</v>
      </c>
      <c r="T681" t="str" cm="1">
        <f t="array" ref="T681">_xlfn.IFS(S681&gt;50, "High", S681&lt;=50, "Low")</f>
        <v>High</v>
      </c>
      <c r="U681">
        <v>28</v>
      </c>
      <c r="V681">
        <v>0</v>
      </c>
      <c r="W681">
        <v>14</v>
      </c>
      <c r="X681">
        <v>6</v>
      </c>
      <c r="Y681">
        <f t="shared" ca="1" si="10"/>
        <v>59.556563498531581</v>
      </c>
    </row>
    <row r="682" spans="1:25" x14ac:dyDescent="0.3">
      <c r="A682" t="s">
        <v>178</v>
      </c>
      <c r="B682" t="s">
        <v>1264</v>
      </c>
      <c r="C682">
        <v>2</v>
      </c>
      <c r="D682" s="1">
        <v>44603</v>
      </c>
      <c r="E682">
        <v>847</v>
      </c>
      <c r="F682">
        <v>0</v>
      </c>
      <c r="G682">
        <v>25</v>
      </c>
      <c r="H682">
        <v>0</v>
      </c>
      <c r="I682">
        <v>14</v>
      </c>
      <c r="J682">
        <v>0</v>
      </c>
      <c r="K682">
        <v>0</v>
      </c>
      <c r="L682">
        <v>64714573</v>
      </c>
      <c r="M682">
        <v>140</v>
      </c>
      <c r="N682" t="s">
        <v>27</v>
      </c>
      <c r="O682" t="s">
        <v>28</v>
      </c>
      <c r="P682">
        <v>89</v>
      </c>
      <c r="Q682">
        <v>75</v>
      </c>
      <c r="R682" t="str" cm="1">
        <f t="array" ref="R682">_xlfn.IFS(Q682&gt;70,"Good",Q682&lt;40,"Bad",(Q682&gt;OS720*(Q682&lt;80)),"Ok")</f>
        <v>Good</v>
      </c>
      <c r="S682">
        <v>70</v>
      </c>
      <c r="T682" t="str" cm="1">
        <f t="array" ref="T682">_xlfn.IFS(S682&gt;50, "High", S682&lt;=50, "Low")</f>
        <v>High</v>
      </c>
      <c r="U682">
        <v>6</v>
      </c>
      <c r="V682">
        <v>0</v>
      </c>
      <c r="W682">
        <v>13</v>
      </c>
      <c r="X682">
        <v>5</v>
      </c>
      <c r="Y682">
        <f t="shared" ca="1" si="10"/>
        <v>95.121018030069521</v>
      </c>
    </row>
    <row r="683" spans="1:25" x14ac:dyDescent="0.3">
      <c r="A683" t="s">
        <v>1265</v>
      </c>
      <c r="B683" t="s">
        <v>1266</v>
      </c>
      <c r="C683">
        <v>1</v>
      </c>
      <c r="D683" s="1">
        <v>44603</v>
      </c>
      <c r="E683">
        <v>910</v>
      </c>
      <c r="F683">
        <v>0</v>
      </c>
      <c r="G683">
        <v>20</v>
      </c>
      <c r="H683">
        <v>3</v>
      </c>
      <c r="I683">
        <v>24</v>
      </c>
      <c r="J683">
        <v>0</v>
      </c>
      <c r="K683">
        <v>0</v>
      </c>
      <c r="L683">
        <v>50746620</v>
      </c>
      <c r="M683">
        <v>89</v>
      </c>
      <c r="N683" t="s">
        <v>31</v>
      </c>
      <c r="O683" t="s">
        <v>28</v>
      </c>
      <c r="P683">
        <v>65</v>
      </c>
      <c r="Q683">
        <v>60</v>
      </c>
      <c r="R683" t="str" cm="1">
        <f t="array" ref="R683">_xlfn.IFS(Q683&gt;70,"Good",Q683&lt;40,"Bad",(Q683&gt;OS721*(Q683&lt;80)),"Ok")</f>
        <v>Ok</v>
      </c>
      <c r="S683">
        <v>60</v>
      </c>
      <c r="T683" t="str" cm="1">
        <f t="array" ref="T683">_xlfn.IFS(S683&gt;50, "High", S683&lt;=50, "Low")</f>
        <v>High</v>
      </c>
      <c r="U683">
        <v>11</v>
      </c>
      <c r="V683">
        <v>0</v>
      </c>
      <c r="W683">
        <v>10</v>
      </c>
      <c r="X683">
        <v>40</v>
      </c>
      <c r="Y683">
        <f t="shared" ca="1" si="10"/>
        <v>92.684401670115449</v>
      </c>
    </row>
    <row r="684" spans="1:25" x14ac:dyDescent="0.3">
      <c r="A684" t="s">
        <v>379</v>
      </c>
      <c r="B684" t="s">
        <v>1267</v>
      </c>
      <c r="C684">
        <v>1</v>
      </c>
      <c r="D684" s="1">
        <v>44589</v>
      </c>
      <c r="E684">
        <v>601</v>
      </c>
      <c r="F684">
        <v>0</v>
      </c>
      <c r="G684">
        <v>28</v>
      </c>
      <c r="H684">
        <v>73</v>
      </c>
      <c r="I684">
        <v>64</v>
      </c>
      <c r="J684">
        <v>0</v>
      </c>
      <c r="K684">
        <v>0</v>
      </c>
      <c r="L684">
        <v>154119539</v>
      </c>
      <c r="M684">
        <v>135</v>
      </c>
      <c r="N684" t="s">
        <v>34</v>
      </c>
      <c r="O684" t="s">
        <v>45</v>
      </c>
      <c r="P684">
        <v>89</v>
      </c>
      <c r="Q684">
        <v>89</v>
      </c>
      <c r="R684" t="str" cm="1">
        <f t="array" ref="R684">_xlfn.IFS(Q684&gt;70,"Good",Q684&lt;40,"Bad",(Q684&gt;OS722*(Q684&lt;80)),"Ok")</f>
        <v>Good</v>
      </c>
      <c r="S684">
        <v>86</v>
      </c>
      <c r="T684" t="str" cm="1">
        <f t="array" ref="T684">_xlfn.IFS(S684&gt;50, "High", S684&lt;=50, "Low")</f>
        <v>High</v>
      </c>
      <c r="U684">
        <v>16</v>
      </c>
      <c r="V684">
        <v>0</v>
      </c>
      <c r="W684">
        <v>8</v>
      </c>
      <c r="X684">
        <v>5</v>
      </c>
      <c r="Y684">
        <f t="shared" ca="1" si="10"/>
        <v>14.426360158626839</v>
      </c>
    </row>
    <row r="685" spans="1:25" x14ac:dyDescent="0.3">
      <c r="A685" t="s">
        <v>1268</v>
      </c>
      <c r="B685" t="s">
        <v>1269</v>
      </c>
      <c r="C685">
        <v>1</v>
      </c>
      <c r="D685" s="1">
        <v>44519</v>
      </c>
      <c r="E685">
        <v>1800</v>
      </c>
      <c r="F685">
        <v>0</v>
      </c>
      <c r="G685">
        <v>43</v>
      </c>
      <c r="H685">
        <v>36</v>
      </c>
      <c r="I685">
        <v>46</v>
      </c>
      <c r="J685">
        <v>13</v>
      </c>
      <c r="K685">
        <v>4</v>
      </c>
      <c r="L685">
        <v>181328253</v>
      </c>
      <c r="M685">
        <v>140</v>
      </c>
      <c r="N685" t="s">
        <v>81</v>
      </c>
      <c r="O685" t="s">
        <v>45</v>
      </c>
      <c r="P685">
        <v>51</v>
      </c>
      <c r="Q685">
        <v>66</v>
      </c>
      <c r="R685" t="str" cm="1">
        <f t="array" ref="R685">_xlfn.IFS(Q685&gt;70,"Good",Q685&lt;40,"Bad",(Q685&gt;OS723*(Q685&lt;80)),"Ok")</f>
        <v>Ok</v>
      </c>
      <c r="S685">
        <v>53</v>
      </c>
      <c r="T685" t="str" cm="1">
        <f t="array" ref="T685">_xlfn.IFS(S685&gt;50, "High", S685&lt;=50, "Low")</f>
        <v>High</v>
      </c>
      <c r="U685">
        <v>60</v>
      </c>
      <c r="V685">
        <v>0</v>
      </c>
      <c r="W685">
        <v>11</v>
      </c>
      <c r="X685">
        <v>18</v>
      </c>
      <c r="Y685">
        <f t="shared" ca="1" si="10"/>
        <v>26.223353128692427</v>
      </c>
    </row>
    <row r="686" spans="1:25" x14ac:dyDescent="0.3">
      <c r="A686" t="s">
        <v>1270</v>
      </c>
      <c r="B686" t="s">
        <v>1271</v>
      </c>
      <c r="C686">
        <v>1</v>
      </c>
      <c r="D686" s="1">
        <v>42209</v>
      </c>
      <c r="E686">
        <v>1930</v>
      </c>
      <c r="F686">
        <v>0</v>
      </c>
      <c r="G686">
        <v>3</v>
      </c>
      <c r="H686">
        <v>0</v>
      </c>
      <c r="I686">
        <v>28</v>
      </c>
      <c r="J686">
        <v>0</v>
      </c>
      <c r="K686">
        <v>1</v>
      </c>
      <c r="L686">
        <v>370068639</v>
      </c>
      <c r="M686">
        <v>82</v>
      </c>
      <c r="N686" t="s">
        <v>302</v>
      </c>
      <c r="O686" t="s">
        <v>28</v>
      </c>
      <c r="P686">
        <v>47</v>
      </c>
      <c r="Q686">
        <v>44</v>
      </c>
      <c r="R686" t="str" cm="1">
        <f t="array" ref="R686">_xlfn.IFS(Q686&gt;70,"Good",Q686&lt;40,"Bad",(Q686&gt;OS724*(Q686&lt;80)),"Ok")</f>
        <v>Ok</v>
      </c>
      <c r="S686">
        <v>76</v>
      </c>
      <c r="T686" t="str" cm="1">
        <f t="array" ref="T686">_xlfn.IFS(S686&gt;50, "High", S686&lt;=50, "Low")</f>
        <v>High</v>
      </c>
      <c r="U686">
        <v>8</v>
      </c>
      <c r="V686">
        <v>91</v>
      </c>
      <c r="W686">
        <v>9</v>
      </c>
      <c r="X686">
        <v>3</v>
      </c>
      <c r="Y686">
        <f t="shared" ca="1" si="10"/>
        <v>79.483804846137772</v>
      </c>
    </row>
    <row r="687" spans="1:25" x14ac:dyDescent="0.3">
      <c r="A687" t="s">
        <v>1272</v>
      </c>
      <c r="B687" t="s">
        <v>405</v>
      </c>
      <c r="C687">
        <v>1</v>
      </c>
      <c r="D687" s="1">
        <v>41640</v>
      </c>
      <c r="E687">
        <v>33032</v>
      </c>
      <c r="F687">
        <v>0</v>
      </c>
      <c r="G687">
        <v>363</v>
      </c>
      <c r="H687">
        <v>129</v>
      </c>
      <c r="I687" s="2">
        <v>3895</v>
      </c>
      <c r="J687">
        <v>0</v>
      </c>
      <c r="K687">
        <v>28</v>
      </c>
      <c r="L687">
        <v>2280566092</v>
      </c>
      <c r="M687">
        <v>79</v>
      </c>
      <c r="N687" t="s">
        <v>61</v>
      </c>
      <c r="O687" t="s">
        <v>28</v>
      </c>
      <c r="P687">
        <v>78</v>
      </c>
      <c r="Q687">
        <v>58</v>
      </c>
      <c r="R687" t="str" cm="1">
        <f t="array" ref="R687">_xlfn.IFS(Q687&gt;70,"Good",Q687&lt;40,"Bad",(Q687&gt;OS725*(Q687&lt;80)),"Ok")</f>
        <v>Ok</v>
      </c>
      <c r="S687">
        <v>45</v>
      </c>
      <c r="T687" t="str" cm="1">
        <f t="array" ref="T687">_xlfn.IFS(S687&gt;50, "High", S687&lt;=50, "Low")</f>
        <v>Low</v>
      </c>
      <c r="U687">
        <v>47</v>
      </c>
      <c r="V687">
        <v>0</v>
      </c>
      <c r="W687">
        <v>18</v>
      </c>
      <c r="X687">
        <v>3</v>
      </c>
      <c r="Y687">
        <f t="shared" ca="1" si="10"/>
        <v>56.93277021566081</v>
      </c>
    </row>
    <row r="688" spans="1:25" x14ac:dyDescent="0.3">
      <c r="A688" t="s">
        <v>1273</v>
      </c>
      <c r="B688" t="s">
        <v>656</v>
      </c>
      <c r="C688">
        <v>1</v>
      </c>
      <c r="D688" s="1">
        <v>43742</v>
      </c>
      <c r="E688">
        <v>6332</v>
      </c>
      <c r="F688">
        <v>0</v>
      </c>
      <c r="G688">
        <v>47</v>
      </c>
      <c r="H688">
        <v>116</v>
      </c>
      <c r="I688">
        <v>266</v>
      </c>
      <c r="J688">
        <v>0</v>
      </c>
      <c r="K688">
        <v>0</v>
      </c>
      <c r="L688">
        <v>563902868</v>
      </c>
      <c r="M688">
        <v>88</v>
      </c>
      <c r="N688" t="s">
        <v>34</v>
      </c>
      <c r="O688" t="s">
        <v>28</v>
      </c>
      <c r="P688">
        <v>31</v>
      </c>
      <c r="Q688">
        <v>31</v>
      </c>
      <c r="R688" t="str" cm="1">
        <f t="array" ref="R688">_xlfn.IFS(Q688&gt;70,"Good",Q688&lt;40,"Bad",(Q688&gt;OS726*(Q688&lt;80)),"Ok")</f>
        <v>Bad</v>
      </c>
      <c r="S688">
        <v>63</v>
      </c>
      <c r="T688" t="str" cm="1">
        <f t="array" ref="T688">_xlfn.IFS(S688&gt;50, "High", S688&lt;=50, "Low")</f>
        <v>High</v>
      </c>
      <c r="U688">
        <v>47</v>
      </c>
      <c r="V688">
        <v>27</v>
      </c>
      <c r="W688">
        <v>21</v>
      </c>
      <c r="X688">
        <v>12</v>
      </c>
      <c r="Y688">
        <f t="shared" ca="1" si="10"/>
        <v>71.457107604304611</v>
      </c>
    </row>
    <row r="689" spans="1:25" x14ac:dyDescent="0.3">
      <c r="A689" t="s">
        <v>1274</v>
      </c>
      <c r="B689" t="s">
        <v>1275</v>
      </c>
      <c r="C689">
        <v>1</v>
      </c>
      <c r="D689" s="1">
        <v>44554</v>
      </c>
      <c r="E689">
        <v>509</v>
      </c>
      <c r="F689">
        <v>9</v>
      </c>
      <c r="G689">
        <v>8</v>
      </c>
      <c r="H689">
        <v>106</v>
      </c>
      <c r="I689">
        <v>6</v>
      </c>
      <c r="J689">
        <v>0</v>
      </c>
      <c r="K689">
        <v>8</v>
      </c>
      <c r="L689">
        <v>317622165</v>
      </c>
      <c r="M689">
        <v>139</v>
      </c>
      <c r="N689" t="s">
        <v>34</v>
      </c>
      <c r="O689" t="s">
        <v>28</v>
      </c>
      <c r="P689">
        <v>44</v>
      </c>
      <c r="Q689">
        <v>18</v>
      </c>
      <c r="R689" t="str" cm="1">
        <f t="array" ref="R689">_xlfn.IFS(Q689&gt;70,"Good",Q689&lt;40,"Bad",(Q689&gt;OS727*(Q689&lt;80)),"Ok")</f>
        <v>Bad</v>
      </c>
      <c r="S689">
        <v>38</v>
      </c>
      <c r="T689" t="str" cm="1">
        <f t="array" ref="T689">_xlfn.IFS(S689&gt;50, "High", S689&lt;=50, "Low")</f>
        <v>Low</v>
      </c>
      <c r="U689">
        <v>70</v>
      </c>
      <c r="V689">
        <v>0</v>
      </c>
      <c r="W689">
        <v>12</v>
      </c>
      <c r="X689">
        <v>4</v>
      </c>
      <c r="Y689">
        <f t="shared" ca="1" si="10"/>
        <v>51.955778533743391</v>
      </c>
    </row>
    <row r="690" spans="1:25" x14ac:dyDescent="0.3">
      <c r="A690" t="s">
        <v>1276</v>
      </c>
      <c r="B690" t="s">
        <v>1277</v>
      </c>
      <c r="C690">
        <v>2</v>
      </c>
      <c r="D690" s="1">
        <v>44575</v>
      </c>
      <c r="E690">
        <v>971</v>
      </c>
      <c r="F690">
        <v>2</v>
      </c>
      <c r="G690">
        <v>35</v>
      </c>
      <c r="H690">
        <v>104</v>
      </c>
      <c r="I690">
        <v>93</v>
      </c>
      <c r="J690">
        <v>1</v>
      </c>
      <c r="K690">
        <v>0</v>
      </c>
      <c r="L690">
        <v>291709698</v>
      </c>
      <c r="M690">
        <v>124</v>
      </c>
      <c r="O690" t="s">
        <v>45</v>
      </c>
      <c r="P690">
        <v>73</v>
      </c>
      <c r="Q690">
        <v>68</v>
      </c>
      <c r="R690" t="str" cm="1">
        <f t="array" ref="R690">_xlfn.IFS(Q690&gt;70,"Good",Q690&lt;40,"Bad",(Q690&gt;OS728*(Q690&lt;80)),"Ok")</f>
        <v>Ok</v>
      </c>
      <c r="S690">
        <v>83</v>
      </c>
      <c r="T690" t="str" cm="1">
        <f t="array" ref="T690">_xlfn.IFS(S690&gt;50, "High", S690&lt;=50, "Low")</f>
        <v>High</v>
      </c>
      <c r="U690">
        <v>55</v>
      </c>
      <c r="V690">
        <v>0</v>
      </c>
      <c r="W690">
        <v>90</v>
      </c>
      <c r="X690">
        <v>7</v>
      </c>
      <c r="Y690">
        <f t="shared" ca="1" si="10"/>
        <v>80.119470669832609</v>
      </c>
    </row>
    <row r="691" spans="1:25" x14ac:dyDescent="0.3">
      <c r="A691" t="s">
        <v>1278</v>
      </c>
      <c r="B691" t="s">
        <v>656</v>
      </c>
      <c r="C691">
        <v>1</v>
      </c>
      <c r="D691" s="1">
        <v>43742</v>
      </c>
      <c r="E691">
        <v>2578</v>
      </c>
      <c r="F691">
        <v>0</v>
      </c>
      <c r="G691">
        <v>8</v>
      </c>
      <c r="H691">
        <v>67</v>
      </c>
      <c r="I691">
        <v>66</v>
      </c>
      <c r="J691">
        <v>0</v>
      </c>
      <c r="K691">
        <v>0</v>
      </c>
      <c r="L691">
        <v>203680270</v>
      </c>
      <c r="M691">
        <v>80</v>
      </c>
      <c r="N691" t="s">
        <v>81</v>
      </c>
      <c r="O691" t="s">
        <v>45</v>
      </c>
      <c r="P691">
        <v>39</v>
      </c>
      <c r="Q691">
        <v>45</v>
      </c>
      <c r="R691" t="str" cm="1">
        <f t="array" ref="R691">_xlfn.IFS(Q691&gt;70,"Good",Q691&lt;40,"Bad",(Q691&gt;OS729*(Q691&lt;80)),"Ok")</f>
        <v>Ok</v>
      </c>
      <c r="S691">
        <v>55</v>
      </c>
      <c r="T691" t="str" cm="1">
        <f t="array" ref="T691">_xlfn.IFS(S691&gt;50, "High", S691&lt;=50, "Low")</f>
        <v>High</v>
      </c>
      <c r="U691">
        <v>73</v>
      </c>
      <c r="V691">
        <v>0</v>
      </c>
      <c r="W691">
        <v>9</v>
      </c>
      <c r="X691">
        <v>21</v>
      </c>
      <c r="Y691">
        <f t="shared" ca="1" si="10"/>
        <v>56.627466690780039</v>
      </c>
    </row>
    <row r="692" spans="1:25" x14ac:dyDescent="0.3">
      <c r="A692" t="s">
        <v>1279</v>
      </c>
      <c r="B692" t="s">
        <v>1264</v>
      </c>
      <c r="C692">
        <v>2</v>
      </c>
      <c r="D692" s="1">
        <v>44596</v>
      </c>
      <c r="E692">
        <v>1064</v>
      </c>
      <c r="F692">
        <v>0</v>
      </c>
      <c r="G692">
        <v>42</v>
      </c>
      <c r="H692">
        <v>1</v>
      </c>
      <c r="I692">
        <v>26</v>
      </c>
      <c r="J692">
        <v>0</v>
      </c>
      <c r="K692">
        <v>0</v>
      </c>
      <c r="L692">
        <v>81350745</v>
      </c>
      <c r="M692">
        <v>120</v>
      </c>
      <c r="N692" t="s">
        <v>31</v>
      </c>
      <c r="O692" t="s">
        <v>45</v>
      </c>
      <c r="P692">
        <v>84</v>
      </c>
      <c r="Q692">
        <v>54</v>
      </c>
      <c r="R692" t="str" cm="1">
        <f t="array" ref="R692">_xlfn.IFS(Q692&gt;70,"Good",Q692&lt;40,"Bad",(Q692&gt;OS730*(Q692&lt;80)),"Ok")</f>
        <v>Ok</v>
      </c>
      <c r="S692">
        <v>51</v>
      </c>
      <c r="T692" t="str" cm="1">
        <f t="array" ref="T692">_xlfn.IFS(S692&gt;50, "High", S692&lt;=50, "Low")</f>
        <v>High</v>
      </c>
      <c r="U692">
        <v>47</v>
      </c>
      <c r="V692">
        <v>0</v>
      </c>
      <c r="W692">
        <v>12</v>
      </c>
      <c r="X692">
        <v>40</v>
      </c>
      <c r="Y692">
        <f t="shared" ca="1" si="10"/>
        <v>66.942916088283283</v>
      </c>
    </row>
    <row r="693" spans="1:25" x14ac:dyDescent="0.3">
      <c r="A693" t="s">
        <v>1280</v>
      </c>
      <c r="B693" t="s">
        <v>656</v>
      </c>
      <c r="C693">
        <v>1</v>
      </c>
      <c r="D693" s="1">
        <v>43742</v>
      </c>
      <c r="E693">
        <v>3618</v>
      </c>
      <c r="F693">
        <v>0</v>
      </c>
      <c r="G693">
        <v>21</v>
      </c>
      <c r="H693">
        <v>86</v>
      </c>
      <c r="I693">
        <v>138</v>
      </c>
      <c r="J693">
        <v>0</v>
      </c>
      <c r="K693">
        <v>2</v>
      </c>
      <c r="L693">
        <v>282883169</v>
      </c>
      <c r="M693">
        <v>80</v>
      </c>
      <c r="N693" t="s">
        <v>134</v>
      </c>
      <c r="O693" t="s">
        <v>45</v>
      </c>
      <c r="P693">
        <v>56</v>
      </c>
      <c r="Q693">
        <v>19</v>
      </c>
      <c r="R693" t="str" cm="1">
        <f t="array" ref="R693">_xlfn.IFS(Q693&gt;70,"Good",Q693&lt;40,"Bad",(Q693&gt;OS731*(Q693&lt;80)),"Ok")</f>
        <v>Bad</v>
      </c>
      <c r="S693">
        <v>46</v>
      </c>
      <c r="T693" t="str" cm="1">
        <f t="array" ref="T693">_xlfn.IFS(S693&gt;50, "High", S693&lt;=50, "Low")</f>
        <v>Low</v>
      </c>
      <c r="U693">
        <v>92</v>
      </c>
      <c r="V693">
        <v>72</v>
      </c>
      <c r="W693">
        <v>11</v>
      </c>
      <c r="X693">
        <v>3</v>
      </c>
      <c r="Y693">
        <f t="shared" ca="1" si="10"/>
        <v>73.184009637196993</v>
      </c>
    </row>
    <row r="694" spans="1:25" x14ac:dyDescent="0.3">
      <c r="A694" t="s">
        <v>1281</v>
      </c>
      <c r="B694" t="s">
        <v>1248</v>
      </c>
      <c r="C694">
        <v>2</v>
      </c>
      <c r="D694" s="1">
        <v>44596</v>
      </c>
      <c r="E694">
        <v>1040</v>
      </c>
      <c r="F694">
        <v>0</v>
      </c>
      <c r="G694">
        <v>8</v>
      </c>
      <c r="H694">
        <v>0</v>
      </c>
      <c r="I694">
        <v>29</v>
      </c>
      <c r="J694">
        <v>0</v>
      </c>
      <c r="K694">
        <v>0</v>
      </c>
      <c r="L694">
        <v>64787943</v>
      </c>
      <c r="M694">
        <v>117</v>
      </c>
      <c r="N694" t="s">
        <v>31</v>
      </c>
      <c r="O694" t="s">
        <v>28</v>
      </c>
      <c r="P694">
        <v>92</v>
      </c>
      <c r="Q694">
        <v>62</v>
      </c>
      <c r="R694" t="str" cm="1">
        <f t="array" ref="R694">_xlfn.IFS(Q694&gt;70,"Good",Q694&lt;40,"Bad",(Q694&gt;OS732*(Q694&lt;80)),"Ok")</f>
        <v>Ok</v>
      </c>
      <c r="S694">
        <v>86</v>
      </c>
      <c r="T694" t="str" cm="1">
        <f t="array" ref="T694">_xlfn.IFS(S694&gt;50, "High", S694&lt;=50, "Low")</f>
        <v>High</v>
      </c>
      <c r="U694">
        <v>11</v>
      </c>
      <c r="V694">
        <v>0</v>
      </c>
      <c r="W694">
        <v>24</v>
      </c>
      <c r="X694">
        <v>24</v>
      </c>
      <c r="Y694">
        <f t="shared" ca="1" si="10"/>
        <v>28.864523444662904</v>
      </c>
    </row>
    <row r="695" spans="1:25" x14ac:dyDescent="0.3">
      <c r="A695" t="s">
        <v>98</v>
      </c>
      <c r="B695" t="s">
        <v>1282</v>
      </c>
      <c r="C695">
        <v>2</v>
      </c>
      <c r="D695" s="1">
        <v>43635</v>
      </c>
      <c r="E695">
        <v>15010</v>
      </c>
      <c r="F695">
        <v>2</v>
      </c>
      <c r="G695">
        <v>453</v>
      </c>
      <c r="H695">
        <v>50</v>
      </c>
      <c r="I695" s="2">
        <v>1785</v>
      </c>
      <c r="J695">
        <v>1</v>
      </c>
      <c r="K695">
        <v>8</v>
      </c>
      <c r="L695">
        <v>2484812918</v>
      </c>
      <c r="M695">
        <v>117</v>
      </c>
      <c r="N695" t="s">
        <v>37</v>
      </c>
      <c r="O695" t="s">
        <v>45</v>
      </c>
      <c r="P695">
        <v>76</v>
      </c>
      <c r="Q695">
        <v>77</v>
      </c>
      <c r="R695" t="str" cm="1">
        <f t="array" ref="R695">_xlfn.IFS(Q695&gt;70,"Good",Q695&lt;40,"Bad",(Q695&gt;OS733*(Q695&lt;80)),"Ok")</f>
        <v>Good</v>
      </c>
      <c r="S695">
        <v>52</v>
      </c>
      <c r="T695" t="str" cm="1">
        <f t="array" ref="T695">_xlfn.IFS(S695&gt;50, "High", S695&lt;=50, "Low")</f>
        <v>High</v>
      </c>
      <c r="U695">
        <v>4</v>
      </c>
      <c r="V695">
        <v>0</v>
      </c>
      <c r="W695">
        <v>8</v>
      </c>
      <c r="X695">
        <v>3</v>
      </c>
      <c r="Y695">
        <f t="shared" ca="1" si="10"/>
        <v>39.337942224625898</v>
      </c>
    </row>
    <row r="696" spans="1:25" x14ac:dyDescent="0.3">
      <c r="A696" t="s">
        <v>1283</v>
      </c>
      <c r="B696" t="s">
        <v>714</v>
      </c>
      <c r="C696">
        <v>2</v>
      </c>
      <c r="D696" s="1">
        <v>43601</v>
      </c>
      <c r="E696">
        <v>4708</v>
      </c>
      <c r="F696">
        <v>0</v>
      </c>
      <c r="G696">
        <v>13</v>
      </c>
      <c r="H696">
        <v>7</v>
      </c>
      <c r="I696">
        <v>55</v>
      </c>
      <c r="J696">
        <v>0</v>
      </c>
      <c r="K696">
        <v>1</v>
      </c>
      <c r="L696">
        <v>461437791</v>
      </c>
      <c r="M696">
        <v>140</v>
      </c>
      <c r="N696" t="s">
        <v>34</v>
      </c>
      <c r="O696" t="s">
        <v>45</v>
      </c>
      <c r="P696">
        <v>62</v>
      </c>
      <c r="Q696">
        <v>46</v>
      </c>
      <c r="R696" t="str" cm="1">
        <f t="array" ref="R696">_xlfn.IFS(Q696&gt;70,"Good",Q696&lt;40,"Bad",(Q696&gt;OS734*(Q696&lt;80)),"Ok")</f>
        <v>Ok</v>
      </c>
      <c r="S696">
        <v>73</v>
      </c>
      <c r="T696" t="str" cm="1">
        <f t="array" ref="T696">_xlfn.IFS(S696&gt;50, "High", S696&lt;=50, "Low")</f>
        <v>High</v>
      </c>
      <c r="U696">
        <v>10</v>
      </c>
      <c r="V696">
        <v>0</v>
      </c>
      <c r="W696">
        <v>67</v>
      </c>
      <c r="X696">
        <v>11</v>
      </c>
      <c r="Y696">
        <f t="shared" ca="1" si="10"/>
        <v>34.264700974486274</v>
      </c>
    </row>
    <row r="697" spans="1:25" x14ac:dyDescent="0.3">
      <c r="A697" t="s">
        <v>1284</v>
      </c>
      <c r="B697" t="s">
        <v>77</v>
      </c>
      <c r="C697">
        <v>1</v>
      </c>
      <c r="D697" s="1">
        <v>43805</v>
      </c>
      <c r="E697">
        <v>13454</v>
      </c>
      <c r="F697">
        <v>1</v>
      </c>
      <c r="G697">
        <v>246</v>
      </c>
      <c r="H697">
        <v>71</v>
      </c>
      <c r="I697">
        <v>519</v>
      </c>
      <c r="J697">
        <v>2</v>
      </c>
      <c r="K697">
        <v>5</v>
      </c>
      <c r="L697">
        <v>1439191367</v>
      </c>
      <c r="M697">
        <v>99</v>
      </c>
      <c r="N697" t="s">
        <v>81</v>
      </c>
      <c r="O697" t="s">
        <v>28</v>
      </c>
      <c r="P697">
        <v>68</v>
      </c>
      <c r="Q697">
        <v>57</v>
      </c>
      <c r="R697" t="str" cm="1">
        <f t="array" ref="R697">_xlfn.IFS(Q697&gt;70,"Good",Q697&lt;40,"Bad",(Q697&gt;OS735*(Q697&lt;80)),"Ok")</f>
        <v>Ok</v>
      </c>
      <c r="S697">
        <v>77</v>
      </c>
      <c r="T697" t="str" cm="1">
        <f t="array" ref="T697">_xlfn.IFS(S697&gt;50, "High", S697&lt;=50, "Low")</f>
        <v>High</v>
      </c>
      <c r="U697">
        <v>2</v>
      </c>
      <c r="V697">
        <v>0</v>
      </c>
      <c r="W697">
        <v>10</v>
      </c>
      <c r="X697">
        <v>5</v>
      </c>
      <c r="Y697">
        <f t="shared" ca="1" si="10"/>
        <v>91.7146214467828</v>
      </c>
    </row>
    <row r="698" spans="1:25" x14ac:dyDescent="0.3">
      <c r="A698" t="s">
        <v>1285</v>
      </c>
      <c r="B698" t="s">
        <v>1286</v>
      </c>
      <c r="C698">
        <v>2</v>
      </c>
      <c r="D698" s="1">
        <v>43890</v>
      </c>
      <c r="E698">
        <v>4890</v>
      </c>
      <c r="F698">
        <v>20</v>
      </c>
      <c r="G698">
        <v>52</v>
      </c>
      <c r="H698">
        <v>42</v>
      </c>
      <c r="I698">
        <v>100</v>
      </c>
      <c r="J698">
        <v>0</v>
      </c>
      <c r="K698">
        <v>0</v>
      </c>
      <c r="L698">
        <v>759208783</v>
      </c>
      <c r="M698">
        <v>93</v>
      </c>
      <c r="N698" t="s">
        <v>31</v>
      </c>
      <c r="O698" t="s">
        <v>28</v>
      </c>
      <c r="P698">
        <v>74</v>
      </c>
      <c r="Q698">
        <v>59</v>
      </c>
      <c r="R698" t="str" cm="1">
        <f t="array" ref="R698">_xlfn.IFS(Q698&gt;70,"Good",Q698&lt;40,"Bad",(Q698&gt;OS736*(Q698&lt;80)),"Ok")</f>
        <v>Ok</v>
      </c>
      <c r="S698">
        <v>87</v>
      </c>
      <c r="T698" t="str" cm="1">
        <f t="array" ref="T698">_xlfn.IFS(S698&gt;50, "High", S698&lt;=50, "Low")</f>
        <v>High</v>
      </c>
      <c r="U698">
        <v>3</v>
      </c>
      <c r="V698">
        <v>0</v>
      </c>
      <c r="W698">
        <v>8</v>
      </c>
      <c r="X698">
        <v>5</v>
      </c>
      <c r="Y698">
        <f t="shared" ca="1" si="10"/>
        <v>69.516167838691345</v>
      </c>
    </row>
    <row r="699" spans="1:25" x14ac:dyDescent="0.3">
      <c r="A699" t="s">
        <v>1287</v>
      </c>
      <c r="B699" t="s">
        <v>1179</v>
      </c>
      <c r="C699">
        <v>1</v>
      </c>
      <c r="D699" s="1">
        <v>33505</v>
      </c>
      <c r="E699">
        <v>9514</v>
      </c>
      <c r="F699">
        <v>0</v>
      </c>
      <c r="G699">
        <v>45</v>
      </c>
      <c r="H699">
        <v>27</v>
      </c>
      <c r="I699" s="2">
        <v>1197</v>
      </c>
      <c r="J699">
        <v>0</v>
      </c>
      <c r="K699">
        <v>43</v>
      </c>
      <c r="L699">
        <v>368646862</v>
      </c>
      <c r="M699">
        <v>106</v>
      </c>
      <c r="N699" t="s">
        <v>81</v>
      </c>
      <c r="O699" t="s">
        <v>28</v>
      </c>
      <c r="P699">
        <v>44</v>
      </c>
      <c r="Q699">
        <v>8</v>
      </c>
      <c r="R699" t="str" cm="1">
        <f t="array" ref="R699">_xlfn.IFS(Q699&gt;70,"Good",Q699&lt;40,"Bad",(Q699&gt;OS737*(Q699&lt;80)),"Ok")</f>
        <v>Bad</v>
      </c>
      <c r="S699">
        <v>20</v>
      </c>
      <c r="T699" t="str" cm="1">
        <f t="array" ref="T699">_xlfn.IFS(S699&gt;50, "High", S699&lt;=50, "Low")</f>
        <v>Low</v>
      </c>
      <c r="U699">
        <v>74</v>
      </c>
      <c r="V699">
        <v>42</v>
      </c>
      <c r="W699">
        <v>11</v>
      </c>
      <c r="X699">
        <v>3</v>
      </c>
      <c r="Y699">
        <f t="shared" ca="1" si="10"/>
        <v>95.083155151024826</v>
      </c>
    </row>
    <row r="700" spans="1:25" x14ac:dyDescent="0.3">
      <c r="A700" t="s">
        <v>1288</v>
      </c>
      <c r="B700" t="s">
        <v>1289</v>
      </c>
      <c r="C700">
        <v>2</v>
      </c>
      <c r="D700" s="1">
        <v>44631</v>
      </c>
      <c r="E700">
        <v>3501</v>
      </c>
      <c r="F700">
        <v>0</v>
      </c>
      <c r="G700">
        <v>69</v>
      </c>
      <c r="H700">
        <v>2</v>
      </c>
      <c r="I700">
        <v>51</v>
      </c>
      <c r="J700">
        <v>11</v>
      </c>
      <c r="K700">
        <v>0</v>
      </c>
      <c r="L700">
        <v>299634472</v>
      </c>
      <c r="M700">
        <v>124</v>
      </c>
      <c r="N700" t="s">
        <v>94</v>
      </c>
      <c r="O700" t="s">
        <v>28</v>
      </c>
      <c r="P700">
        <v>81</v>
      </c>
      <c r="Q700">
        <v>68</v>
      </c>
      <c r="R700" t="str" cm="1">
        <f t="array" ref="R700">_xlfn.IFS(Q700&gt;70,"Good",Q700&lt;40,"Bad",(Q700&gt;OS738*(Q700&lt;80)),"Ok")</f>
        <v>Ok</v>
      </c>
      <c r="S700">
        <v>63</v>
      </c>
      <c r="T700" t="str" cm="1">
        <f t="array" ref="T700">_xlfn.IFS(S700&gt;50, "High", S700&lt;=50, "Low")</f>
        <v>High</v>
      </c>
      <c r="U700">
        <v>17</v>
      </c>
      <c r="V700">
        <v>0</v>
      </c>
      <c r="W700">
        <v>10</v>
      </c>
      <c r="X700">
        <v>22</v>
      </c>
      <c r="Y700">
        <f t="shared" ca="1" si="10"/>
        <v>47.660381131041198</v>
      </c>
    </row>
    <row r="701" spans="1:25" x14ac:dyDescent="0.3">
      <c r="A701" t="s">
        <v>494</v>
      </c>
      <c r="B701" t="s">
        <v>1290</v>
      </c>
      <c r="C701">
        <v>2</v>
      </c>
      <c r="D701" s="1">
        <v>44624</v>
      </c>
      <c r="E701">
        <v>6111</v>
      </c>
      <c r="F701">
        <v>4</v>
      </c>
      <c r="G701">
        <v>185</v>
      </c>
      <c r="H701">
        <v>40</v>
      </c>
      <c r="I701">
        <v>492</v>
      </c>
      <c r="J701">
        <v>9</v>
      </c>
      <c r="K701">
        <v>35</v>
      </c>
      <c r="L701">
        <v>756907987</v>
      </c>
      <c r="M701">
        <v>95</v>
      </c>
      <c r="N701" t="s">
        <v>81</v>
      </c>
      <c r="O701" t="s">
        <v>28</v>
      </c>
      <c r="P701">
        <v>76</v>
      </c>
      <c r="Q701">
        <v>96</v>
      </c>
      <c r="R701" t="str" cm="1">
        <f t="array" ref="R701">_xlfn.IFS(Q701&gt;70,"Good",Q701&lt;40,"Bad",(Q701&gt;OS739*(Q701&lt;80)),"Ok")</f>
        <v>Good</v>
      </c>
      <c r="S701">
        <v>70</v>
      </c>
      <c r="T701" t="str" cm="1">
        <f t="array" ref="T701">_xlfn.IFS(S701&gt;50, "High", S701&lt;=50, "Low")</f>
        <v>High</v>
      </c>
      <c r="U701">
        <v>18</v>
      </c>
      <c r="V701">
        <v>0</v>
      </c>
      <c r="W701">
        <v>33</v>
      </c>
      <c r="X701">
        <v>4</v>
      </c>
      <c r="Y701">
        <f t="shared" ca="1" si="10"/>
        <v>69.572250052644307</v>
      </c>
    </row>
    <row r="702" spans="1:25" x14ac:dyDescent="0.3">
      <c r="A702" t="s">
        <v>361</v>
      </c>
      <c r="B702" t="s">
        <v>1291</v>
      </c>
      <c r="C702">
        <v>1</v>
      </c>
      <c r="D702" s="1">
        <v>44582</v>
      </c>
      <c r="E702">
        <v>5415</v>
      </c>
      <c r="F702">
        <v>32</v>
      </c>
      <c r="G702">
        <v>46</v>
      </c>
      <c r="H702">
        <v>16</v>
      </c>
      <c r="I702">
        <v>53</v>
      </c>
      <c r="J702">
        <v>1</v>
      </c>
      <c r="K702">
        <v>2</v>
      </c>
      <c r="L702">
        <v>682475162</v>
      </c>
      <c r="M702">
        <v>96</v>
      </c>
      <c r="N702" t="s">
        <v>181</v>
      </c>
      <c r="O702" t="s">
        <v>45</v>
      </c>
      <c r="P702">
        <v>87</v>
      </c>
      <c r="Q702">
        <v>82</v>
      </c>
      <c r="R702" t="str" cm="1">
        <f t="array" ref="R702">_xlfn.IFS(Q702&gt;70,"Good",Q702&lt;40,"Bad",(Q702&gt;OS740*(Q702&lt;80)),"Ok")</f>
        <v>Good</v>
      </c>
      <c r="S702">
        <v>53</v>
      </c>
      <c r="T702" t="str" cm="1">
        <f t="array" ref="T702">_xlfn.IFS(S702&gt;50, "High", S702&lt;=50, "Low")</f>
        <v>High</v>
      </c>
      <c r="U702">
        <v>10</v>
      </c>
      <c r="V702">
        <v>0</v>
      </c>
      <c r="W702">
        <v>5</v>
      </c>
      <c r="X702">
        <v>8</v>
      </c>
      <c r="Y702">
        <f t="shared" ca="1" si="10"/>
        <v>66.0218780603347</v>
      </c>
    </row>
    <row r="703" spans="1:25" x14ac:dyDescent="0.3">
      <c r="A703" t="s">
        <v>1292</v>
      </c>
      <c r="B703" t="s">
        <v>1293</v>
      </c>
      <c r="C703">
        <v>1</v>
      </c>
      <c r="D703" s="1">
        <v>44511</v>
      </c>
      <c r="E703">
        <v>4673</v>
      </c>
      <c r="F703">
        <v>2</v>
      </c>
      <c r="G703">
        <v>123</v>
      </c>
      <c r="H703">
        <v>113</v>
      </c>
      <c r="I703">
        <v>180</v>
      </c>
      <c r="J703">
        <v>1</v>
      </c>
      <c r="K703">
        <v>4</v>
      </c>
      <c r="L703">
        <v>546191065</v>
      </c>
      <c r="M703">
        <v>92</v>
      </c>
      <c r="N703" t="s">
        <v>134</v>
      </c>
      <c r="O703" t="s">
        <v>45</v>
      </c>
      <c r="P703">
        <v>81</v>
      </c>
      <c r="Q703">
        <v>40</v>
      </c>
      <c r="R703" t="str" cm="1">
        <f t="array" ref="R703">_xlfn.IFS(Q703&gt;70,"Good",Q703&lt;40,"Bad",(Q703&gt;OS741*(Q703&lt;80)),"Ok")</f>
        <v>Ok</v>
      </c>
      <c r="S703">
        <v>73</v>
      </c>
      <c r="T703" t="str" cm="1">
        <f t="array" ref="T703">_xlfn.IFS(S703&gt;50, "High", S703&lt;=50, "Low")</f>
        <v>High</v>
      </c>
      <c r="U703">
        <v>15</v>
      </c>
      <c r="V703">
        <v>0</v>
      </c>
      <c r="W703">
        <v>9</v>
      </c>
      <c r="X703">
        <v>8</v>
      </c>
      <c r="Y703">
        <f t="shared" ca="1" si="10"/>
        <v>30.871784229887446</v>
      </c>
    </row>
    <row r="704" spans="1:25" x14ac:dyDescent="0.3">
      <c r="A704" t="s">
        <v>1294</v>
      </c>
      <c r="B704" t="s">
        <v>1295</v>
      </c>
      <c r="C704">
        <v>1</v>
      </c>
      <c r="D704" s="1">
        <v>44623</v>
      </c>
      <c r="E704">
        <v>1856</v>
      </c>
      <c r="F704">
        <v>3</v>
      </c>
      <c r="G704">
        <v>29</v>
      </c>
      <c r="H704">
        <v>40</v>
      </c>
      <c r="I704">
        <v>31</v>
      </c>
      <c r="J704">
        <v>1</v>
      </c>
      <c r="K704">
        <v>1</v>
      </c>
      <c r="L704">
        <v>229473310</v>
      </c>
      <c r="M704">
        <v>124</v>
      </c>
      <c r="N704" t="s">
        <v>94</v>
      </c>
      <c r="O704" t="s">
        <v>28</v>
      </c>
      <c r="P704">
        <v>95</v>
      </c>
      <c r="Q704">
        <v>36</v>
      </c>
      <c r="R704" t="str" cm="1">
        <f t="array" ref="R704">_xlfn.IFS(Q704&gt;70,"Good",Q704&lt;40,"Bad",(Q704&gt;OS742*(Q704&lt;80)),"Ok")</f>
        <v>Bad</v>
      </c>
      <c r="S704">
        <v>37</v>
      </c>
      <c r="T704" t="str" cm="1">
        <f t="array" ref="T704">_xlfn.IFS(S704&gt;50, "High", S704&lt;=50, "Low")</f>
        <v>Low</v>
      </c>
      <c r="U704">
        <v>35</v>
      </c>
      <c r="V704">
        <v>0</v>
      </c>
      <c r="W704">
        <v>10</v>
      </c>
      <c r="X704">
        <v>28</v>
      </c>
      <c r="Y704">
        <f t="shared" ca="1" si="10"/>
        <v>73.591872357348791</v>
      </c>
    </row>
    <row r="705" spans="1:25" x14ac:dyDescent="0.3">
      <c r="A705" t="s">
        <v>1296</v>
      </c>
      <c r="B705" t="s">
        <v>1297</v>
      </c>
      <c r="C705">
        <v>1</v>
      </c>
      <c r="D705" s="1">
        <v>44623</v>
      </c>
      <c r="E705">
        <v>200</v>
      </c>
      <c r="F705">
        <v>2</v>
      </c>
      <c r="G705">
        <v>12</v>
      </c>
      <c r="H705">
        <v>4</v>
      </c>
      <c r="I705">
        <v>0</v>
      </c>
      <c r="J705">
        <v>0</v>
      </c>
      <c r="K705">
        <v>0</v>
      </c>
      <c r="L705">
        <v>202677468</v>
      </c>
      <c r="M705">
        <v>72</v>
      </c>
      <c r="N705" t="s">
        <v>65</v>
      </c>
      <c r="O705" t="s">
        <v>28</v>
      </c>
      <c r="P705">
        <v>64</v>
      </c>
      <c r="Q705">
        <v>76</v>
      </c>
      <c r="R705" t="str" cm="1">
        <f t="array" ref="R705">_xlfn.IFS(Q705&gt;70,"Good",Q705&lt;40,"Bad",(Q705&gt;OS743*(Q705&lt;80)),"Ok")</f>
        <v>Good</v>
      </c>
      <c r="S705">
        <v>44</v>
      </c>
      <c r="T705" t="str" cm="1">
        <f t="array" ref="T705">_xlfn.IFS(S705&gt;50, "High", S705&lt;=50, "Low")</f>
        <v>Low</v>
      </c>
      <c r="U705">
        <v>70</v>
      </c>
      <c r="V705">
        <v>9</v>
      </c>
      <c r="W705">
        <v>12</v>
      </c>
      <c r="X705">
        <v>4</v>
      </c>
      <c r="Y705">
        <f t="shared" ca="1" si="10"/>
        <v>76.356952890335691</v>
      </c>
    </row>
    <row r="706" spans="1:25" x14ac:dyDescent="0.3">
      <c r="A706" t="s">
        <v>1298</v>
      </c>
      <c r="B706" t="s">
        <v>656</v>
      </c>
      <c r="C706">
        <v>1</v>
      </c>
      <c r="D706" s="1">
        <v>44596</v>
      </c>
      <c r="E706">
        <v>1888</v>
      </c>
      <c r="F706">
        <v>0</v>
      </c>
      <c r="G706">
        <v>26</v>
      </c>
      <c r="H706">
        <v>1</v>
      </c>
      <c r="I706">
        <v>58</v>
      </c>
      <c r="J706">
        <v>0</v>
      </c>
      <c r="K706">
        <v>0</v>
      </c>
      <c r="L706">
        <v>121913181</v>
      </c>
      <c r="M706">
        <v>71</v>
      </c>
      <c r="O706" t="s">
        <v>45</v>
      </c>
      <c r="P706">
        <v>28</v>
      </c>
      <c r="Q706">
        <v>26</v>
      </c>
      <c r="R706" t="str" cm="1">
        <f t="array" ref="R706">_xlfn.IFS(Q706&gt;70,"Good",Q706&lt;40,"Bad",(Q706&gt;OS744*(Q706&lt;80)),"Ok")</f>
        <v>Bad</v>
      </c>
      <c r="S706">
        <v>20</v>
      </c>
      <c r="T706" t="str" cm="1">
        <f t="array" ref="T706">_xlfn.IFS(S706&gt;50, "High", S706&lt;=50, "Low")</f>
        <v>Low</v>
      </c>
      <c r="U706">
        <v>19</v>
      </c>
      <c r="V706">
        <v>0</v>
      </c>
      <c r="W706">
        <v>30</v>
      </c>
      <c r="X706">
        <v>3</v>
      </c>
      <c r="Y706">
        <f t="shared" ref="Y706:Y769" ca="1" si="11">RAND()*100</f>
        <v>98.810495708960929</v>
      </c>
    </row>
    <row r="707" spans="1:25" x14ac:dyDescent="0.3">
      <c r="A707" t="s">
        <v>1299</v>
      </c>
      <c r="B707" t="s">
        <v>1300</v>
      </c>
      <c r="C707">
        <v>2</v>
      </c>
      <c r="D707" s="1">
        <v>44593</v>
      </c>
      <c r="E707">
        <v>911</v>
      </c>
      <c r="F707">
        <v>2</v>
      </c>
      <c r="G707">
        <v>45</v>
      </c>
      <c r="H707">
        <v>0</v>
      </c>
      <c r="I707">
        <v>99</v>
      </c>
      <c r="J707">
        <v>1</v>
      </c>
      <c r="K707">
        <v>1</v>
      </c>
      <c r="L707">
        <v>208166039</v>
      </c>
      <c r="M707">
        <v>135</v>
      </c>
      <c r="N707" t="s">
        <v>37</v>
      </c>
      <c r="O707" t="s">
        <v>45</v>
      </c>
      <c r="P707">
        <v>78</v>
      </c>
      <c r="Q707">
        <v>55</v>
      </c>
      <c r="R707" t="str" cm="1">
        <f t="array" ref="R707">_xlfn.IFS(Q707&gt;70,"Good",Q707&lt;40,"Bad",(Q707&gt;OS745*(Q707&lt;80)),"Ok")</f>
        <v>Ok</v>
      </c>
      <c r="S707">
        <v>57</v>
      </c>
      <c r="T707" t="str" cm="1">
        <f t="array" ref="T707">_xlfn.IFS(S707&gt;50, "High", S707&lt;=50, "Low")</f>
        <v>High</v>
      </c>
      <c r="U707">
        <v>4</v>
      </c>
      <c r="V707">
        <v>0</v>
      </c>
      <c r="W707">
        <v>10</v>
      </c>
      <c r="X707">
        <v>8</v>
      </c>
      <c r="Y707">
        <f t="shared" ca="1" si="11"/>
        <v>53.886444188770696</v>
      </c>
    </row>
    <row r="708" spans="1:25" x14ac:dyDescent="0.3">
      <c r="A708" t="s">
        <v>1301</v>
      </c>
      <c r="B708" t="s">
        <v>1302</v>
      </c>
      <c r="C708">
        <v>1</v>
      </c>
      <c r="D708" s="1">
        <v>38111</v>
      </c>
      <c r="E708">
        <v>2954</v>
      </c>
      <c r="F708">
        <v>2</v>
      </c>
      <c r="G708">
        <v>18</v>
      </c>
      <c r="H708">
        <v>82</v>
      </c>
      <c r="I708">
        <v>0</v>
      </c>
      <c r="J708">
        <v>0</v>
      </c>
      <c r="K708">
        <v>5</v>
      </c>
      <c r="L708">
        <v>527033089</v>
      </c>
      <c r="M708">
        <v>95</v>
      </c>
      <c r="N708" t="s">
        <v>181</v>
      </c>
      <c r="O708" t="s">
        <v>28</v>
      </c>
      <c r="P708">
        <v>81</v>
      </c>
      <c r="Q708">
        <v>56</v>
      </c>
      <c r="R708" t="str" cm="1">
        <f t="array" ref="R708">_xlfn.IFS(Q708&gt;70,"Good",Q708&lt;40,"Bad",(Q708&gt;OS746*(Q708&lt;80)),"Ok")</f>
        <v>Ok</v>
      </c>
      <c r="S708">
        <v>70</v>
      </c>
      <c r="T708" t="str" cm="1">
        <f t="array" ref="T708">_xlfn.IFS(S708&gt;50, "High", S708&lt;=50, "Low")</f>
        <v>High</v>
      </c>
      <c r="U708">
        <v>4</v>
      </c>
      <c r="V708">
        <v>0</v>
      </c>
      <c r="W708">
        <v>5</v>
      </c>
      <c r="X708">
        <v>24</v>
      </c>
      <c r="Y708">
        <f t="shared" ca="1" si="11"/>
        <v>95.274568698464535</v>
      </c>
    </row>
    <row r="709" spans="1:25" x14ac:dyDescent="0.3">
      <c r="A709" t="s">
        <v>1303</v>
      </c>
      <c r="B709" t="s">
        <v>1304</v>
      </c>
      <c r="C709">
        <v>2</v>
      </c>
      <c r="D709" s="1">
        <v>44623</v>
      </c>
      <c r="E709">
        <v>461</v>
      </c>
      <c r="F709">
        <v>0</v>
      </c>
      <c r="G709">
        <v>7</v>
      </c>
      <c r="H709">
        <v>11</v>
      </c>
      <c r="I709">
        <v>13</v>
      </c>
      <c r="J709">
        <v>0</v>
      </c>
      <c r="K709">
        <v>0</v>
      </c>
      <c r="L709">
        <v>94616487</v>
      </c>
      <c r="M709">
        <v>71</v>
      </c>
      <c r="N709" t="s">
        <v>31</v>
      </c>
      <c r="O709" t="s">
        <v>45</v>
      </c>
      <c r="P709">
        <v>59</v>
      </c>
      <c r="Q709">
        <v>70</v>
      </c>
      <c r="R709" t="str" cm="1">
        <f t="array" ref="R709">_xlfn.IFS(Q709&gt;70,"Good",Q709&lt;40,"Bad",(Q709&gt;OS747*(Q709&lt;80)),"Ok")</f>
        <v>Ok</v>
      </c>
      <c r="S709">
        <v>74</v>
      </c>
      <c r="T709" t="str" cm="1">
        <f t="array" ref="T709">_xlfn.IFS(S709&gt;50, "High", S709&lt;=50, "Low")</f>
        <v>High</v>
      </c>
      <c r="U709">
        <v>56</v>
      </c>
      <c r="V709">
        <v>0</v>
      </c>
      <c r="W709">
        <v>11</v>
      </c>
      <c r="X709">
        <v>40</v>
      </c>
      <c r="Y709">
        <f t="shared" ca="1" si="11"/>
        <v>80.132729230501255</v>
      </c>
    </row>
    <row r="710" spans="1:25" x14ac:dyDescent="0.3">
      <c r="A710" t="s">
        <v>123</v>
      </c>
      <c r="B710" t="s">
        <v>1251</v>
      </c>
      <c r="C710">
        <v>1</v>
      </c>
      <c r="D710" s="1">
        <v>44316</v>
      </c>
      <c r="E710">
        <v>2844</v>
      </c>
      <c r="F710">
        <v>2</v>
      </c>
      <c r="G710">
        <v>29</v>
      </c>
      <c r="H710">
        <v>2</v>
      </c>
      <c r="I710">
        <v>35</v>
      </c>
      <c r="J710">
        <v>1</v>
      </c>
      <c r="K710">
        <v>0</v>
      </c>
      <c r="L710">
        <v>394030335</v>
      </c>
      <c r="M710">
        <v>180</v>
      </c>
      <c r="N710" t="s">
        <v>181</v>
      </c>
      <c r="O710" t="s">
        <v>45</v>
      </c>
      <c r="P710">
        <v>80</v>
      </c>
      <c r="Q710">
        <v>71</v>
      </c>
      <c r="R710" t="str" cm="1">
        <f t="array" ref="R710">_xlfn.IFS(Q710&gt;70,"Good",Q710&lt;40,"Bad",(Q710&gt;OS748*(Q710&lt;80)),"Ok")</f>
        <v>Good</v>
      </c>
      <c r="S710">
        <v>68</v>
      </c>
      <c r="T710" t="str" cm="1">
        <f t="array" ref="T710">_xlfn.IFS(S710&gt;50, "High", S710&lt;=50, "Low")</f>
        <v>High</v>
      </c>
      <c r="U710">
        <v>6</v>
      </c>
      <c r="V710">
        <v>0</v>
      </c>
      <c r="W710">
        <v>10</v>
      </c>
      <c r="X710">
        <v>37</v>
      </c>
      <c r="Y710">
        <f t="shared" ca="1" si="11"/>
        <v>0.42789592004435217</v>
      </c>
    </row>
    <row r="711" spans="1:25" x14ac:dyDescent="0.3">
      <c r="A711" t="s">
        <v>1305</v>
      </c>
      <c r="B711" t="s">
        <v>1306</v>
      </c>
      <c r="C711">
        <v>1</v>
      </c>
      <c r="D711" s="1">
        <v>44610</v>
      </c>
      <c r="E711">
        <v>2939</v>
      </c>
      <c r="F711">
        <v>0</v>
      </c>
      <c r="G711">
        <v>42</v>
      </c>
      <c r="H711">
        <v>0</v>
      </c>
      <c r="I711">
        <v>24</v>
      </c>
      <c r="J711">
        <v>0</v>
      </c>
      <c r="K711">
        <v>0</v>
      </c>
      <c r="L711">
        <v>193443895</v>
      </c>
      <c r="M711">
        <v>150</v>
      </c>
      <c r="N711" t="s">
        <v>134</v>
      </c>
      <c r="O711" t="s">
        <v>45</v>
      </c>
      <c r="P711">
        <v>65</v>
      </c>
      <c r="Q711">
        <v>11</v>
      </c>
      <c r="R711" t="str" cm="1">
        <f t="array" ref="R711">_xlfn.IFS(Q711&gt;70,"Good",Q711&lt;40,"Bad",(Q711&gt;OS749*(Q711&lt;80)),"Ok")</f>
        <v>Bad</v>
      </c>
      <c r="S711">
        <v>58</v>
      </c>
      <c r="T711" t="str" cm="1">
        <f t="array" ref="T711">_xlfn.IFS(S711&gt;50, "High", S711&lt;=50, "Low")</f>
        <v>High</v>
      </c>
      <c r="U711">
        <v>0</v>
      </c>
      <c r="V711">
        <v>0</v>
      </c>
      <c r="W711">
        <v>12</v>
      </c>
      <c r="X711">
        <v>9</v>
      </c>
      <c r="Y711">
        <f t="shared" ca="1" si="11"/>
        <v>13.488683732234986</v>
      </c>
    </row>
    <row r="712" spans="1:25" x14ac:dyDescent="0.3">
      <c r="A712" t="s">
        <v>1307</v>
      </c>
      <c r="B712" t="s">
        <v>1308</v>
      </c>
      <c r="C712">
        <v>1</v>
      </c>
      <c r="D712" s="1">
        <v>44610</v>
      </c>
      <c r="E712">
        <v>695</v>
      </c>
      <c r="F712">
        <v>11</v>
      </c>
      <c r="G712">
        <v>16</v>
      </c>
      <c r="H712">
        <v>41</v>
      </c>
      <c r="I712">
        <v>13</v>
      </c>
      <c r="J712">
        <v>1</v>
      </c>
      <c r="K712">
        <v>1</v>
      </c>
      <c r="L712">
        <v>299648208</v>
      </c>
      <c r="M712">
        <v>189</v>
      </c>
      <c r="N712" t="s">
        <v>81</v>
      </c>
      <c r="O712" t="s">
        <v>28</v>
      </c>
      <c r="P712">
        <v>55</v>
      </c>
      <c r="Q712">
        <v>86</v>
      </c>
      <c r="R712" t="str" cm="1">
        <f t="array" ref="R712">_xlfn.IFS(Q712&gt;70,"Good",Q712&lt;40,"Bad",(Q712&gt;OS750*(Q712&lt;80)),"Ok")</f>
        <v>Good</v>
      </c>
      <c r="S712">
        <v>44</v>
      </c>
      <c r="T712" t="str" cm="1">
        <f t="array" ref="T712">_xlfn.IFS(S712&gt;50, "High", S712&lt;=50, "Low")</f>
        <v>Low</v>
      </c>
      <c r="U712">
        <v>40</v>
      </c>
      <c r="V712">
        <v>0</v>
      </c>
      <c r="W712">
        <v>7</v>
      </c>
      <c r="X712">
        <v>4</v>
      </c>
      <c r="Y712">
        <f t="shared" ca="1" si="11"/>
        <v>98.556419733252227</v>
      </c>
    </row>
    <row r="713" spans="1:25" x14ac:dyDescent="0.3">
      <c r="A713" t="s">
        <v>1309</v>
      </c>
      <c r="B713" t="s">
        <v>1310</v>
      </c>
      <c r="C713">
        <v>1</v>
      </c>
      <c r="D713" s="1">
        <v>44607</v>
      </c>
      <c r="E713">
        <v>328</v>
      </c>
      <c r="F713">
        <v>0</v>
      </c>
      <c r="G713">
        <v>10</v>
      </c>
      <c r="H713">
        <v>21</v>
      </c>
      <c r="I713">
        <v>7</v>
      </c>
      <c r="J713">
        <v>0</v>
      </c>
      <c r="K713">
        <v>9</v>
      </c>
      <c r="L713">
        <v>182978249</v>
      </c>
      <c r="M713">
        <v>85</v>
      </c>
      <c r="O713" t="s">
        <v>28</v>
      </c>
      <c r="P713">
        <v>72</v>
      </c>
      <c r="Q713">
        <v>55</v>
      </c>
      <c r="R713" t="str" cm="1">
        <f t="array" ref="R713">_xlfn.IFS(Q713&gt;70,"Good",Q713&lt;40,"Bad",(Q713&gt;OS751*(Q713&lt;80)),"Ok")</f>
        <v>Ok</v>
      </c>
      <c r="S713">
        <v>64</v>
      </c>
      <c r="T713" t="str" cm="1">
        <f t="array" ref="T713">_xlfn.IFS(S713&gt;50, "High", S713&lt;=50, "Low")</f>
        <v>High</v>
      </c>
      <c r="U713">
        <v>49</v>
      </c>
      <c r="V713">
        <v>0</v>
      </c>
      <c r="W713">
        <v>7</v>
      </c>
      <c r="X713">
        <v>4</v>
      </c>
      <c r="Y713">
        <f t="shared" ca="1" si="11"/>
        <v>31.963872044217602</v>
      </c>
    </row>
    <row r="714" spans="1:25" x14ac:dyDescent="0.3">
      <c r="A714" t="s">
        <v>1311</v>
      </c>
      <c r="B714" t="s">
        <v>1312</v>
      </c>
      <c r="C714">
        <v>1</v>
      </c>
      <c r="D714" s="1">
        <v>44610</v>
      </c>
      <c r="E714">
        <v>866</v>
      </c>
      <c r="F714">
        <v>16</v>
      </c>
      <c r="G714">
        <v>27</v>
      </c>
      <c r="H714">
        <v>84</v>
      </c>
      <c r="I714">
        <v>32</v>
      </c>
      <c r="J714">
        <v>7</v>
      </c>
      <c r="K714">
        <v>11</v>
      </c>
      <c r="L714">
        <v>319757142</v>
      </c>
      <c r="M714">
        <v>140</v>
      </c>
      <c r="N714" t="s">
        <v>94</v>
      </c>
      <c r="O714" t="s">
        <v>28</v>
      </c>
      <c r="P714">
        <v>59</v>
      </c>
      <c r="Q714">
        <v>73</v>
      </c>
      <c r="R714" t="str" cm="1">
        <f t="array" ref="R714">_xlfn.IFS(Q714&gt;70,"Good",Q714&lt;40,"Bad",(Q714&gt;OS752*(Q714&lt;80)),"Ok")</f>
        <v>Good</v>
      </c>
      <c r="S714">
        <v>45</v>
      </c>
      <c r="T714" t="str" cm="1">
        <f t="array" ref="T714">_xlfn.IFS(S714&gt;50, "High", S714&lt;=50, "Low")</f>
        <v>Low</v>
      </c>
      <c r="U714">
        <v>44</v>
      </c>
      <c r="V714">
        <v>0</v>
      </c>
      <c r="W714">
        <v>34</v>
      </c>
      <c r="X714">
        <v>3</v>
      </c>
      <c r="Y714">
        <f t="shared" ca="1" si="11"/>
        <v>35.76004512192943</v>
      </c>
    </row>
    <row r="715" spans="1:25" x14ac:dyDescent="0.3">
      <c r="A715" t="s">
        <v>1313</v>
      </c>
      <c r="B715" t="s">
        <v>1314</v>
      </c>
      <c r="C715">
        <v>2</v>
      </c>
      <c r="D715" s="1">
        <v>41471</v>
      </c>
      <c r="E715">
        <v>1550</v>
      </c>
      <c r="F715">
        <v>0</v>
      </c>
      <c r="G715">
        <v>0</v>
      </c>
      <c r="H715">
        <v>0</v>
      </c>
      <c r="I715">
        <v>14</v>
      </c>
      <c r="J715">
        <v>0</v>
      </c>
      <c r="K715">
        <v>0</v>
      </c>
      <c r="L715">
        <v>109091573</v>
      </c>
      <c r="M715">
        <v>81</v>
      </c>
      <c r="O715" t="s">
        <v>28</v>
      </c>
      <c r="P715">
        <v>77</v>
      </c>
      <c r="Q715">
        <v>68</v>
      </c>
      <c r="R715" t="str" cm="1">
        <f t="array" ref="R715">_xlfn.IFS(Q715&gt;70,"Good",Q715&lt;40,"Bad",(Q715&gt;OS753*(Q715&lt;80)),"Ok")</f>
        <v>Ok</v>
      </c>
      <c r="S715">
        <v>70</v>
      </c>
      <c r="T715" t="str" cm="1">
        <f t="array" ref="T715">_xlfn.IFS(S715&gt;50, "High", S715&lt;=50, "Low")</f>
        <v>High</v>
      </c>
      <c r="U715">
        <v>6</v>
      </c>
      <c r="V715">
        <v>0</v>
      </c>
      <c r="W715">
        <v>17</v>
      </c>
      <c r="X715">
        <v>20</v>
      </c>
      <c r="Y715">
        <f t="shared" ca="1" si="11"/>
        <v>39.262825821304993</v>
      </c>
    </row>
    <row r="716" spans="1:25" x14ac:dyDescent="0.3">
      <c r="A716" t="s">
        <v>1315</v>
      </c>
      <c r="B716" t="s">
        <v>1316</v>
      </c>
      <c r="C716">
        <v>2</v>
      </c>
      <c r="D716" s="1">
        <v>44617</v>
      </c>
      <c r="E716">
        <v>1729</v>
      </c>
      <c r="F716">
        <v>0</v>
      </c>
      <c r="G716">
        <v>26</v>
      </c>
      <c r="H716">
        <v>1</v>
      </c>
      <c r="I716">
        <v>19</v>
      </c>
      <c r="J716">
        <v>0</v>
      </c>
      <c r="K716">
        <v>0</v>
      </c>
      <c r="L716">
        <v>153240879</v>
      </c>
      <c r="M716">
        <v>104</v>
      </c>
      <c r="N716" t="s">
        <v>61</v>
      </c>
      <c r="O716" t="s">
        <v>45</v>
      </c>
      <c r="P716">
        <v>80</v>
      </c>
      <c r="Q716">
        <v>24</v>
      </c>
      <c r="R716" t="str" cm="1">
        <f t="array" ref="R716">_xlfn.IFS(Q716&gt;70,"Good",Q716&lt;40,"Bad",(Q716&gt;OS754*(Q716&lt;80)),"Ok")</f>
        <v>Bad</v>
      </c>
      <c r="S716">
        <v>65</v>
      </c>
      <c r="T716" t="str" cm="1">
        <f t="array" ref="T716">_xlfn.IFS(S716&gt;50, "High", S716&lt;=50, "Low")</f>
        <v>High</v>
      </c>
      <c r="U716">
        <v>2</v>
      </c>
      <c r="V716">
        <v>0</v>
      </c>
      <c r="W716">
        <v>9</v>
      </c>
      <c r="X716">
        <v>4</v>
      </c>
      <c r="Y716">
        <f t="shared" ca="1" si="11"/>
        <v>68.160934435591486</v>
      </c>
    </row>
    <row r="717" spans="1:25" x14ac:dyDescent="0.3">
      <c r="A717" t="s">
        <v>1317</v>
      </c>
      <c r="B717" t="s">
        <v>239</v>
      </c>
      <c r="C717">
        <v>1</v>
      </c>
      <c r="D717" s="1">
        <v>44442</v>
      </c>
      <c r="E717">
        <v>2005</v>
      </c>
      <c r="F717">
        <v>0</v>
      </c>
      <c r="G717">
        <v>16</v>
      </c>
      <c r="H717">
        <v>5</v>
      </c>
      <c r="I717">
        <v>43</v>
      </c>
      <c r="J717">
        <v>0</v>
      </c>
      <c r="K717">
        <v>7</v>
      </c>
      <c r="L717">
        <v>346127840</v>
      </c>
      <c r="M717">
        <v>129</v>
      </c>
      <c r="N717" t="s">
        <v>27</v>
      </c>
      <c r="O717" t="s">
        <v>28</v>
      </c>
      <c r="P717">
        <v>42</v>
      </c>
      <c r="Q717">
        <v>33</v>
      </c>
      <c r="R717" t="str" cm="1">
        <f t="array" ref="R717">_xlfn.IFS(Q717&gt;70,"Good",Q717&lt;40,"Bad",(Q717&gt;OS755*(Q717&lt;80)),"Ok")</f>
        <v>Bad</v>
      </c>
      <c r="S717">
        <v>44</v>
      </c>
      <c r="T717" t="str" cm="1">
        <f t="array" ref="T717">_xlfn.IFS(S717&gt;50, "High", S717&lt;=50, "Low")</f>
        <v>Low</v>
      </c>
      <c r="U717">
        <v>62</v>
      </c>
      <c r="V717">
        <v>0</v>
      </c>
      <c r="W717">
        <v>8</v>
      </c>
      <c r="X717">
        <v>6</v>
      </c>
      <c r="Y717">
        <f t="shared" ca="1" si="11"/>
        <v>26.575924512370374</v>
      </c>
    </row>
    <row r="718" spans="1:25" x14ac:dyDescent="0.3">
      <c r="A718" t="s">
        <v>228</v>
      </c>
      <c r="B718" t="s">
        <v>44</v>
      </c>
      <c r="C718">
        <v>1</v>
      </c>
      <c r="D718" s="1">
        <v>43890</v>
      </c>
      <c r="E718">
        <v>1188</v>
      </c>
      <c r="F718">
        <v>0</v>
      </c>
      <c r="G718">
        <v>13</v>
      </c>
      <c r="H718">
        <v>1</v>
      </c>
      <c r="I718">
        <v>15</v>
      </c>
      <c r="J718">
        <v>0</v>
      </c>
      <c r="K718">
        <v>1</v>
      </c>
      <c r="L718">
        <v>312622938</v>
      </c>
      <c r="M718">
        <v>94</v>
      </c>
      <c r="N718" t="s">
        <v>31</v>
      </c>
      <c r="O718" t="s">
        <v>45</v>
      </c>
      <c r="P718">
        <v>76</v>
      </c>
      <c r="Q718">
        <v>81</v>
      </c>
      <c r="R718" t="str" cm="1">
        <f t="array" ref="R718">_xlfn.IFS(Q718&gt;70,"Good",Q718&lt;40,"Bad",(Q718&gt;OS756*(Q718&lt;80)),"Ok")</f>
        <v>Good</v>
      </c>
      <c r="S718">
        <v>80</v>
      </c>
      <c r="T718" t="str" cm="1">
        <f t="array" ref="T718">_xlfn.IFS(S718&gt;50, "High", S718&lt;=50, "Low")</f>
        <v>High</v>
      </c>
      <c r="U718">
        <v>20</v>
      </c>
      <c r="V718">
        <v>0</v>
      </c>
      <c r="W718">
        <v>25</v>
      </c>
      <c r="X718">
        <v>4</v>
      </c>
      <c r="Y718">
        <f t="shared" ca="1" si="11"/>
        <v>45.731969767837711</v>
      </c>
    </row>
    <row r="719" spans="1:25" x14ac:dyDescent="0.3">
      <c r="A719" t="s">
        <v>1318</v>
      </c>
      <c r="B719" t="s">
        <v>1319</v>
      </c>
      <c r="C719">
        <v>1</v>
      </c>
      <c r="D719" s="1">
        <v>27698</v>
      </c>
      <c r="E719">
        <v>40112</v>
      </c>
      <c r="F719">
        <v>3</v>
      </c>
      <c r="G719">
        <v>321</v>
      </c>
      <c r="H719">
        <v>162</v>
      </c>
      <c r="I719" s="2">
        <v>5691</v>
      </c>
      <c r="J719">
        <v>8</v>
      </c>
      <c r="K719">
        <v>17</v>
      </c>
      <c r="L719">
        <v>2197010679</v>
      </c>
      <c r="M719">
        <v>71</v>
      </c>
      <c r="O719" t="s">
        <v>45</v>
      </c>
      <c r="P719">
        <v>41</v>
      </c>
      <c r="Q719">
        <v>23</v>
      </c>
      <c r="R719" t="str" cm="1">
        <f t="array" ref="R719">_xlfn.IFS(Q719&gt;70,"Good",Q719&lt;40,"Bad",(Q719&gt;OS757*(Q719&lt;80)),"Ok")</f>
        <v>Bad</v>
      </c>
      <c r="S719">
        <v>40</v>
      </c>
      <c r="T719" t="str" cm="1">
        <f t="array" ref="T719">_xlfn.IFS(S719&gt;50, "High", S719&lt;=50, "Low")</f>
        <v>Low</v>
      </c>
      <c r="U719">
        <v>27</v>
      </c>
      <c r="V719">
        <v>0</v>
      </c>
      <c r="W719">
        <v>30</v>
      </c>
      <c r="X719">
        <v>5</v>
      </c>
      <c r="Y719">
        <f t="shared" ca="1" si="11"/>
        <v>80.078447483953099</v>
      </c>
    </row>
    <row r="720" spans="1:25" x14ac:dyDescent="0.3">
      <c r="A720" t="s">
        <v>1320</v>
      </c>
      <c r="B720" t="s">
        <v>805</v>
      </c>
      <c r="C720">
        <v>1</v>
      </c>
      <c r="D720" s="1">
        <v>43175</v>
      </c>
      <c r="E720">
        <v>3659</v>
      </c>
      <c r="F720">
        <v>0</v>
      </c>
      <c r="G720">
        <v>11</v>
      </c>
      <c r="H720">
        <v>10</v>
      </c>
      <c r="I720">
        <v>267</v>
      </c>
      <c r="J720">
        <v>0</v>
      </c>
      <c r="K720">
        <v>7</v>
      </c>
      <c r="L720">
        <v>1200808494</v>
      </c>
      <c r="M720">
        <v>146</v>
      </c>
      <c r="N720" t="s">
        <v>37</v>
      </c>
      <c r="O720" t="s">
        <v>45</v>
      </c>
      <c r="P720">
        <v>59</v>
      </c>
      <c r="Q720">
        <v>23</v>
      </c>
      <c r="R720" t="str" cm="1">
        <f t="array" ref="R720">_xlfn.IFS(Q720&gt;70,"Good",Q720&lt;40,"Bad",(Q720&gt;OS758*(Q720&lt;80)),"Ok")</f>
        <v>Bad</v>
      </c>
      <c r="S720">
        <v>46</v>
      </c>
      <c r="T720" t="str" cm="1">
        <f t="array" ref="T720">_xlfn.IFS(S720&gt;50, "High", S720&lt;=50, "Low")</f>
        <v>Low</v>
      </c>
      <c r="U720">
        <v>66</v>
      </c>
      <c r="V720">
        <v>0</v>
      </c>
      <c r="W720">
        <v>15</v>
      </c>
      <c r="X720">
        <v>6</v>
      </c>
      <c r="Y720">
        <f t="shared" ca="1" si="11"/>
        <v>43.68588536254493</v>
      </c>
    </row>
    <row r="721" spans="1:25" x14ac:dyDescent="0.3">
      <c r="A721" t="s">
        <v>245</v>
      </c>
      <c r="B721" t="s">
        <v>122</v>
      </c>
      <c r="C721">
        <v>1</v>
      </c>
      <c r="D721" s="1">
        <v>43917</v>
      </c>
      <c r="E721">
        <v>9833</v>
      </c>
      <c r="F721">
        <v>0</v>
      </c>
      <c r="G721">
        <v>233</v>
      </c>
      <c r="H721">
        <v>82</v>
      </c>
      <c r="I721">
        <v>531</v>
      </c>
      <c r="J721">
        <v>1</v>
      </c>
      <c r="K721">
        <v>1</v>
      </c>
      <c r="L721">
        <v>797196073</v>
      </c>
      <c r="M721">
        <v>103</v>
      </c>
      <c r="N721" t="s">
        <v>65</v>
      </c>
      <c r="O721" t="s">
        <v>45</v>
      </c>
      <c r="P721">
        <v>69</v>
      </c>
      <c r="Q721">
        <v>90</v>
      </c>
      <c r="R721" t="str" cm="1">
        <f t="array" ref="R721">_xlfn.IFS(Q721&gt;70,"Good",Q721&lt;40,"Bad",(Q721&gt;OS759*(Q721&lt;80)),"Ok")</f>
        <v>Good</v>
      </c>
      <c r="S721">
        <v>88</v>
      </c>
      <c r="T721" t="str" cm="1">
        <f t="array" ref="T721">_xlfn.IFS(S721&gt;50, "High", S721&lt;=50, "Low")</f>
        <v>High</v>
      </c>
      <c r="U721">
        <v>5</v>
      </c>
      <c r="V721">
        <v>0</v>
      </c>
      <c r="W721">
        <v>29</v>
      </c>
      <c r="X721">
        <v>8</v>
      </c>
      <c r="Y721">
        <f t="shared" ca="1" si="11"/>
        <v>79.697237447290519</v>
      </c>
    </row>
    <row r="722" spans="1:25" x14ac:dyDescent="0.3">
      <c r="A722" t="s">
        <v>1321</v>
      </c>
      <c r="B722" t="s">
        <v>1166</v>
      </c>
      <c r="C722">
        <v>1</v>
      </c>
      <c r="D722" s="1">
        <v>41275</v>
      </c>
      <c r="E722">
        <v>50887</v>
      </c>
      <c r="F722">
        <v>34</v>
      </c>
      <c r="G722">
        <v>315</v>
      </c>
      <c r="H722">
        <v>160</v>
      </c>
      <c r="I722" s="2">
        <v>6284</v>
      </c>
      <c r="J722">
        <v>1</v>
      </c>
      <c r="K722">
        <v>46</v>
      </c>
      <c r="L722">
        <v>1970673297</v>
      </c>
      <c r="M722">
        <v>124</v>
      </c>
      <c r="N722" t="s">
        <v>61</v>
      </c>
      <c r="O722" t="s">
        <v>28</v>
      </c>
      <c r="P722">
        <v>53</v>
      </c>
      <c r="Q722">
        <v>66</v>
      </c>
      <c r="R722" t="str" cm="1">
        <f t="array" ref="R722">_xlfn.IFS(Q722&gt;70,"Good",Q722&lt;40,"Bad",(Q722&gt;OS760*(Q722&lt;80)),"Ok")</f>
        <v>Ok</v>
      </c>
      <c r="S722">
        <v>78</v>
      </c>
      <c r="T722" t="str" cm="1">
        <f t="array" ref="T722">_xlfn.IFS(S722&gt;50, "High", S722&lt;=50, "Low")</f>
        <v>High</v>
      </c>
      <c r="U722">
        <v>0</v>
      </c>
      <c r="V722">
        <v>0</v>
      </c>
      <c r="W722">
        <v>16</v>
      </c>
      <c r="X722">
        <v>5</v>
      </c>
      <c r="Y722">
        <f t="shared" ca="1" si="11"/>
        <v>73.790304204498767</v>
      </c>
    </row>
    <row r="723" spans="1:25" x14ac:dyDescent="0.3">
      <c r="A723" t="s">
        <v>310</v>
      </c>
      <c r="B723" t="s">
        <v>33</v>
      </c>
      <c r="C723">
        <v>1</v>
      </c>
      <c r="D723" s="1">
        <v>44337</v>
      </c>
      <c r="E723">
        <v>3257</v>
      </c>
      <c r="F723">
        <v>0</v>
      </c>
      <c r="G723">
        <v>10</v>
      </c>
      <c r="H723">
        <v>0</v>
      </c>
      <c r="I723">
        <v>70</v>
      </c>
      <c r="J723">
        <v>0</v>
      </c>
      <c r="K723">
        <v>0</v>
      </c>
      <c r="L723">
        <v>665765558</v>
      </c>
      <c r="M723">
        <v>164</v>
      </c>
      <c r="N723" t="s">
        <v>181</v>
      </c>
      <c r="O723" t="s">
        <v>45</v>
      </c>
      <c r="P723">
        <v>70</v>
      </c>
      <c r="Q723">
        <v>71</v>
      </c>
      <c r="R723" t="str" cm="1">
        <f t="array" ref="R723">_xlfn.IFS(Q723&gt;70,"Good",Q723&lt;40,"Bad",(Q723&gt;OS761*(Q723&lt;80)),"Ok")</f>
        <v>Good</v>
      </c>
      <c r="S723">
        <v>58</v>
      </c>
      <c r="T723" t="str" cm="1">
        <f t="array" ref="T723">_xlfn.IFS(S723&gt;50, "High", S723&lt;=50, "Low")</f>
        <v>High</v>
      </c>
      <c r="U723">
        <v>24</v>
      </c>
      <c r="V723">
        <v>0</v>
      </c>
      <c r="W723">
        <v>7</v>
      </c>
      <c r="X723">
        <v>13</v>
      </c>
      <c r="Y723">
        <f t="shared" ca="1" si="11"/>
        <v>35.089490380929966</v>
      </c>
    </row>
    <row r="724" spans="1:25" x14ac:dyDescent="0.3">
      <c r="A724" t="s">
        <v>1322</v>
      </c>
      <c r="B724" t="s">
        <v>1323</v>
      </c>
      <c r="C724">
        <v>1</v>
      </c>
      <c r="D724" s="1">
        <v>44449</v>
      </c>
      <c r="E724">
        <v>1473</v>
      </c>
      <c r="F724">
        <v>0</v>
      </c>
      <c r="G724">
        <v>2</v>
      </c>
      <c r="H724">
        <v>0</v>
      </c>
      <c r="I724">
        <v>12</v>
      </c>
      <c r="J724">
        <v>0</v>
      </c>
      <c r="K724">
        <v>10</v>
      </c>
      <c r="L724">
        <v>263779030</v>
      </c>
      <c r="M724">
        <v>138</v>
      </c>
      <c r="N724" t="s">
        <v>61</v>
      </c>
      <c r="O724" t="s">
        <v>28</v>
      </c>
      <c r="P724">
        <v>69</v>
      </c>
      <c r="Q724">
        <v>35</v>
      </c>
      <c r="R724" t="str" cm="1">
        <f t="array" ref="R724">_xlfn.IFS(Q724&gt;70,"Good",Q724&lt;40,"Bad",(Q724&gt;OS762*(Q724&lt;80)),"Ok")</f>
        <v>Bad</v>
      </c>
      <c r="S724">
        <v>57</v>
      </c>
      <c r="T724" t="str" cm="1">
        <f t="array" ref="T724">_xlfn.IFS(S724&gt;50, "High", S724&lt;=50, "Low")</f>
        <v>High</v>
      </c>
      <c r="U724">
        <v>12</v>
      </c>
      <c r="V724">
        <v>0</v>
      </c>
      <c r="W724">
        <v>10</v>
      </c>
      <c r="X724">
        <v>9</v>
      </c>
      <c r="Y724">
        <f t="shared" ca="1" si="11"/>
        <v>17.655670507546429</v>
      </c>
    </row>
    <row r="725" spans="1:25" x14ac:dyDescent="0.3">
      <c r="A725" t="s">
        <v>1324</v>
      </c>
      <c r="B725" t="s">
        <v>1325</v>
      </c>
      <c r="C725">
        <v>1</v>
      </c>
      <c r="D725" s="1">
        <v>44112</v>
      </c>
      <c r="E725">
        <v>2226</v>
      </c>
      <c r="F725">
        <v>0</v>
      </c>
      <c r="G725">
        <v>36</v>
      </c>
      <c r="H725">
        <v>2</v>
      </c>
      <c r="I725">
        <v>11</v>
      </c>
      <c r="J725">
        <v>0</v>
      </c>
      <c r="K725">
        <v>14</v>
      </c>
      <c r="L725">
        <v>339473453</v>
      </c>
      <c r="M725">
        <v>126</v>
      </c>
      <c r="N725" t="s">
        <v>37</v>
      </c>
      <c r="O725" t="s">
        <v>45</v>
      </c>
      <c r="P725">
        <v>67</v>
      </c>
      <c r="Q725">
        <v>37</v>
      </c>
      <c r="R725" t="str" cm="1">
        <f t="array" ref="R725">_xlfn.IFS(Q725&gt;70,"Good",Q725&lt;40,"Bad",(Q725&gt;OS763*(Q725&lt;80)),"Ok")</f>
        <v>Bad</v>
      </c>
      <c r="S725">
        <v>46</v>
      </c>
      <c r="T725" t="str" cm="1">
        <f t="array" ref="T725">_xlfn.IFS(S725&gt;50, "High", S725&lt;=50, "Low")</f>
        <v>Low</v>
      </c>
      <c r="U725">
        <v>13</v>
      </c>
      <c r="V725">
        <v>0</v>
      </c>
      <c r="W725">
        <v>10</v>
      </c>
      <c r="X725">
        <v>39</v>
      </c>
      <c r="Y725">
        <f t="shared" ca="1" si="11"/>
        <v>24.527337548453009</v>
      </c>
    </row>
    <row r="726" spans="1:25" x14ac:dyDescent="0.3">
      <c r="A726" t="s">
        <v>1326</v>
      </c>
      <c r="B726" t="s">
        <v>1327</v>
      </c>
      <c r="C726">
        <v>2</v>
      </c>
      <c r="D726" s="1">
        <v>42788</v>
      </c>
      <c r="E726">
        <v>23375</v>
      </c>
      <c r="F726">
        <v>21</v>
      </c>
      <c r="G726">
        <v>336</v>
      </c>
      <c r="H726">
        <v>188</v>
      </c>
      <c r="I726" s="2">
        <v>2692</v>
      </c>
      <c r="J726">
        <v>3</v>
      </c>
      <c r="K726">
        <v>30</v>
      </c>
      <c r="L726">
        <v>2204080728</v>
      </c>
      <c r="M726">
        <v>103</v>
      </c>
      <c r="N726" t="s">
        <v>27</v>
      </c>
      <c r="O726" t="s">
        <v>45</v>
      </c>
      <c r="P726">
        <v>61</v>
      </c>
      <c r="Q726">
        <v>47</v>
      </c>
      <c r="R726" t="str" cm="1">
        <f t="array" ref="R726">_xlfn.IFS(Q726&gt;70,"Good",Q726&lt;40,"Bad",(Q726&gt;OS764*(Q726&lt;80)),"Ok")</f>
        <v>Ok</v>
      </c>
      <c r="S726">
        <v>65</v>
      </c>
      <c r="T726" t="str" cm="1">
        <f t="array" ref="T726">_xlfn.IFS(S726&gt;50, "High", S726&lt;=50, "Low")</f>
        <v>High</v>
      </c>
      <c r="U726">
        <v>3</v>
      </c>
      <c r="V726">
        <v>0</v>
      </c>
      <c r="W726">
        <v>17</v>
      </c>
      <c r="X726">
        <v>4</v>
      </c>
      <c r="Y726">
        <f t="shared" ca="1" si="11"/>
        <v>39.319585809924604</v>
      </c>
    </row>
    <row r="727" spans="1:25" x14ac:dyDescent="0.3">
      <c r="A727" t="s">
        <v>1328</v>
      </c>
      <c r="B727" t="s">
        <v>1329</v>
      </c>
      <c r="C727">
        <v>2</v>
      </c>
      <c r="D727" s="1">
        <v>42521</v>
      </c>
      <c r="E727">
        <v>28032</v>
      </c>
      <c r="F727">
        <v>0</v>
      </c>
      <c r="G727">
        <v>315</v>
      </c>
      <c r="H727">
        <v>159</v>
      </c>
      <c r="I727" s="2">
        <v>2179</v>
      </c>
      <c r="J727">
        <v>0</v>
      </c>
      <c r="K727">
        <v>44</v>
      </c>
      <c r="L727">
        <v>2591224264</v>
      </c>
      <c r="M727">
        <v>95</v>
      </c>
      <c r="N727" t="s">
        <v>81</v>
      </c>
      <c r="O727" t="s">
        <v>28</v>
      </c>
      <c r="P727">
        <v>75</v>
      </c>
      <c r="Q727">
        <v>64</v>
      </c>
      <c r="R727" t="str" cm="1">
        <f t="array" ref="R727">_xlfn.IFS(Q727&gt;70,"Good",Q727&lt;40,"Bad",(Q727&gt;OS765*(Q727&lt;80)),"Ok")</f>
        <v>Ok</v>
      </c>
      <c r="S727">
        <v>52</v>
      </c>
      <c r="T727" t="str" cm="1">
        <f t="array" ref="T727">_xlfn.IFS(S727&gt;50, "High", S727&lt;=50, "Low")</f>
        <v>High</v>
      </c>
      <c r="U727">
        <v>41</v>
      </c>
      <c r="V727">
        <v>0</v>
      </c>
      <c r="W727">
        <v>11</v>
      </c>
      <c r="X727">
        <v>3</v>
      </c>
      <c r="Y727">
        <f t="shared" ca="1" si="11"/>
        <v>58.014790084559522</v>
      </c>
    </row>
    <row r="728" spans="1:25" x14ac:dyDescent="0.3">
      <c r="A728" t="s">
        <v>1330</v>
      </c>
      <c r="B728" t="s">
        <v>1331</v>
      </c>
      <c r="C728">
        <v>1</v>
      </c>
      <c r="D728" s="1">
        <v>44614</v>
      </c>
      <c r="E728">
        <v>290</v>
      </c>
      <c r="F728">
        <v>0</v>
      </c>
      <c r="G728">
        <v>9</v>
      </c>
      <c r="H728">
        <v>66</v>
      </c>
      <c r="I728">
        <v>10</v>
      </c>
      <c r="J728">
        <v>0</v>
      </c>
      <c r="K728">
        <v>0</v>
      </c>
      <c r="L728">
        <v>135444283</v>
      </c>
      <c r="M728">
        <v>200</v>
      </c>
      <c r="N728" t="s">
        <v>27</v>
      </c>
      <c r="O728" t="s">
        <v>45</v>
      </c>
      <c r="P728">
        <v>39</v>
      </c>
      <c r="Q728">
        <v>28</v>
      </c>
      <c r="R728" t="str" cm="1">
        <f t="array" ref="R728">_xlfn.IFS(Q728&gt;70,"Good",Q728&lt;40,"Bad",(Q728&gt;OS766*(Q728&lt;80)),"Ok")</f>
        <v>Bad</v>
      </c>
      <c r="S728">
        <v>77</v>
      </c>
      <c r="T728" t="str" cm="1">
        <f t="array" ref="T728">_xlfn.IFS(S728&gt;50, "High", S728&lt;=50, "Low")</f>
        <v>High</v>
      </c>
      <c r="U728">
        <v>4</v>
      </c>
      <c r="V728">
        <v>0</v>
      </c>
      <c r="W728">
        <v>6</v>
      </c>
      <c r="X728">
        <v>29</v>
      </c>
      <c r="Y728">
        <f t="shared" ca="1" si="11"/>
        <v>82.326498234872787</v>
      </c>
    </row>
    <row r="729" spans="1:25" x14ac:dyDescent="0.3">
      <c r="A729" t="s">
        <v>389</v>
      </c>
      <c r="B729" t="s">
        <v>1332</v>
      </c>
      <c r="C729">
        <v>2</v>
      </c>
      <c r="D729" s="1">
        <v>40544</v>
      </c>
      <c r="E729">
        <v>42798</v>
      </c>
      <c r="F729">
        <v>0</v>
      </c>
      <c r="G729">
        <v>217</v>
      </c>
      <c r="H729">
        <v>136</v>
      </c>
      <c r="I729" s="2">
        <v>6508</v>
      </c>
      <c r="J729">
        <v>1</v>
      </c>
      <c r="L729">
        <v>1457139296</v>
      </c>
      <c r="M729">
        <v>129</v>
      </c>
      <c r="O729" t="s">
        <v>28</v>
      </c>
      <c r="P729">
        <v>86</v>
      </c>
      <c r="Q729">
        <v>75</v>
      </c>
      <c r="R729" t="str" cm="1">
        <f t="array" ref="R729">_xlfn.IFS(Q729&gt;70,"Good",Q729&lt;40,"Bad",(Q729&gt;OS767*(Q729&lt;80)),"Ok")</f>
        <v>Good</v>
      </c>
      <c r="S729">
        <v>52</v>
      </c>
      <c r="T729" t="str" cm="1">
        <f t="array" ref="T729">_xlfn.IFS(S729&gt;50, "High", S729&lt;=50, "Low")</f>
        <v>High</v>
      </c>
      <c r="U729">
        <v>54</v>
      </c>
      <c r="V729">
        <v>0</v>
      </c>
      <c r="W729">
        <v>10</v>
      </c>
      <c r="X729">
        <v>4</v>
      </c>
      <c r="Y729">
        <f t="shared" ca="1" si="11"/>
        <v>33.166802349460376</v>
      </c>
    </row>
    <row r="730" spans="1:25" x14ac:dyDescent="0.3">
      <c r="A730" t="s">
        <v>1333</v>
      </c>
      <c r="B730" t="s">
        <v>1334</v>
      </c>
      <c r="C730">
        <v>2</v>
      </c>
      <c r="D730" s="1">
        <v>43644</v>
      </c>
      <c r="E730">
        <v>2605</v>
      </c>
      <c r="F730">
        <v>0</v>
      </c>
      <c r="G730">
        <v>15</v>
      </c>
      <c r="H730">
        <v>48</v>
      </c>
      <c r="I730">
        <v>50</v>
      </c>
      <c r="J730">
        <v>0</v>
      </c>
      <c r="K730">
        <v>3</v>
      </c>
      <c r="L730">
        <v>236872197</v>
      </c>
      <c r="M730">
        <v>98</v>
      </c>
      <c r="N730" t="s">
        <v>65</v>
      </c>
      <c r="O730" t="s">
        <v>45</v>
      </c>
      <c r="P730">
        <v>68</v>
      </c>
      <c r="Q730">
        <v>33</v>
      </c>
      <c r="R730" t="str" cm="1">
        <f t="array" ref="R730">_xlfn.IFS(Q730&gt;70,"Good",Q730&lt;40,"Bad",(Q730&gt;OS768*(Q730&lt;80)),"Ok")</f>
        <v>Bad</v>
      </c>
      <c r="S730">
        <v>43</v>
      </c>
      <c r="T730" t="str" cm="1">
        <f t="array" ref="T730">_xlfn.IFS(S730&gt;50, "High", S730&lt;=50, "Low")</f>
        <v>Low</v>
      </c>
      <c r="U730">
        <v>38</v>
      </c>
      <c r="V730">
        <v>0</v>
      </c>
      <c r="W730">
        <v>36</v>
      </c>
      <c r="X730">
        <v>14</v>
      </c>
      <c r="Y730">
        <f t="shared" ca="1" si="11"/>
        <v>64.053263774304838</v>
      </c>
    </row>
    <row r="731" spans="1:25" x14ac:dyDescent="0.3">
      <c r="A731" t="s">
        <v>1335</v>
      </c>
      <c r="B731" t="s">
        <v>1306</v>
      </c>
      <c r="C731">
        <v>1</v>
      </c>
      <c r="D731" s="1">
        <v>44659</v>
      </c>
      <c r="E731">
        <v>8737</v>
      </c>
      <c r="F731">
        <v>0</v>
      </c>
      <c r="G731">
        <v>163</v>
      </c>
      <c r="H731">
        <v>32</v>
      </c>
      <c r="I731">
        <v>137</v>
      </c>
      <c r="J731">
        <v>15</v>
      </c>
      <c r="K731">
        <v>12</v>
      </c>
      <c r="L731">
        <v>694525298</v>
      </c>
      <c r="M731">
        <v>107</v>
      </c>
      <c r="N731" t="s">
        <v>81</v>
      </c>
      <c r="O731" t="s">
        <v>28</v>
      </c>
      <c r="P731">
        <v>91</v>
      </c>
      <c r="Q731">
        <v>32</v>
      </c>
      <c r="R731" t="str" cm="1">
        <f t="array" ref="R731">_xlfn.IFS(Q731&gt;70,"Good",Q731&lt;40,"Bad",(Q731&gt;OS769*(Q731&lt;80)),"Ok")</f>
        <v>Bad</v>
      </c>
      <c r="S731">
        <v>56</v>
      </c>
      <c r="T731" t="str" cm="1">
        <f t="array" ref="T731">_xlfn.IFS(S731&gt;50, "High", S731&lt;=50, "Low")</f>
        <v>High</v>
      </c>
      <c r="U731">
        <v>3</v>
      </c>
      <c r="V731">
        <v>0</v>
      </c>
      <c r="W731">
        <v>11</v>
      </c>
      <c r="X731">
        <v>10</v>
      </c>
      <c r="Y731">
        <f t="shared" ca="1" si="11"/>
        <v>98.902801173617732</v>
      </c>
    </row>
    <row r="732" spans="1:25" x14ac:dyDescent="0.3">
      <c r="A732" t="s">
        <v>1336</v>
      </c>
      <c r="B732" t="s">
        <v>1337</v>
      </c>
      <c r="C732">
        <v>1</v>
      </c>
      <c r="D732" s="1">
        <v>44643</v>
      </c>
      <c r="E732">
        <v>1105</v>
      </c>
      <c r="F732">
        <v>0</v>
      </c>
      <c r="G732">
        <v>32</v>
      </c>
      <c r="H732">
        <v>0</v>
      </c>
      <c r="I732">
        <v>19</v>
      </c>
      <c r="J732">
        <v>0</v>
      </c>
      <c r="K732">
        <v>0</v>
      </c>
      <c r="L732">
        <v>240661097</v>
      </c>
      <c r="M732">
        <v>174</v>
      </c>
      <c r="O732" t="s">
        <v>28</v>
      </c>
      <c r="P732">
        <v>58</v>
      </c>
      <c r="Q732">
        <v>56</v>
      </c>
      <c r="R732" t="str" cm="1">
        <f t="array" ref="R732">_xlfn.IFS(Q732&gt;70,"Good",Q732&lt;40,"Bad",(Q732&gt;OS770*(Q732&lt;80)),"Ok")</f>
        <v>Ok</v>
      </c>
      <c r="S732">
        <v>83</v>
      </c>
      <c r="T732" t="str" cm="1">
        <f t="array" ref="T732">_xlfn.IFS(S732&gt;50, "High", S732&lt;=50, "Low")</f>
        <v>High</v>
      </c>
      <c r="U732">
        <v>5</v>
      </c>
      <c r="V732">
        <v>0</v>
      </c>
      <c r="W732">
        <v>7</v>
      </c>
      <c r="X732">
        <v>4</v>
      </c>
      <c r="Y732">
        <f t="shared" ca="1" si="11"/>
        <v>1.0976054452424999</v>
      </c>
    </row>
    <row r="733" spans="1:25" x14ac:dyDescent="0.3">
      <c r="A733" t="s">
        <v>1338</v>
      </c>
      <c r="B733" t="s">
        <v>1339</v>
      </c>
      <c r="C733">
        <v>1</v>
      </c>
      <c r="D733" s="1">
        <v>44609</v>
      </c>
      <c r="E733">
        <v>2499</v>
      </c>
      <c r="F733">
        <v>21</v>
      </c>
      <c r="G733">
        <v>68</v>
      </c>
      <c r="H733">
        <v>24</v>
      </c>
      <c r="I733">
        <v>43</v>
      </c>
      <c r="J733">
        <v>1</v>
      </c>
      <c r="K733">
        <v>0</v>
      </c>
      <c r="L733">
        <v>421365166</v>
      </c>
      <c r="M733">
        <v>92</v>
      </c>
      <c r="N733" t="s">
        <v>81</v>
      </c>
      <c r="O733" t="s">
        <v>28</v>
      </c>
      <c r="P733">
        <v>45</v>
      </c>
      <c r="Q733">
        <v>27</v>
      </c>
      <c r="R733" t="str" cm="1">
        <f t="array" ref="R733">_xlfn.IFS(Q733&gt;70,"Good",Q733&lt;40,"Bad",(Q733&gt;OS771*(Q733&lt;80)),"Ok")</f>
        <v>Bad</v>
      </c>
      <c r="S733">
        <v>67</v>
      </c>
      <c r="T733" t="str" cm="1">
        <f t="array" ref="T733">_xlfn.IFS(S733&gt;50, "High", S733&lt;=50, "Low")</f>
        <v>High</v>
      </c>
      <c r="U733">
        <v>32</v>
      </c>
      <c r="V733">
        <v>0</v>
      </c>
      <c r="W733">
        <v>13</v>
      </c>
      <c r="X733">
        <v>14</v>
      </c>
      <c r="Y733">
        <f t="shared" ca="1" si="11"/>
        <v>15.2170458354974</v>
      </c>
    </row>
    <row r="734" spans="1:25" x14ac:dyDescent="0.3">
      <c r="A734" t="s">
        <v>1340</v>
      </c>
      <c r="B734" t="s">
        <v>1286</v>
      </c>
      <c r="C734">
        <v>2</v>
      </c>
      <c r="D734" s="1">
        <v>44645</v>
      </c>
      <c r="E734">
        <v>2697</v>
      </c>
      <c r="F734">
        <v>1</v>
      </c>
      <c r="G734">
        <v>55</v>
      </c>
      <c r="H734">
        <v>3</v>
      </c>
      <c r="I734">
        <v>32</v>
      </c>
      <c r="J734">
        <v>0</v>
      </c>
      <c r="K734">
        <v>0</v>
      </c>
      <c r="L734">
        <v>349746291</v>
      </c>
      <c r="M734">
        <v>90</v>
      </c>
      <c r="N734" t="s">
        <v>94</v>
      </c>
      <c r="O734" t="s">
        <v>28</v>
      </c>
      <c r="P734">
        <v>81</v>
      </c>
      <c r="Q734">
        <v>59</v>
      </c>
      <c r="R734" t="str" cm="1">
        <f t="array" ref="R734">_xlfn.IFS(Q734&gt;70,"Good",Q734&lt;40,"Bad",(Q734&gt;OS772*(Q734&lt;80)),"Ok")</f>
        <v>Ok</v>
      </c>
      <c r="S734">
        <v>83</v>
      </c>
      <c r="T734" t="str" cm="1">
        <f t="array" ref="T734">_xlfn.IFS(S734&gt;50, "High", S734&lt;=50, "Low")</f>
        <v>High</v>
      </c>
      <c r="U734">
        <v>9</v>
      </c>
      <c r="V734">
        <v>0</v>
      </c>
      <c r="W734">
        <v>11</v>
      </c>
      <c r="X734">
        <v>5</v>
      </c>
      <c r="Y734">
        <f t="shared" ca="1" si="11"/>
        <v>54.451135867807785</v>
      </c>
    </row>
    <row r="735" spans="1:25" x14ac:dyDescent="0.3">
      <c r="A735" t="s">
        <v>1341</v>
      </c>
      <c r="B735" t="s">
        <v>1062</v>
      </c>
      <c r="C735">
        <v>1</v>
      </c>
      <c r="D735" s="1">
        <v>44651</v>
      </c>
      <c r="E735">
        <v>2092</v>
      </c>
      <c r="F735">
        <v>0</v>
      </c>
      <c r="G735">
        <v>75</v>
      </c>
      <c r="H735">
        <v>11</v>
      </c>
      <c r="I735">
        <v>44</v>
      </c>
      <c r="J735">
        <v>0</v>
      </c>
      <c r="K735">
        <v>14</v>
      </c>
      <c r="L735">
        <v>255120451</v>
      </c>
      <c r="M735">
        <v>147</v>
      </c>
      <c r="N735" t="s">
        <v>34</v>
      </c>
      <c r="O735" t="s">
        <v>28</v>
      </c>
      <c r="P735">
        <v>60</v>
      </c>
      <c r="Q735">
        <v>58</v>
      </c>
      <c r="R735" t="str" cm="1">
        <f t="array" ref="R735">_xlfn.IFS(Q735&gt;70,"Good",Q735&lt;40,"Bad",(Q735&gt;OS773*(Q735&lt;80)),"Ok")</f>
        <v>Ok</v>
      </c>
      <c r="S735">
        <v>69</v>
      </c>
      <c r="T735" t="str" cm="1">
        <f t="array" ref="T735">_xlfn.IFS(S735&gt;50, "High", S735&lt;=50, "Low")</f>
        <v>High</v>
      </c>
      <c r="U735">
        <v>2</v>
      </c>
      <c r="V735">
        <v>0</v>
      </c>
      <c r="W735">
        <v>58</v>
      </c>
      <c r="X735">
        <v>4</v>
      </c>
      <c r="Y735">
        <f t="shared" ca="1" si="11"/>
        <v>90.803186027636599</v>
      </c>
    </row>
    <row r="736" spans="1:25" x14ac:dyDescent="0.3">
      <c r="A736" t="s">
        <v>1342</v>
      </c>
      <c r="B736" t="s">
        <v>1343</v>
      </c>
      <c r="C736">
        <v>1</v>
      </c>
      <c r="D736" s="1">
        <v>44652</v>
      </c>
      <c r="E736">
        <v>1185</v>
      </c>
      <c r="F736">
        <v>0</v>
      </c>
      <c r="G736">
        <v>21</v>
      </c>
      <c r="H736">
        <v>0</v>
      </c>
      <c r="I736">
        <v>31</v>
      </c>
      <c r="J736">
        <v>0</v>
      </c>
      <c r="K736">
        <v>0</v>
      </c>
      <c r="L736">
        <v>190981339</v>
      </c>
      <c r="M736">
        <v>143</v>
      </c>
      <c r="N736" t="s">
        <v>31</v>
      </c>
      <c r="O736" t="s">
        <v>28</v>
      </c>
      <c r="P736">
        <v>68</v>
      </c>
      <c r="Q736">
        <v>41</v>
      </c>
      <c r="R736" t="str" cm="1">
        <f t="array" ref="R736">_xlfn.IFS(Q736&gt;70,"Good",Q736&lt;40,"Bad",(Q736&gt;OS774*(Q736&lt;80)),"Ok")</f>
        <v>Ok</v>
      </c>
      <c r="S736">
        <v>55</v>
      </c>
      <c r="T736" t="str" cm="1">
        <f t="array" ref="T736">_xlfn.IFS(S736&gt;50, "High", S736&lt;=50, "Low")</f>
        <v>High</v>
      </c>
      <c r="U736">
        <v>16</v>
      </c>
      <c r="V736">
        <v>0</v>
      </c>
      <c r="W736">
        <v>10</v>
      </c>
      <c r="X736">
        <v>12</v>
      </c>
      <c r="Y736">
        <f t="shared" ca="1" si="11"/>
        <v>72.348018409843121</v>
      </c>
    </row>
    <row r="737" spans="1:25" x14ac:dyDescent="0.3">
      <c r="A737" t="s">
        <v>1344</v>
      </c>
      <c r="B737" t="s">
        <v>1345</v>
      </c>
      <c r="C737">
        <v>1</v>
      </c>
      <c r="D737" s="1">
        <v>42015</v>
      </c>
      <c r="E737">
        <v>11985</v>
      </c>
      <c r="F737">
        <v>0</v>
      </c>
      <c r="G737">
        <v>79</v>
      </c>
      <c r="H737">
        <v>80</v>
      </c>
      <c r="I737">
        <v>250</v>
      </c>
      <c r="J737">
        <v>3</v>
      </c>
      <c r="K737">
        <v>10</v>
      </c>
      <c r="L737">
        <v>924193303</v>
      </c>
      <c r="M737">
        <v>101</v>
      </c>
      <c r="N737" t="s">
        <v>302</v>
      </c>
      <c r="O737" t="s">
        <v>45</v>
      </c>
      <c r="P737">
        <v>76</v>
      </c>
      <c r="Q737">
        <v>63</v>
      </c>
      <c r="R737" t="str" cm="1">
        <f t="array" ref="R737">_xlfn.IFS(Q737&gt;70,"Good",Q737&lt;40,"Bad",(Q737&gt;OS775*(Q737&lt;80)),"Ok")</f>
        <v>Ok</v>
      </c>
      <c r="S737">
        <v>71</v>
      </c>
      <c r="T737" t="str" cm="1">
        <f t="array" ref="T737">_xlfn.IFS(S737&gt;50, "High", S737&lt;=50, "Low")</f>
        <v>High</v>
      </c>
      <c r="U737">
        <v>3</v>
      </c>
      <c r="V737">
        <v>0</v>
      </c>
      <c r="W737">
        <v>10</v>
      </c>
      <c r="X737">
        <v>3</v>
      </c>
      <c r="Y737">
        <f t="shared" ca="1" si="11"/>
        <v>80.393174018062794</v>
      </c>
    </row>
    <row r="738" spans="1:25" x14ac:dyDescent="0.3">
      <c r="A738" t="s">
        <v>1346</v>
      </c>
      <c r="B738" t="s">
        <v>662</v>
      </c>
      <c r="C738">
        <v>1</v>
      </c>
      <c r="D738" s="1">
        <v>44656</v>
      </c>
      <c r="E738">
        <v>753</v>
      </c>
      <c r="F738">
        <v>8</v>
      </c>
      <c r="G738">
        <v>28</v>
      </c>
      <c r="H738">
        <v>124</v>
      </c>
      <c r="I738">
        <v>13</v>
      </c>
      <c r="J738">
        <v>0</v>
      </c>
      <c r="K738">
        <v>1</v>
      </c>
      <c r="L738">
        <v>305771063</v>
      </c>
      <c r="M738">
        <v>118</v>
      </c>
      <c r="N738" t="s">
        <v>31</v>
      </c>
      <c r="O738" t="s">
        <v>45</v>
      </c>
      <c r="P738">
        <v>70</v>
      </c>
      <c r="Q738">
        <v>54</v>
      </c>
      <c r="R738" t="str" cm="1">
        <f t="array" ref="R738">_xlfn.IFS(Q738&gt;70,"Good",Q738&lt;40,"Bad",(Q738&gt;OS776*(Q738&lt;80)),"Ok")</f>
        <v>Ok</v>
      </c>
      <c r="S738">
        <v>71</v>
      </c>
      <c r="T738" t="str" cm="1">
        <f t="array" ref="T738">_xlfn.IFS(S738&gt;50, "High", S738&lt;=50, "Low")</f>
        <v>High</v>
      </c>
      <c r="U738">
        <v>0</v>
      </c>
      <c r="V738">
        <v>0</v>
      </c>
      <c r="W738">
        <v>33</v>
      </c>
      <c r="X738">
        <v>4</v>
      </c>
      <c r="Y738">
        <f t="shared" ca="1" si="11"/>
        <v>18.872310342951259</v>
      </c>
    </row>
    <row r="739" spans="1:25" x14ac:dyDescent="0.3">
      <c r="A739" t="s">
        <v>1347</v>
      </c>
      <c r="B739" t="s">
        <v>1348</v>
      </c>
      <c r="C739">
        <v>3</v>
      </c>
      <c r="D739" s="1">
        <v>44638</v>
      </c>
      <c r="E739">
        <v>2995</v>
      </c>
      <c r="F739">
        <v>0</v>
      </c>
      <c r="G739">
        <v>49</v>
      </c>
      <c r="H739">
        <v>17</v>
      </c>
      <c r="I739">
        <v>30</v>
      </c>
      <c r="J739">
        <v>0</v>
      </c>
      <c r="K739">
        <v>0</v>
      </c>
      <c r="L739">
        <v>273005485</v>
      </c>
      <c r="M739">
        <v>98</v>
      </c>
      <c r="N739" t="s">
        <v>94</v>
      </c>
      <c r="O739" t="s">
        <v>45</v>
      </c>
      <c r="P739">
        <v>83</v>
      </c>
      <c r="Q739">
        <v>63</v>
      </c>
      <c r="R739" t="str" cm="1">
        <f t="array" ref="R739">_xlfn.IFS(Q739&gt;70,"Good",Q739&lt;40,"Bad",(Q739&gt;OS777*(Q739&lt;80)),"Ok")</f>
        <v>Ok</v>
      </c>
      <c r="S739">
        <v>74</v>
      </c>
      <c r="T739" t="str" cm="1">
        <f t="array" ref="T739">_xlfn.IFS(S739&gt;50, "High", S739&lt;=50, "Low")</f>
        <v>High</v>
      </c>
      <c r="U739">
        <v>14</v>
      </c>
      <c r="V739">
        <v>0</v>
      </c>
      <c r="W739">
        <v>16</v>
      </c>
      <c r="X739">
        <v>6</v>
      </c>
      <c r="Y739">
        <f t="shared" ca="1" si="11"/>
        <v>96.069421330610638</v>
      </c>
    </row>
    <row r="740" spans="1:25" x14ac:dyDescent="0.3">
      <c r="A740" t="s">
        <v>1349</v>
      </c>
      <c r="B740" t="s">
        <v>1337</v>
      </c>
      <c r="C740">
        <v>1</v>
      </c>
      <c r="D740" s="1">
        <v>44657</v>
      </c>
      <c r="E740">
        <v>225</v>
      </c>
      <c r="F740">
        <v>0</v>
      </c>
      <c r="G740">
        <v>11</v>
      </c>
      <c r="H740">
        <v>0</v>
      </c>
      <c r="I740">
        <v>7</v>
      </c>
      <c r="J740">
        <v>0</v>
      </c>
      <c r="K740">
        <v>0</v>
      </c>
      <c r="L740">
        <v>89566512</v>
      </c>
      <c r="M740">
        <v>138</v>
      </c>
      <c r="N740" t="s">
        <v>31</v>
      </c>
      <c r="O740" t="s">
        <v>45</v>
      </c>
      <c r="P740">
        <v>72</v>
      </c>
      <c r="Q740">
        <v>22</v>
      </c>
      <c r="R740" t="str" cm="1">
        <f t="array" ref="R740">_xlfn.IFS(Q740&gt;70,"Good",Q740&lt;40,"Bad",(Q740&gt;OS778*(Q740&lt;80)),"Ok")</f>
        <v>Bad</v>
      </c>
      <c r="S740">
        <v>46</v>
      </c>
      <c r="T740" t="str" cm="1">
        <f t="array" ref="T740">_xlfn.IFS(S740&gt;50, "High", S740&lt;=50, "Low")</f>
        <v>Low</v>
      </c>
      <c r="U740">
        <v>24</v>
      </c>
      <c r="V740">
        <v>0</v>
      </c>
      <c r="W740">
        <v>9</v>
      </c>
      <c r="X740">
        <v>6</v>
      </c>
      <c r="Y740">
        <f t="shared" ca="1" si="11"/>
        <v>5.7452075215636338</v>
      </c>
    </row>
    <row r="741" spans="1:25" x14ac:dyDescent="0.3">
      <c r="A741" t="s">
        <v>1350</v>
      </c>
      <c r="B741" t="s">
        <v>1351</v>
      </c>
      <c r="C741">
        <v>1</v>
      </c>
      <c r="D741" s="1">
        <v>42005</v>
      </c>
      <c r="E741">
        <v>9243</v>
      </c>
      <c r="F741">
        <v>0</v>
      </c>
      <c r="G741">
        <v>155</v>
      </c>
      <c r="H741">
        <v>5</v>
      </c>
      <c r="I741">
        <v>577</v>
      </c>
      <c r="J741">
        <v>0</v>
      </c>
      <c r="K741">
        <v>6</v>
      </c>
      <c r="L741">
        <v>677389855</v>
      </c>
      <c r="M741">
        <v>114</v>
      </c>
      <c r="N741" t="s">
        <v>34</v>
      </c>
      <c r="O741" t="s">
        <v>45</v>
      </c>
      <c r="P741">
        <v>59</v>
      </c>
      <c r="Q741">
        <v>30</v>
      </c>
      <c r="R741" t="str" cm="1">
        <f t="array" ref="R741">_xlfn.IFS(Q741&gt;70,"Good",Q741&lt;40,"Bad",(Q741&gt;OS779*(Q741&lt;80)),"Ok")</f>
        <v>Bad</v>
      </c>
      <c r="S741">
        <v>62</v>
      </c>
      <c r="T741" t="str" cm="1">
        <f t="array" ref="T741">_xlfn.IFS(S741&gt;50, "High", S741&lt;=50, "Low")</f>
        <v>High</v>
      </c>
      <c r="U741">
        <v>1</v>
      </c>
      <c r="V741">
        <v>0</v>
      </c>
      <c r="W741">
        <v>8</v>
      </c>
      <c r="X741">
        <v>4</v>
      </c>
      <c r="Y741">
        <f t="shared" ca="1" si="11"/>
        <v>86.543047635010424</v>
      </c>
    </row>
    <row r="742" spans="1:25" x14ac:dyDescent="0.3">
      <c r="A742" t="s">
        <v>1352</v>
      </c>
      <c r="B742" t="s">
        <v>1353</v>
      </c>
      <c r="C742">
        <v>2</v>
      </c>
      <c r="D742" s="1">
        <v>44658</v>
      </c>
      <c r="E742">
        <v>918</v>
      </c>
      <c r="F742">
        <v>0</v>
      </c>
      <c r="G742">
        <v>24</v>
      </c>
      <c r="H742">
        <v>0</v>
      </c>
      <c r="I742">
        <v>52</v>
      </c>
      <c r="J742">
        <v>0</v>
      </c>
      <c r="K742">
        <v>0</v>
      </c>
      <c r="L742">
        <v>75476209</v>
      </c>
      <c r="M742">
        <v>180</v>
      </c>
      <c r="N742" t="s">
        <v>94</v>
      </c>
      <c r="O742" t="s">
        <v>45</v>
      </c>
      <c r="P742">
        <v>63</v>
      </c>
      <c r="Q742">
        <v>45</v>
      </c>
      <c r="R742" t="str" cm="1">
        <f t="array" ref="R742">_xlfn.IFS(Q742&gt;70,"Good",Q742&lt;40,"Bad",(Q742&gt;OS780*(Q742&lt;80)),"Ok")</f>
        <v>Ok</v>
      </c>
      <c r="S742">
        <v>64</v>
      </c>
      <c r="T742" t="str" cm="1">
        <f t="array" ref="T742">_xlfn.IFS(S742&gt;50, "High", S742&lt;=50, "Low")</f>
        <v>High</v>
      </c>
      <c r="U742">
        <v>34</v>
      </c>
      <c r="V742">
        <v>0</v>
      </c>
      <c r="W742">
        <v>9</v>
      </c>
      <c r="X742">
        <v>8</v>
      </c>
      <c r="Y742">
        <f t="shared" ca="1" si="11"/>
        <v>99.659518135596841</v>
      </c>
    </row>
    <row r="743" spans="1:25" x14ac:dyDescent="0.3">
      <c r="A743" t="s">
        <v>1354</v>
      </c>
      <c r="B743" t="s">
        <v>125</v>
      </c>
      <c r="C743">
        <v>1</v>
      </c>
      <c r="D743" s="1">
        <v>44448</v>
      </c>
      <c r="E743">
        <v>1959</v>
      </c>
      <c r="F743">
        <v>9</v>
      </c>
      <c r="G743">
        <v>52</v>
      </c>
      <c r="H743">
        <v>25</v>
      </c>
      <c r="I743">
        <v>32</v>
      </c>
      <c r="J743">
        <v>0</v>
      </c>
      <c r="K743">
        <v>10</v>
      </c>
      <c r="L743">
        <v>408843328</v>
      </c>
      <c r="M743">
        <v>145</v>
      </c>
      <c r="N743" t="s">
        <v>27</v>
      </c>
      <c r="O743" t="s">
        <v>28</v>
      </c>
      <c r="P743">
        <v>56</v>
      </c>
      <c r="Q743">
        <v>41</v>
      </c>
      <c r="R743" t="str" cm="1">
        <f t="array" ref="R743">_xlfn.IFS(Q743&gt;70,"Good",Q743&lt;40,"Bad",(Q743&gt;OS781*(Q743&lt;80)),"Ok")</f>
        <v>Ok</v>
      </c>
      <c r="S743">
        <v>57</v>
      </c>
      <c r="T743" t="str" cm="1">
        <f t="array" ref="T743">_xlfn.IFS(S743&gt;50, "High", S743&lt;=50, "Low")</f>
        <v>High</v>
      </c>
      <c r="U743">
        <v>1</v>
      </c>
      <c r="V743">
        <v>0</v>
      </c>
      <c r="W743">
        <v>13</v>
      </c>
      <c r="X743">
        <v>3</v>
      </c>
      <c r="Y743">
        <f t="shared" ca="1" si="11"/>
        <v>44.557651684110489</v>
      </c>
    </row>
    <row r="744" spans="1:25" x14ac:dyDescent="0.3">
      <c r="A744" t="s">
        <v>1355</v>
      </c>
      <c r="B744" t="s">
        <v>1356</v>
      </c>
      <c r="C744">
        <v>3</v>
      </c>
      <c r="D744" s="1">
        <v>44591</v>
      </c>
      <c r="E744">
        <v>540</v>
      </c>
      <c r="F744">
        <v>4</v>
      </c>
      <c r="G744">
        <v>26</v>
      </c>
      <c r="H744">
        <v>3</v>
      </c>
      <c r="I744">
        <v>39</v>
      </c>
      <c r="J744">
        <v>0</v>
      </c>
      <c r="K744">
        <v>0</v>
      </c>
      <c r="L744">
        <v>187772591</v>
      </c>
      <c r="M744">
        <v>115</v>
      </c>
      <c r="N744" t="s">
        <v>81</v>
      </c>
      <c r="O744" t="s">
        <v>45</v>
      </c>
      <c r="P744">
        <v>78</v>
      </c>
      <c r="Q744">
        <v>63</v>
      </c>
      <c r="R744" t="str" cm="1">
        <f t="array" ref="R744">_xlfn.IFS(Q744&gt;70,"Good",Q744&lt;40,"Bad",(Q744&gt;OS782*(Q744&lt;80)),"Ok")</f>
        <v>Ok</v>
      </c>
      <c r="S744">
        <v>64</v>
      </c>
      <c r="T744" t="str" cm="1">
        <f t="array" ref="T744">_xlfn.IFS(S744&gt;50, "High", S744&lt;=50, "Low")</f>
        <v>High</v>
      </c>
      <c r="U744">
        <v>1</v>
      </c>
      <c r="V744">
        <v>0</v>
      </c>
      <c r="W744">
        <v>7</v>
      </c>
      <c r="X744">
        <v>4</v>
      </c>
      <c r="Y744">
        <f t="shared" ca="1" si="11"/>
        <v>91.608536720887699</v>
      </c>
    </row>
    <row r="745" spans="1:25" x14ac:dyDescent="0.3">
      <c r="A745" t="s">
        <v>1357</v>
      </c>
      <c r="B745" t="s">
        <v>1358</v>
      </c>
      <c r="C745">
        <v>3</v>
      </c>
      <c r="D745" s="1">
        <v>44651</v>
      </c>
      <c r="E745">
        <v>859</v>
      </c>
      <c r="F745">
        <v>0</v>
      </c>
      <c r="G745">
        <v>14</v>
      </c>
      <c r="H745">
        <v>0</v>
      </c>
      <c r="I745">
        <v>11</v>
      </c>
      <c r="J745">
        <v>0</v>
      </c>
      <c r="K745">
        <v>0</v>
      </c>
      <c r="L745">
        <v>178512385</v>
      </c>
      <c r="M745">
        <v>82</v>
      </c>
      <c r="N745" t="s">
        <v>181</v>
      </c>
      <c r="O745" t="s">
        <v>28</v>
      </c>
      <c r="P745">
        <v>79</v>
      </c>
      <c r="Q745">
        <v>48</v>
      </c>
      <c r="R745" t="str" cm="1">
        <f t="array" ref="R745">_xlfn.IFS(Q745&gt;70,"Good",Q745&lt;40,"Bad",(Q745&gt;OS783*(Q745&lt;80)),"Ok")</f>
        <v>Ok</v>
      </c>
      <c r="S745">
        <v>84</v>
      </c>
      <c r="T745" t="str" cm="1">
        <f t="array" ref="T745">_xlfn.IFS(S745&gt;50, "High", S745&lt;=50, "Low")</f>
        <v>High</v>
      </c>
      <c r="U745">
        <v>13</v>
      </c>
      <c r="V745">
        <v>0</v>
      </c>
      <c r="W745">
        <v>21</v>
      </c>
      <c r="X745">
        <v>23</v>
      </c>
      <c r="Y745">
        <f t="shared" ca="1" si="11"/>
        <v>20.336492952136286</v>
      </c>
    </row>
    <row r="746" spans="1:25" x14ac:dyDescent="0.3">
      <c r="A746" t="s">
        <v>1359</v>
      </c>
      <c r="B746" t="s">
        <v>1360</v>
      </c>
      <c r="C746">
        <v>1</v>
      </c>
      <c r="D746" s="1">
        <v>44659</v>
      </c>
      <c r="E746">
        <v>1116</v>
      </c>
      <c r="F746">
        <v>0</v>
      </c>
      <c r="G746">
        <v>31</v>
      </c>
      <c r="H746">
        <v>9</v>
      </c>
      <c r="I746">
        <v>15</v>
      </c>
      <c r="J746">
        <v>0</v>
      </c>
      <c r="K746">
        <v>1</v>
      </c>
      <c r="L746">
        <v>101780047</v>
      </c>
      <c r="M746">
        <v>166</v>
      </c>
      <c r="N746" t="s">
        <v>61</v>
      </c>
      <c r="O746" t="s">
        <v>28</v>
      </c>
      <c r="P746">
        <v>70</v>
      </c>
      <c r="Q746">
        <v>22</v>
      </c>
      <c r="R746" t="str" cm="1">
        <f t="array" ref="R746">_xlfn.IFS(Q746&gt;70,"Good",Q746&lt;40,"Bad",(Q746&gt;OS784*(Q746&lt;80)),"Ok")</f>
        <v>Bad</v>
      </c>
      <c r="S746">
        <v>61</v>
      </c>
      <c r="T746" t="str" cm="1">
        <f t="array" ref="T746">_xlfn.IFS(S746&gt;50, "High", S746&lt;=50, "Low")</f>
        <v>High</v>
      </c>
      <c r="U746">
        <v>2</v>
      </c>
      <c r="V746">
        <v>0</v>
      </c>
      <c r="W746">
        <v>10</v>
      </c>
      <c r="X746">
        <v>34</v>
      </c>
      <c r="Y746">
        <f t="shared" ca="1" si="11"/>
        <v>27.622163557758959</v>
      </c>
    </row>
    <row r="747" spans="1:25" x14ac:dyDescent="0.3">
      <c r="A747" t="s">
        <v>488</v>
      </c>
      <c r="B747" t="s">
        <v>1361</v>
      </c>
      <c r="C747">
        <v>3</v>
      </c>
      <c r="D747" s="1">
        <v>44650</v>
      </c>
      <c r="E747">
        <v>273</v>
      </c>
      <c r="F747">
        <v>2</v>
      </c>
      <c r="G747">
        <v>12</v>
      </c>
      <c r="H747">
        <v>2</v>
      </c>
      <c r="I747">
        <v>4</v>
      </c>
      <c r="J747">
        <v>0</v>
      </c>
      <c r="K747">
        <v>0</v>
      </c>
      <c r="L747">
        <v>118381354</v>
      </c>
      <c r="M747">
        <v>92</v>
      </c>
      <c r="O747" t="s">
        <v>28</v>
      </c>
      <c r="P747">
        <v>86</v>
      </c>
      <c r="Q747">
        <v>91</v>
      </c>
      <c r="R747" t="str" cm="1">
        <f t="array" ref="R747">_xlfn.IFS(Q747&gt;70,"Good",Q747&lt;40,"Bad",(Q747&gt;OS785*(Q747&lt;80)),"Ok")</f>
        <v>Good</v>
      </c>
      <c r="S747">
        <v>79</v>
      </c>
      <c r="T747" t="str" cm="1">
        <f t="array" ref="T747">_xlfn.IFS(S747&gt;50, "High", S747&lt;=50, "Low")</f>
        <v>High</v>
      </c>
      <c r="U747">
        <v>29</v>
      </c>
      <c r="V747">
        <v>0</v>
      </c>
      <c r="W747">
        <v>60</v>
      </c>
      <c r="X747">
        <v>16</v>
      </c>
      <c r="Y747">
        <f t="shared" ca="1" si="11"/>
        <v>87.941680394693037</v>
      </c>
    </row>
    <row r="748" spans="1:25" x14ac:dyDescent="0.3">
      <c r="A748" t="s">
        <v>1362</v>
      </c>
      <c r="B748" t="s">
        <v>1226</v>
      </c>
      <c r="C748">
        <v>1</v>
      </c>
      <c r="D748" s="1">
        <v>44659</v>
      </c>
      <c r="E748">
        <v>686</v>
      </c>
      <c r="F748">
        <v>2</v>
      </c>
      <c r="G748">
        <v>11</v>
      </c>
      <c r="H748">
        <v>6</v>
      </c>
      <c r="I748">
        <v>12</v>
      </c>
      <c r="J748">
        <v>0</v>
      </c>
      <c r="K748">
        <v>15</v>
      </c>
      <c r="L748">
        <v>146363130</v>
      </c>
      <c r="M748">
        <v>108</v>
      </c>
      <c r="N748" t="s">
        <v>65</v>
      </c>
      <c r="O748" t="s">
        <v>28</v>
      </c>
      <c r="P748">
        <v>71</v>
      </c>
      <c r="Q748">
        <v>55</v>
      </c>
      <c r="R748" t="str" cm="1">
        <f t="array" ref="R748">_xlfn.IFS(Q748&gt;70,"Good",Q748&lt;40,"Bad",(Q748&gt;OS786*(Q748&lt;80)),"Ok")</f>
        <v>Ok</v>
      </c>
      <c r="S748">
        <v>44</v>
      </c>
      <c r="T748" t="str" cm="1">
        <f t="array" ref="T748">_xlfn.IFS(S748&gt;50, "High", S748&lt;=50, "Low")</f>
        <v>Low</v>
      </c>
      <c r="U748">
        <v>74</v>
      </c>
      <c r="V748">
        <v>0</v>
      </c>
      <c r="W748">
        <v>11</v>
      </c>
      <c r="X748">
        <v>6</v>
      </c>
      <c r="Y748">
        <f t="shared" ca="1" si="11"/>
        <v>10.763666288542773</v>
      </c>
    </row>
    <row r="749" spans="1:25" x14ac:dyDescent="0.3">
      <c r="A749" t="s">
        <v>1363</v>
      </c>
      <c r="B749" t="s">
        <v>1364</v>
      </c>
      <c r="C749">
        <v>1</v>
      </c>
      <c r="D749" s="1">
        <v>44645</v>
      </c>
      <c r="E749">
        <v>226</v>
      </c>
      <c r="F749">
        <v>0</v>
      </c>
      <c r="G749">
        <v>5</v>
      </c>
      <c r="H749">
        <v>0</v>
      </c>
      <c r="I749">
        <v>4</v>
      </c>
      <c r="J749">
        <v>0</v>
      </c>
      <c r="K749">
        <v>1</v>
      </c>
      <c r="L749">
        <v>126443991</v>
      </c>
      <c r="M749">
        <v>84</v>
      </c>
      <c r="N749" t="s">
        <v>134</v>
      </c>
      <c r="O749" t="s">
        <v>45</v>
      </c>
      <c r="P749">
        <v>71</v>
      </c>
      <c r="Q749">
        <v>63</v>
      </c>
      <c r="R749" t="str" cm="1">
        <f t="array" ref="R749">_xlfn.IFS(Q749&gt;70,"Good",Q749&lt;40,"Bad",(Q749&gt;OS787*(Q749&lt;80)),"Ok")</f>
        <v>Ok</v>
      </c>
      <c r="S749">
        <v>45</v>
      </c>
      <c r="T749" t="str" cm="1">
        <f t="array" ref="T749">_xlfn.IFS(S749&gt;50, "High", S749&lt;=50, "Low")</f>
        <v>Low</v>
      </c>
      <c r="U749">
        <v>45</v>
      </c>
      <c r="V749">
        <v>0</v>
      </c>
      <c r="W749">
        <v>11</v>
      </c>
      <c r="X749">
        <v>3</v>
      </c>
      <c r="Y749">
        <f t="shared" ca="1" si="11"/>
        <v>89.642828734557796</v>
      </c>
    </row>
    <row r="750" spans="1:25" x14ac:dyDescent="0.3">
      <c r="A750" t="s">
        <v>516</v>
      </c>
      <c r="B750" t="s">
        <v>458</v>
      </c>
      <c r="C750">
        <v>1</v>
      </c>
      <c r="D750" s="1">
        <v>44645</v>
      </c>
      <c r="E750">
        <v>1264</v>
      </c>
      <c r="F750">
        <v>0</v>
      </c>
      <c r="G750">
        <v>20</v>
      </c>
      <c r="H750">
        <v>4</v>
      </c>
      <c r="I750">
        <v>52</v>
      </c>
      <c r="J750">
        <v>0</v>
      </c>
      <c r="K750">
        <v>1</v>
      </c>
      <c r="L750">
        <v>157990698</v>
      </c>
      <c r="M750">
        <v>95</v>
      </c>
      <c r="N750" t="s">
        <v>302</v>
      </c>
      <c r="O750" t="s">
        <v>45</v>
      </c>
      <c r="P750">
        <v>69</v>
      </c>
      <c r="Q750">
        <v>90</v>
      </c>
      <c r="R750" t="str" cm="1">
        <f t="array" ref="R750">_xlfn.IFS(Q750&gt;70,"Good",Q750&lt;40,"Bad",(Q750&gt;OS788*(Q750&lt;80)),"Ok")</f>
        <v>Good</v>
      </c>
      <c r="S750">
        <v>91</v>
      </c>
      <c r="T750" t="str" cm="1">
        <f t="array" ref="T750">_xlfn.IFS(S750&gt;50, "High", S750&lt;=50, "Low")</f>
        <v>High</v>
      </c>
      <c r="U750">
        <v>6</v>
      </c>
      <c r="V750">
        <v>0</v>
      </c>
      <c r="W750">
        <v>35</v>
      </c>
      <c r="X750">
        <v>4</v>
      </c>
      <c r="Y750">
        <f t="shared" ca="1" si="11"/>
        <v>81.625092888536642</v>
      </c>
    </row>
    <row r="751" spans="1:25" x14ac:dyDescent="0.3">
      <c r="A751" t="s">
        <v>1365</v>
      </c>
      <c r="B751" t="s">
        <v>1366</v>
      </c>
      <c r="C751">
        <v>4</v>
      </c>
      <c r="D751" s="1">
        <v>44637</v>
      </c>
      <c r="E751">
        <v>870</v>
      </c>
      <c r="F751">
        <v>0</v>
      </c>
      <c r="G751">
        <v>32</v>
      </c>
      <c r="H751">
        <v>0</v>
      </c>
      <c r="I751">
        <v>49</v>
      </c>
      <c r="J751">
        <v>0</v>
      </c>
      <c r="K751">
        <v>0</v>
      </c>
      <c r="L751">
        <v>176290831</v>
      </c>
      <c r="M751">
        <v>135</v>
      </c>
      <c r="N751" t="s">
        <v>302</v>
      </c>
      <c r="O751" t="s">
        <v>45</v>
      </c>
      <c r="P751">
        <v>93</v>
      </c>
      <c r="Q751">
        <v>77</v>
      </c>
      <c r="R751" t="str" cm="1">
        <f t="array" ref="R751">_xlfn.IFS(Q751&gt;70,"Good",Q751&lt;40,"Bad",(Q751&gt;OS789*(Q751&lt;80)),"Ok")</f>
        <v>Good</v>
      </c>
      <c r="S751">
        <v>45</v>
      </c>
      <c r="T751" t="str" cm="1">
        <f t="array" ref="T751">_xlfn.IFS(S751&gt;50, "High", S751&lt;=50, "Low")</f>
        <v>Low</v>
      </c>
      <c r="U751">
        <v>25</v>
      </c>
      <c r="V751">
        <v>0</v>
      </c>
      <c r="W751">
        <v>13</v>
      </c>
      <c r="X751">
        <v>27</v>
      </c>
      <c r="Y751">
        <f t="shared" ca="1" si="11"/>
        <v>0.72688929810137415</v>
      </c>
    </row>
    <row r="752" spans="1:25" x14ac:dyDescent="0.3">
      <c r="A752" t="s">
        <v>1367</v>
      </c>
      <c r="B752" t="s">
        <v>77</v>
      </c>
      <c r="C752">
        <v>1</v>
      </c>
      <c r="D752" s="1">
        <v>43812</v>
      </c>
      <c r="E752">
        <v>7556</v>
      </c>
      <c r="F752">
        <v>0</v>
      </c>
      <c r="G752">
        <v>124</v>
      </c>
      <c r="H752">
        <v>24</v>
      </c>
      <c r="I752">
        <v>254</v>
      </c>
      <c r="J752">
        <v>0</v>
      </c>
      <c r="K752">
        <v>8</v>
      </c>
      <c r="L752">
        <v>1023187129</v>
      </c>
      <c r="M752">
        <v>110</v>
      </c>
      <c r="N752" t="s">
        <v>134</v>
      </c>
      <c r="O752" t="s">
        <v>28</v>
      </c>
      <c r="P752">
        <v>57</v>
      </c>
      <c r="Q752">
        <v>6</v>
      </c>
      <c r="R752" t="str" cm="1">
        <f t="array" ref="R752">_xlfn.IFS(Q752&gt;70,"Good",Q752&lt;40,"Bad",(Q752&gt;OS790*(Q752&lt;80)),"Ok")</f>
        <v>Bad</v>
      </c>
      <c r="S752">
        <v>27</v>
      </c>
      <c r="T752" t="str" cm="1">
        <f t="array" ref="T752">_xlfn.IFS(S752&gt;50, "High", S752&lt;=50, "Low")</f>
        <v>Low</v>
      </c>
      <c r="U752">
        <v>84</v>
      </c>
      <c r="V752">
        <v>0</v>
      </c>
      <c r="W752">
        <v>9</v>
      </c>
      <c r="X752">
        <v>3</v>
      </c>
      <c r="Y752">
        <f t="shared" ca="1" si="11"/>
        <v>77.687956217057007</v>
      </c>
    </row>
    <row r="753" spans="1:25" x14ac:dyDescent="0.3">
      <c r="A753" t="s">
        <v>1368</v>
      </c>
      <c r="B753" t="s">
        <v>1369</v>
      </c>
      <c r="C753">
        <v>2</v>
      </c>
      <c r="D753" s="1">
        <v>35393</v>
      </c>
      <c r="E753">
        <v>1370</v>
      </c>
      <c r="F753">
        <v>0</v>
      </c>
      <c r="G753">
        <v>46</v>
      </c>
      <c r="H753">
        <v>8</v>
      </c>
      <c r="I753">
        <v>60</v>
      </c>
      <c r="J753">
        <v>0</v>
      </c>
      <c r="K753">
        <v>0</v>
      </c>
      <c r="L753">
        <v>106933107</v>
      </c>
      <c r="M753">
        <v>88</v>
      </c>
      <c r="N753" t="s">
        <v>94</v>
      </c>
      <c r="O753" t="s">
        <v>28</v>
      </c>
      <c r="P753">
        <v>89</v>
      </c>
      <c r="Q753">
        <v>59</v>
      </c>
      <c r="R753" t="str" cm="1">
        <f t="array" ref="R753">_xlfn.IFS(Q753&gt;70,"Good",Q753&lt;40,"Bad",(Q753&gt;OS791*(Q753&lt;80)),"Ok")</f>
        <v>Ok</v>
      </c>
      <c r="S753">
        <v>64</v>
      </c>
      <c r="T753" t="str" cm="1">
        <f t="array" ref="T753">_xlfn.IFS(S753&gt;50, "High", S753&lt;=50, "Low")</f>
        <v>High</v>
      </c>
      <c r="U753">
        <v>5</v>
      </c>
      <c r="V753">
        <v>0</v>
      </c>
      <c r="W753">
        <v>19</v>
      </c>
      <c r="X753">
        <v>7</v>
      </c>
      <c r="Y753">
        <f t="shared" ca="1" si="11"/>
        <v>25.280619605869393</v>
      </c>
    </row>
    <row r="754" spans="1:25" x14ac:dyDescent="0.3">
      <c r="A754" t="s">
        <v>1370</v>
      </c>
      <c r="B754" t="s">
        <v>1371</v>
      </c>
      <c r="C754">
        <v>1</v>
      </c>
      <c r="D754" s="1">
        <v>44650</v>
      </c>
      <c r="E754">
        <v>315</v>
      </c>
      <c r="F754">
        <v>2</v>
      </c>
      <c r="G754">
        <v>27</v>
      </c>
      <c r="H754">
        <v>2</v>
      </c>
      <c r="I754">
        <v>31</v>
      </c>
      <c r="J754">
        <v>0</v>
      </c>
      <c r="K754">
        <v>0</v>
      </c>
      <c r="L754">
        <v>139193812</v>
      </c>
      <c r="M754">
        <v>119</v>
      </c>
      <c r="N754" t="s">
        <v>31</v>
      </c>
      <c r="O754" t="s">
        <v>45</v>
      </c>
      <c r="P754">
        <v>87</v>
      </c>
      <c r="Q754">
        <v>28</v>
      </c>
      <c r="R754" t="str" cm="1">
        <f t="array" ref="R754">_xlfn.IFS(Q754&gt;70,"Good",Q754&lt;40,"Bad",(Q754&gt;OS792*(Q754&lt;80)),"Ok")</f>
        <v>Bad</v>
      </c>
      <c r="S754">
        <v>50</v>
      </c>
      <c r="T754" t="str" cm="1">
        <f t="array" ref="T754">_xlfn.IFS(S754&gt;50, "High", S754&lt;=50, "Low")</f>
        <v>Low</v>
      </c>
      <c r="U754">
        <v>12</v>
      </c>
      <c r="V754">
        <v>0</v>
      </c>
      <c r="W754">
        <v>10</v>
      </c>
      <c r="X754">
        <v>10</v>
      </c>
      <c r="Y754">
        <f t="shared" ca="1" si="11"/>
        <v>86.641637711397522</v>
      </c>
    </row>
    <row r="755" spans="1:25" x14ac:dyDescent="0.3">
      <c r="A755" t="s">
        <v>427</v>
      </c>
      <c r="B755" t="s">
        <v>560</v>
      </c>
      <c r="C755">
        <v>1</v>
      </c>
      <c r="D755" s="1">
        <v>44638</v>
      </c>
      <c r="E755">
        <v>651</v>
      </c>
      <c r="F755">
        <v>0</v>
      </c>
      <c r="G755">
        <v>6</v>
      </c>
      <c r="H755">
        <v>188</v>
      </c>
      <c r="I755">
        <v>20</v>
      </c>
      <c r="J755">
        <v>0</v>
      </c>
      <c r="K755">
        <v>0</v>
      </c>
      <c r="L755">
        <v>212234990</v>
      </c>
      <c r="M755">
        <v>120</v>
      </c>
      <c r="N755" t="s">
        <v>31</v>
      </c>
      <c r="O755" t="s">
        <v>28</v>
      </c>
      <c r="P755">
        <v>58</v>
      </c>
      <c r="Q755">
        <v>71</v>
      </c>
      <c r="R755" t="str" cm="1">
        <f t="array" ref="R755">_xlfn.IFS(Q755&gt;70,"Good",Q755&lt;40,"Bad",(Q755&gt;OS793*(Q755&lt;80)),"Ok")</f>
        <v>Good</v>
      </c>
      <c r="S755">
        <v>80</v>
      </c>
      <c r="T755" t="str" cm="1">
        <f t="array" ref="T755">_xlfn.IFS(S755&gt;50, "High", S755&lt;=50, "Low")</f>
        <v>High</v>
      </c>
      <c r="U755">
        <v>15</v>
      </c>
      <c r="V755">
        <v>0</v>
      </c>
      <c r="W755">
        <v>7</v>
      </c>
      <c r="X755">
        <v>41</v>
      </c>
      <c r="Y755">
        <f t="shared" ca="1" si="11"/>
        <v>71.884996840553001</v>
      </c>
    </row>
    <row r="756" spans="1:25" x14ac:dyDescent="0.3">
      <c r="A756" t="s">
        <v>340</v>
      </c>
      <c r="B756" t="s">
        <v>1062</v>
      </c>
      <c r="C756">
        <v>1</v>
      </c>
      <c r="D756" s="1">
        <v>42636</v>
      </c>
      <c r="E756">
        <v>12382</v>
      </c>
      <c r="F756">
        <v>0</v>
      </c>
      <c r="G756">
        <v>229</v>
      </c>
      <c r="H756">
        <v>57</v>
      </c>
      <c r="I756" s="2">
        <v>1370</v>
      </c>
      <c r="J756">
        <v>2</v>
      </c>
      <c r="K756">
        <v>71</v>
      </c>
      <c r="L756">
        <v>1714490998</v>
      </c>
      <c r="M756">
        <v>122</v>
      </c>
      <c r="N756" t="s">
        <v>61</v>
      </c>
      <c r="O756" t="s">
        <v>28</v>
      </c>
      <c r="P756">
        <v>86</v>
      </c>
      <c r="Q756">
        <v>97</v>
      </c>
      <c r="R756" t="str" cm="1">
        <f t="array" ref="R756">_xlfn.IFS(Q756&gt;70,"Good",Q756&lt;40,"Bad",(Q756&gt;OS794*(Q756&lt;80)),"Ok")</f>
        <v>Good</v>
      </c>
      <c r="S756">
        <v>80</v>
      </c>
      <c r="T756" t="str" cm="1">
        <f t="array" ref="T756">_xlfn.IFS(S756&gt;50, "High", S756&lt;=50, "Low")</f>
        <v>High</v>
      </c>
      <c r="U756">
        <v>36</v>
      </c>
      <c r="V756">
        <v>0</v>
      </c>
      <c r="W756">
        <v>9</v>
      </c>
      <c r="X756">
        <v>6</v>
      </c>
      <c r="Y756">
        <f t="shared" ca="1" si="11"/>
        <v>90.570011133597077</v>
      </c>
    </row>
    <row r="757" spans="1:25" x14ac:dyDescent="0.3">
      <c r="A757" t="s">
        <v>91</v>
      </c>
      <c r="B757" t="s">
        <v>1372</v>
      </c>
      <c r="C757">
        <v>2</v>
      </c>
      <c r="D757" s="1">
        <v>44638</v>
      </c>
      <c r="E757">
        <v>625</v>
      </c>
      <c r="F757">
        <v>0</v>
      </c>
      <c r="G757">
        <v>10</v>
      </c>
      <c r="H757">
        <v>2</v>
      </c>
      <c r="I757">
        <v>13</v>
      </c>
      <c r="J757">
        <v>0</v>
      </c>
      <c r="K757">
        <v>1</v>
      </c>
      <c r="L757">
        <v>197643795</v>
      </c>
      <c r="M757">
        <v>98</v>
      </c>
      <c r="N757" t="s">
        <v>34</v>
      </c>
      <c r="O757" t="s">
        <v>28</v>
      </c>
      <c r="P757">
        <v>78</v>
      </c>
      <c r="Q757">
        <v>83</v>
      </c>
      <c r="R757" t="str" cm="1">
        <f t="array" ref="R757">_xlfn.IFS(Q757&gt;70,"Good",Q757&lt;40,"Bad",(Q757&gt;OS795*(Q757&lt;80)),"Ok")</f>
        <v>Good</v>
      </c>
      <c r="S757">
        <v>75</v>
      </c>
      <c r="T757" t="str" cm="1">
        <f t="array" ref="T757">_xlfn.IFS(S757&gt;50, "High", S757&lt;=50, "Low")</f>
        <v>High</v>
      </c>
      <c r="U757">
        <v>41</v>
      </c>
      <c r="V757">
        <v>0</v>
      </c>
      <c r="W757">
        <v>27</v>
      </c>
      <c r="X757">
        <v>8</v>
      </c>
      <c r="Y757">
        <f t="shared" ca="1" si="11"/>
        <v>93.083842484182185</v>
      </c>
    </row>
    <row r="758" spans="1:25" x14ac:dyDescent="0.3">
      <c r="A758" t="s">
        <v>1373</v>
      </c>
      <c r="B758" t="s">
        <v>77</v>
      </c>
      <c r="C758">
        <v>1</v>
      </c>
      <c r="D758" s="1">
        <v>43812</v>
      </c>
      <c r="E758">
        <v>8429</v>
      </c>
      <c r="F758">
        <v>1</v>
      </c>
      <c r="G758">
        <v>85</v>
      </c>
      <c r="H758">
        <v>24</v>
      </c>
      <c r="I758">
        <v>200</v>
      </c>
      <c r="J758">
        <v>0</v>
      </c>
      <c r="K758">
        <v>2</v>
      </c>
      <c r="L758">
        <v>807015863</v>
      </c>
      <c r="M758">
        <v>140</v>
      </c>
      <c r="N758" t="s">
        <v>134</v>
      </c>
      <c r="O758" t="s">
        <v>45</v>
      </c>
      <c r="P758">
        <v>45</v>
      </c>
      <c r="Q758">
        <v>25</v>
      </c>
      <c r="R758" t="str" cm="1">
        <f t="array" ref="R758">_xlfn.IFS(Q758&gt;70,"Good",Q758&lt;40,"Bad",(Q758&gt;OS796*(Q758&lt;80)),"Ok")</f>
        <v>Bad</v>
      </c>
      <c r="S758">
        <v>84</v>
      </c>
      <c r="T758" t="str" cm="1">
        <f t="array" ref="T758">_xlfn.IFS(S758&gt;50, "High", S758&lt;=50, "Low")</f>
        <v>High</v>
      </c>
      <c r="U758">
        <v>21</v>
      </c>
      <c r="V758">
        <v>0</v>
      </c>
      <c r="W758">
        <v>13</v>
      </c>
      <c r="X758">
        <v>6</v>
      </c>
      <c r="Y758">
        <f t="shared" ca="1" si="11"/>
        <v>51.318731708920282</v>
      </c>
    </row>
    <row r="759" spans="1:25" x14ac:dyDescent="0.3">
      <c r="A759" t="s">
        <v>251</v>
      </c>
      <c r="B759" t="s">
        <v>1374</v>
      </c>
      <c r="C759">
        <v>3</v>
      </c>
      <c r="D759" s="1">
        <v>41275</v>
      </c>
      <c r="E759">
        <v>52898</v>
      </c>
      <c r="F759">
        <v>0</v>
      </c>
      <c r="G759">
        <v>203</v>
      </c>
      <c r="H759">
        <v>1</v>
      </c>
      <c r="I759" s="2">
        <v>8215</v>
      </c>
      <c r="J759">
        <v>0</v>
      </c>
      <c r="K759">
        <v>0</v>
      </c>
      <c r="L759">
        <v>933815613</v>
      </c>
      <c r="M759">
        <v>116</v>
      </c>
      <c r="N759" t="s">
        <v>65</v>
      </c>
      <c r="O759" t="s">
        <v>45</v>
      </c>
      <c r="P759">
        <v>79</v>
      </c>
      <c r="Q759">
        <v>87</v>
      </c>
      <c r="R759" t="str" cm="1">
        <f t="array" ref="R759">_xlfn.IFS(Q759&gt;70,"Good",Q759&lt;40,"Bad",(Q759&gt;OS797*(Q759&lt;80)),"Ok")</f>
        <v>Good</v>
      </c>
      <c r="S759">
        <v>81</v>
      </c>
      <c r="T759" t="str" cm="1">
        <f t="array" ref="T759">_xlfn.IFS(S759&gt;50, "High", S759&lt;=50, "Low")</f>
        <v>High</v>
      </c>
      <c r="U759">
        <v>4</v>
      </c>
      <c r="V759">
        <v>0</v>
      </c>
      <c r="W759">
        <v>10</v>
      </c>
      <c r="X759">
        <v>4</v>
      </c>
      <c r="Y759">
        <f t="shared" ca="1" si="11"/>
        <v>77.134711367510548</v>
      </c>
    </row>
    <row r="760" spans="1:25" x14ac:dyDescent="0.3">
      <c r="A760" t="s">
        <v>1375</v>
      </c>
      <c r="B760" t="s">
        <v>905</v>
      </c>
      <c r="C760">
        <v>1</v>
      </c>
      <c r="D760" s="1">
        <v>44372</v>
      </c>
      <c r="E760">
        <v>3436</v>
      </c>
      <c r="F760">
        <v>0</v>
      </c>
      <c r="G760">
        <v>32</v>
      </c>
      <c r="H760">
        <v>6</v>
      </c>
      <c r="I760">
        <v>46</v>
      </c>
      <c r="J760">
        <v>0</v>
      </c>
      <c r="K760">
        <v>1</v>
      </c>
      <c r="L760">
        <v>499710590</v>
      </c>
      <c r="M760">
        <v>124</v>
      </c>
      <c r="N760" t="s">
        <v>302</v>
      </c>
      <c r="O760" t="s">
        <v>28</v>
      </c>
      <c r="P760">
        <v>86</v>
      </c>
      <c r="Q760">
        <v>62</v>
      </c>
      <c r="R760" t="str" cm="1">
        <f t="array" ref="R760">_xlfn.IFS(Q760&gt;70,"Good",Q760&lt;40,"Bad",(Q760&gt;OS798*(Q760&lt;80)),"Ok")</f>
        <v>Ok</v>
      </c>
      <c r="S760">
        <v>49</v>
      </c>
      <c r="T760" t="str" cm="1">
        <f t="array" ref="T760">_xlfn.IFS(S760&gt;50, "High", S760&lt;=50, "Low")</f>
        <v>Low</v>
      </c>
      <c r="U760">
        <v>51</v>
      </c>
      <c r="V760">
        <v>0</v>
      </c>
      <c r="W760">
        <v>35</v>
      </c>
      <c r="X760">
        <v>21</v>
      </c>
      <c r="Y760">
        <f t="shared" ca="1" si="11"/>
        <v>5.8819173528022572</v>
      </c>
    </row>
    <row r="761" spans="1:25" x14ac:dyDescent="0.3">
      <c r="A761" t="s">
        <v>188</v>
      </c>
      <c r="B761" t="s">
        <v>1376</v>
      </c>
      <c r="C761">
        <v>6</v>
      </c>
      <c r="D761" s="1">
        <v>44617</v>
      </c>
      <c r="E761">
        <v>918</v>
      </c>
      <c r="F761">
        <v>0</v>
      </c>
      <c r="G761">
        <v>34</v>
      </c>
      <c r="H761">
        <v>39</v>
      </c>
      <c r="I761">
        <v>30</v>
      </c>
      <c r="J761">
        <v>0</v>
      </c>
      <c r="K761">
        <v>0</v>
      </c>
      <c r="L761">
        <v>120847157</v>
      </c>
      <c r="M761">
        <v>105</v>
      </c>
      <c r="N761" t="s">
        <v>37</v>
      </c>
      <c r="O761" t="s">
        <v>45</v>
      </c>
      <c r="P761">
        <v>91</v>
      </c>
      <c r="Q761">
        <v>73</v>
      </c>
      <c r="R761" t="str" cm="1">
        <f t="array" ref="R761">_xlfn.IFS(Q761&gt;70,"Good",Q761&lt;40,"Bad",(Q761&gt;OS799*(Q761&lt;80)),"Ok")</f>
        <v>Good</v>
      </c>
      <c r="S761">
        <v>72</v>
      </c>
      <c r="T761" t="str" cm="1">
        <f t="array" ref="T761">_xlfn.IFS(S761&gt;50, "High", S761&lt;=50, "Low")</f>
        <v>High</v>
      </c>
      <c r="U761">
        <v>13</v>
      </c>
      <c r="V761">
        <v>0</v>
      </c>
      <c r="W761">
        <v>9</v>
      </c>
      <c r="X761">
        <v>15</v>
      </c>
      <c r="Y761">
        <f t="shared" ca="1" si="11"/>
        <v>44.761000222676969</v>
      </c>
    </row>
    <row r="762" spans="1:25" x14ac:dyDescent="0.3">
      <c r="A762" t="s">
        <v>1377</v>
      </c>
      <c r="B762" t="s">
        <v>1378</v>
      </c>
      <c r="C762">
        <v>1</v>
      </c>
      <c r="D762" s="1">
        <v>44656</v>
      </c>
      <c r="E762">
        <v>181</v>
      </c>
      <c r="F762">
        <v>0</v>
      </c>
      <c r="G762">
        <v>16</v>
      </c>
      <c r="H762">
        <v>14</v>
      </c>
      <c r="I762">
        <v>7</v>
      </c>
      <c r="J762">
        <v>0</v>
      </c>
      <c r="K762">
        <v>0</v>
      </c>
      <c r="L762">
        <v>53909146</v>
      </c>
      <c r="M762">
        <v>118</v>
      </c>
      <c r="N762" t="s">
        <v>81</v>
      </c>
      <c r="O762" t="s">
        <v>28</v>
      </c>
      <c r="P762">
        <v>68</v>
      </c>
      <c r="Q762">
        <v>24</v>
      </c>
      <c r="R762" t="str" cm="1">
        <f t="array" ref="R762">_xlfn.IFS(Q762&gt;70,"Good",Q762&lt;40,"Bad",(Q762&gt;OS800*(Q762&lt;80)),"Ok")</f>
        <v>Bad</v>
      </c>
      <c r="S762">
        <v>58</v>
      </c>
      <c r="T762" t="str" cm="1">
        <f t="array" ref="T762">_xlfn.IFS(S762&gt;50, "High", S762&lt;=50, "Low")</f>
        <v>High</v>
      </c>
      <c r="U762">
        <v>44</v>
      </c>
      <c r="V762">
        <v>0</v>
      </c>
      <c r="W762">
        <v>6</v>
      </c>
      <c r="X762">
        <v>3</v>
      </c>
      <c r="Y762">
        <f t="shared" ca="1" si="11"/>
        <v>95.015832591007324</v>
      </c>
    </row>
    <row r="763" spans="1:25" x14ac:dyDescent="0.3">
      <c r="A763" t="s">
        <v>1379</v>
      </c>
      <c r="B763" t="s">
        <v>405</v>
      </c>
      <c r="C763">
        <v>1</v>
      </c>
      <c r="D763" s="1">
        <v>41810</v>
      </c>
      <c r="E763">
        <v>18778</v>
      </c>
      <c r="F763">
        <v>3</v>
      </c>
      <c r="G763">
        <v>228</v>
      </c>
      <c r="H763">
        <v>105</v>
      </c>
      <c r="I763" s="2">
        <v>2453</v>
      </c>
      <c r="J763">
        <v>0</v>
      </c>
      <c r="K763">
        <v>84</v>
      </c>
      <c r="L763">
        <v>2236667932</v>
      </c>
      <c r="M763">
        <v>108</v>
      </c>
      <c r="N763" t="s">
        <v>134</v>
      </c>
      <c r="O763" t="s">
        <v>28</v>
      </c>
      <c r="P763">
        <v>61</v>
      </c>
      <c r="Q763">
        <v>20</v>
      </c>
      <c r="R763" t="str" cm="1">
        <f t="array" ref="R763">_xlfn.IFS(Q763&gt;70,"Good",Q763&lt;40,"Bad",(Q763&gt;OS801*(Q763&lt;80)),"Ok")</f>
        <v>Bad</v>
      </c>
      <c r="S763">
        <v>38</v>
      </c>
      <c r="T763" t="str" cm="1">
        <f t="array" ref="T763">_xlfn.IFS(S763&gt;50, "High", S763&lt;=50, "Low")</f>
        <v>Low</v>
      </c>
      <c r="U763">
        <v>61</v>
      </c>
      <c r="V763">
        <v>0</v>
      </c>
      <c r="W763">
        <v>10</v>
      </c>
      <c r="X763">
        <v>5</v>
      </c>
      <c r="Y763">
        <f t="shared" ca="1" si="11"/>
        <v>97.897910280846787</v>
      </c>
    </row>
    <row r="764" spans="1:25" x14ac:dyDescent="0.3">
      <c r="A764" t="s">
        <v>1380</v>
      </c>
      <c r="B764" t="s">
        <v>451</v>
      </c>
      <c r="C764">
        <v>1</v>
      </c>
      <c r="D764" s="1">
        <v>42317</v>
      </c>
      <c r="E764">
        <v>22730</v>
      </c>
      <c r="F764">
        <v>5</v>
      </c>
      <c r="G764">
        <v>289</v>
      </c>
      <c r="H764">
        <v>87</v>
      </c>
      <c r="I764" s="2">
        <v>2430</v>
      </c>
      <c r="J764">
        <v>0</v>
      </c>
      <c r="K764">
        <v>36</v>
      </c>
      <c r="L764">
        <v>2123309722</v>
      </c>
      <c r="M764">
        <v>100</v>
      </c>
      <c r="N764" t="s">
        <v>134</v>
      </c>
      <c r="O764" t="s">
        <v>28</v>
      </c>
      <c r="P764">
        <v>61</v>
      </c>
      <c r="Q764">
        <v>53</v>
      </c>
      <c r="R764" t="str" cm="1">
        <f t="array" ref="R764">_xlfn.IFS(Q764&gt;70,"Good",Q764&lt;40,"Bad",(Q764&gt;OS802*(Q764&lt;80)),"Ok")</f>
        <v>Ok</v>
      </c>
      <c r="S764">
        <v>38</v>
      </c>
      <c r="T764" t="str" cm="1">
        <f t="array" ref="T764">_xlfn.IFS(S764&gt;50, "High", S764&lt;=50, "Low")</f>
        <v>Low</v>
      </c>
      <c r="U764">
        <v>84</v>
      </c>
      <c r="V764">
        <v>0</v>
      </c>
      <c r="W764">
        <v>28</v>
      </c>
      <c r="X764">
        <v>44</v>
      </c>
      <c r="Y764">
        <f t="shared" ca="1" si="11"/>
        <v>2.6685896159475808</v>
      </c>
    </row>
    <row r="765" spans="1:25" x14ac:dyDescent="0.3">
      <c r="A765" t="s">
        <v>1381</v>
      </c>
      <c r="B765" t="s">
        <v>1253</v>
      </c>
      <c r="C765">
        <v>1</v>
      </c>
      <c r="D765" s="1">
        <v>44694</v>
      </c>
      <c r="E765">
        <v>5542</v>
      </c>
      <c r="F765">
        <v>0</v>
      </c>
      <c r="G765">
        <v>52</v>
      </c>
      <c r="H765">
        <v>16</v>
      </c>
      <c r="I765">
        <v>65</v>
      </c>
      <c r="J765">
        <v>0</v>
      </c>
      <c r="K765">
        <v>206</v>
      </c>
      <c r="L765">
        <v>301242089</v>
      </c>
      <c r="M765">
        <v>140</v>
      </c>
      <c r="N765" t="s">
        <v>302</v>
      </c>
      <c r="O765" t="s">
        <v>45</v>
      </c>
      <c r="P765">
        <v>81</v>
      </c>
      <c r="Q765">
        <v>39</v>
      </c>
      <c r="R765" t="str" cm="1">
        <f t="array" ref="R765">_xlfn.IFS(Q765&gt;70,"Good",Q765&lt;40,"Bad",(Q765&gt;OS803*(Q765&lt;80)),"Ok")</f>
        <v>Bad</v>
      </c>
      <c r="S765">
        <v>66</v>
      </c>
      <c r="T765" t="str" cm="1">
        <f t="array" ref="T765">_xlfn.IFS(S765&gt;50, "High", S765&lt;=50, "Low")</f>
        <v>High</v>
      </c>
      <c r="U765">
        <v>38</v>
      </c>
      <c r="V765">
        <v>0</v>
      </c>
      <c r="W765">
        <v>12</v>
      </c>
      <c r="X765">
        <v>14</v>
      </c>
      <c r="Y765">
        <f t="shared" ca="1" si="11"/>
        <v>87.784244911837405</v>
      </c>
    </row>
    <row r="766" spans="1:25" x14ac:dyDescent="0.3">
      <c r="A766" t="s">
        <v>46</v>
      </c>
      <c r="B766" t="s">
        <v>813</v>
      </c>
      <c r="C766">
        <v>1</v>
      </c>
      <c r="D766" s="1">
        <v>44665</v>
      </c>
      <c r="E766">
        <v>9021</v>
      </c>
      <c r="F766">
        <v>0</v>
      </c>
      <c r="G766">
        <v>242</v>
      </c>
      <c r="H766">
        <v>49</v>
      </c>
      <c r="I766">
        <v>272</v>
      </c>
      <c r="J766">
        <v>21</v>
      </c>
      <c r="K766">
        <v>24</v>
      </c>
      <c r="L766">
        <v>723894473</v>
      </c>
      <c r="M766">
        <v>109</v>
      </c>
      <c r="N766" t="s">
        <v>181</v>
      </c>
      <c r="O766" t="s">
        <v>45</v>
      </c>
      <c r="P766">
        <v>84</v>
      </c>
      <c r="Q766">
        <v>72</v>
      </c>
      <c r="R766" t="str" cm="1">
        <f t="array" ref="R766">_xlfn.IFS(Q766&gt;70,"Good",Q766&lt;40,"Bad",(Q766&gt;OS804*(Q766&lt;80)),"Ok")</f>
        <v>Good</v>
      </c>
      <c r="S766">
        <v>74</v>
      </c>
      <c r="T766" t="str" cm="1">
        <f t="array" ref="T766">_xlfn.IFS(S766&gt;50, "High", S766&lt;=50, "Low")</f>
        <v>High</v>
      </c>
      <c r="U766">
        <v>10</v>
      </c>
      <c r="V766">
        <v>0</v>
      </c>
      <c r="W766">
        <v>34</v>
      </c>
      <c r="X766">
        <v>7</v>
      </c>
      <c r="Y766">
        <f t="shared" ca="1" si="11"/>
        <v>85.219717715270448</v>
      </c>
    </row>
    <row r="767" spans="1:25" x14ac:dyDescent="0.3">
      <c r="A767" t="s">
        <v>1382</v>
      </c>
      <c r="B767" t="s">
        <v>1383</v>
      </c>
      <c r="C767">
        <v>3</v>
      </c>
      <c r="D767" s="1">
        <v>44694</v>
      </c>
      <c r="E767">
        <v>4627</v>
      </c>
      <c r="F767">
        <v>0</v>
      </c>
      <c r="G767">
        <v>38</v>
      </c>
      <c r="H767">
        <v>13</v>
      </c>
      <c r="I767">
        <v>32</v>
      </c>
      <c r="J767">
        <v>0</v>
      </c>
      <c r="K767">
        <v>0</v>
      </c>
      <c r="L767">
        <v>237351106</v>
      </c>
      <c r="M767">
        <v>101</v>
      </c>
      <c r="N767" t="s">
        <v>31</v>
      </c>
      <c r="O767" t="s">
        <v>45</v>
      </c>
      <c r="P767">
        <v>78</v>
      </c>
      <c r="Q767">
        <v>40</v>
      </c>
      <c r="R767" t="str" cm="1">
        <f t="array" ref="R767">_xlfn.IFS(Q767&gt;70,"Good",Q767&lt;40,"Bad",(Q767&gt;OS805*(Q767&lt;80)),"Ok")</f>
        <v>Ok</v>
      </c>
      <c r="S767">
        <v>74</v>
      </c>
      <c r="T767" t="str" cm="1">
        <f t="array" ref="T767">_xlfn.IFS(S767&gt;50, "High", S767&lt;=50, "Low")</f>
        <v>High</v>
      </c>
      <c r="U767">
        <v>36</v>
      </c>
      <c r="V767">
        <v>0</v>
      </c>
      <c r="W767">
        <v>17</v>
      </c>
      <c r="X767">
        <v>27</v>
      </c>
      <c r="Y767">
        <f t="shared" ca="1" si="11"/>
        <v>69.642015212871485</v>
      </c>
    </row>
    <row r="768" spans="1:25" x14ac:dyDescent="0.3">
      <c r="A768" t="s">
        <v>1384</v>
      </c>
      <c r="B768" t="s">
        <v>44</v>
      </c>
      <c r="C768">
        <v>1</v>
      </c>
      <c r="D768" s="1">
        <v>44687</v>
      </c>
      <c r="E768">
        <v>2229</v>
      </c>
      <c r="F768">
        <v>0</v>
      </c>
      <c r="G768">
        <v>27</v>
      </c>
      <c r="H768">
        <v>44</v>
      </c>
      <c r="I768">
        <v>24</v>
      </c>
      <c r="J768">
        <v>0</v>
      </c>
      <c r="K768">
        <v>5</v>
      </c>
      <c r="L768">
        <v>461558540</v>
      </c>
      <c r="M768">
        <v>78</v>
      </c>
      <c r="N768" t="s">
        <v>34</v>
      </c>
      <c r="O768" t="s">
        <v>28</v>
      </c>
      <c r="P768">
        <v>56</v>
      </c>
      <c r="Q768">
        <v>61</v>
      </c>
      <c r="R768" t="str" cm="1">
        <f t="array" ref="R768">_xlfn.IFS(Q768&gt;70,"Good",Q768&lt;40,"Bad",(Q768&gt;OS806*(Q768&lt;80)),"Ok")</f>
        <v>Ok</v>
      </c>
      <c r="S768">
        <v>90</v>
      </c>
      <c r="T768" t="str" cm="1">
        <f t="array" ref="T768">_xlfn.IFS(S768&gt;50, "High", S768&lt;=50, "Low")</f>
        <v>High</v>
      </c>
      <c r="U768">
        <v>36</v>
      </c>
      <c r="V768">
        <v>0</v>
      </c>
      <c r="W768">
        <v>18</v>
      </c>
      <c r="X768">
        <v>31</v>
      </c>
      <c r="Y768">
        <f t="shared" ca="1" si="11"/>
        <v>86.573376736590674</v>
      </c>
    </row>
    <row r="769" spans="1:25" x14ac:dyDescent="0.3">
      <c r="A769" t="s">
        <v>1385</v>
      </c>
      <c r="B769" t="s">
        <v>44</v>
      </c>
      <c r="C769">
        <v>1</v>
      </c>
      <c r="D769" s="1">
        <v>44687</v>
      </c>
      <c r="E769">
        <v>1112</v>
      </c>
      <c r="F769">
        <v>6</v>
      </c>
      <c r="G769">
        <v>7</v>
      </c>
      <c r="H769">
        <v>30</v>
      </c>
      <c r="I769">
        <v>13</v>
      </c>
      <c r="J769">
        <v>1</v>
      </c>
      <c r="K769">
        <v>1</v>
      </c>
      <c r="L769">
        <v>417230415</v>
      </c>
      <c r="M769">
        <v>93</v>
      </c>
      <c r="O769" t="s">
        <v>45</v>
      </c>
      <c r="P769">
        <v>79</v>
      </c>
      <c r="Q769">
        <v>22</v>
      </c>
      <c r="R769" t="str" cm="1">
        <f t="array" ref="R769">_xlfn.IFS(Q769&gt;70,"Good",Q769&lt;40,"Bad",(Q769&gt;OS807*(Q769&lt;80)),"Ok")</f>
        <v>Bad</v>
      </c>
      <c r="S769">
        <v>55</v>
      </c>
      <c r="T769" t="str" cm="1">
        <f t="array" ref="T769">_xlfn.IFS(S769&gt;50, "High", S769&lt;=50, "Low")</f>
        <v>High</v>
      </c>
      <c r="U769">
        <v>31</v>
      </c>
      <c r="V769">
        <v>0</v>
      </c>
      <c r="W769">
        <v>12</v>
      </c>
      <c r="X769">
        <v>5</v>
      </c>
      <c r="Y769">
        <f t="shared" ca="1" si="11"/>
        <v>15.081139402122368</v>
      </c>
    </row>
    <row r="770" spans="1:25" x14ac:dyDescent="0.3">
      <c r="A770" t="s">
        <v>1386</v>
      </c>
      <c r="B770" t="s">
        <v>1253</v>
      </c>
      <c r="C770">
        <v>1</v>
      </c>
      <c r="D770" s="1">
        <v>44694</v>
      </c>
      <c r="E770">
        <v>2575</v>
      </c>
      <c r="F770">
        <v>0</v>
      </c>
      <c r="G770">
        <v>4</v>
      </c>
      <c r="H770">
        <v>5</v>
      </c>
      <c r="I770">
        <v>12</v>
      </c>
      <c r="J770">
        <v>0</v>
      </c>
      <c r="K770">
        <v>51</v>
      </c>
      <c r="L770">
        <v>156898322</v>
      </c>
      <c r="M770">
        <v>87</v>
      </c>
      <c r="N770" t="s">
        <v>81</v>
      </c>
      <c r="O770" t="s">
        <v>28</v>
      </c>
      <c r="P770">
        <v>52</v>
      </c>
      <c r="Q770">
        <v>32</v>
      </c>
      <c r="R770" t="str" cm="1">
        <f t="array" ref="R770">_xlfn.IFS(Q770&gt;70,"Good",Q770&lt;40,"Bad",(Q770&gt;OS808*(Q770&lt;80)),"Ok")</f>
        <v>Bad</v>
      </c>
      <c r="S770">
        <v>83</v>
      </c>
      <c r="T770" t="str" cm="1">
        <f t="array" ref="T770">_xlfn.IFS(S770&gt;50, "High", S770&lt;=50, "Low")</f>
        <v>High</v>
      </c>
      <c r="U770">
        <v>24</v>
      </c>
      <c r="V770">
        <v>0</v>
      </c>
      <c r="W770">
        <v>17</v>
      </c>
      <c r="X770">
        <v>43</v>
      </c>
      <c r="Y770">
        <f t="shared" ref="Y770:Y833" ca="1" si="12">RAND()*100</f>
        <v>89.518708275795802</v>
      </c>
    </row>
    <row r="771" spans="1:25" x14ac:dyDescent="0.3">
      <c r="A771" t="s">
        <v>1387</v>
      </c>
      <c r="B771" t="s">
        <v>1388</v>
      </c>
      <c r="C771">
        <v>2</v>
      </c>
      <c r="D771" s="1">
        <v>44694</v>
      </c>
      <c r="E771">
        <v>3107</v>
      </c>
      <c r="F771">
        <v>0</v>
      </c>
      <c r="G771">
        <v>4</v>
      </c>
      <c r="H771">
        <v>0</v>
      </c>
      <c r="I771">
        <v>22</v>
      </c>
      <c r="J771">
        <v>0</v>
      </c>
      <c r="K771">
        <v>0</v>
      </c>
      <c r="L771">
        <v>127309180</v>
      </c>
      <c r="M771">
        <v>153</v>
      </c>
      <c r="N771" t="s">
        <v>181</v>
      </c>
      <c r="O771" t="s">
        <v>45</v>
      </c>
      <c r="P771">
        <v>55</v>
      </c>
      <c r="Q771">
        <v>50</v>
      </c>
      <c r="R771" t="str" cm="1">
        <f t="array" ref="R771">_xlfn.IFS(Q771&gt;70,"Good",Q771&lt;40,"Bad",(Q771&gt;OS809*(Q771&lt;80)),"Ok")</f>
        <v>Ok</v>
      </c>
      <c r="S771">
        <v>78</v>
      </c>
      <c r="T771" t="str" cm="1">
        <f t="array" ref="T771">_xlfn.IFS(S771&gt;50, "High", S771&lt;=50, "Low")</f>
        <v>High</v>
      </c>
      <c r="U771">
        <v>19</v>
      </c>
      <c r="V771">
        <v>0</v>
      </c>
      <c r="W771">
        <v>11</v>
      </c>
      <c r="X771">
        <v>35</v>
      </c>
      <c r="Y771">
        <f t="shared" ca="1" si="12"/>
        <v>74.232005848154486</v>
      </c>
    </row>
    <row r="772" spans="1:25" x14ac:dyDescent="0.3">
      <c r="A772" t="s">
        <v>356</v>
      </c>
      <c r="B772" t="s">
        <v>44</v>
      </c>
      <c r="C772">
        <v>1</v>
      </c>
      <c r="D772" s="1">
        <v>44687</v>
      </c>
      <c r="E772">
        <v>1179</v>
      </c>
      <c r="F772">
        <v>0</v>
      </c>
      <c r="G772">
        <v>7</v>
      </c>
      <c r="H772">
        <v>21</v>
      </c>
      <c r="I772">
        <v>11</v>
      </c>
      <c r="J772">
        <v>0</v>
      </c>
      <c r="K772">
        <v>0</v>
      </c>
      <c r="L772">
        <v>313113297</v>
      </c>
      <c r="M772">
        <v>142</v>
      </c>
      <c r="O772" t="s">
        <v>28</v>
      </c>
      <c r="P772">
        <v>87</v>
      </c>
      <c r="Q772">
        <v>93</v>
      </c>
      <c r="R772" t="str" cm="1">
        <f t="array" ref="R772">_xlfn.IFS(Q772&gt;70,"Good",Q772&lt;40,"Bad",(Q772&gt;OS810*(Q772&lt;80)),"Ok")</f>
        <v>Good</v>
      </c>
      <c r="S772">
        <v>59</v>
      </c>
      <c r="T772" t="str" cm="1">
        <f t="array" ref="T772">_xlfn.IFS(S772&gt;50, "High", S772&lt;=50, "Low")</f>
        <v>High</v>
      </c>
      <c r="U772">
        <v>28</v>
      </c>
      <c r="V772">
        <v>0</v>
      </c>
      <c r="W772">
        <v>17</v>
      </c>
      <c r="X772">
        <v>5</v>
      </c>
      <c r="Y772">
        <f t="shared" ca="1" si="12"/>
        <v>78.387697351335746</v>
      </c>
    </row>
    <row r="773" spans="1:25" x14ac:dyDescent="0.3">
      <c r="A773" t="s">
        <v>1389</v>
      </c>
      <c r="B773" t="s">
        <v>1253</v>
      </c>
      <c r="C773">
        <v>1</v>
      </c>
      <c r="D773" s="1">
        <v>44694</v>
      </c>
      <c r="E773">
        <v>3486</v>
      </c>
      <c r="F773">
        <v>0</v>
      </c>
      <c r="G773">
        <v>20</v>
      </c>
      <c r="H773">
        <v>10</v>
      </c>
      <c r="I773">
        <v>33</v>
      </c>
      <c r="J773">
        <v>0</v>
      </c>
      <c r="K773">
        <v>0</v>
      </c>
      <c r="L773">
        <v>173702135</v>
      </c>
      <c r="M773">
        <v>96</v>
      </c>
      <c r="N773" t="s">
        <v>181</v>
      </c>
      <c r="O773" t="s">
        <v>45</v>
      </c>
      <c r="P773">
        <v>85</v>
      </c>
      <c r="Q773">
        <v>41</v>
      </c>
      <c r="R773" t="str" cm="1">
        <f t="array" ref="R773">_xlfn.IFS(Q773&gt;70,"Good",Q773&lt;40,"Bad",(Q773&gt;OS811*(Q773&lt;80)),"Ok")</f>
        <v>Ok</v>
      </c>
      <c r="S773">
        <v>43</v>
      </c>
      <c r="T773" t="str" cm="1">
        <f t="array" ref="T773">_xlfn.IFS(S773&gt;50, "High", S773&lt;=50, "Low")</f>
        <v>Low</v>
      </c>
      <c r="U773">
        <v>39</v>
      </c>
      <c r="V773">
        <v>0</v>
      </c>
      <c r="W773">
        <v>12</v>
      </c>
      <c r="X773">
        <v>21</v>
      </c>
      <c r="Y773">
        <f t="shared" ca="1" si="12"/>
        <v>99.239386823959478</v>
      </c>
    </row>
    <row r="774" spans="1:25" x14ac:dyDescent="0.3">
      <c r="A774" t="s">
        <v>1390</v>
      </c>
      <c r="B774" t="s">
        <v>1391</v>
      </c>
      <c r="C774">
        <v>2</v>
      </c>
      <c r="D774" s="1">
        <v>44693</v>
      </c>
      <c r="E774">
        <v>2942</v>
      </c>
      <c r="F774">
        <v>0</v>
      </c>
      <c r="G774">
        <v>42</v>
      </c>
      <c r="H774">
        <v>28</v>
      </c>
      <c r="I774">
        <v>43</v>
      </c>
      <c r="J774">
        <v>0</v>
      </c>
      <c r="K774">
        <v>0</v>
      </c>
      <c r="L774">
        <v>271666301</v>
      </c>
      <c r="M774">
        <v>125</v>
      </c>
      <c r="O774" t="s">
        <v>28</v>
      </c>
      <c r="P774">
        <v>50</v>
      </c>
      <c r="Q774">
        <v>39</v>
      </c>
      <c r="R774" t="str" cm="1">
        <f t="array" ref="R774">_xlfn.IFS(Q774&gt;70,"Good",Q774&lt;40,"Bad",(Q774&gt;OS812*(Q774&lt;80)),"Ok")</f>
        <v>Bad</v>
      </c>
      <c r="S774">
        <v>78</v>
      </c>
      <c r="T774" t="str" cm="1">
        <f t="array" ref="T774">_xlfn.IFS(S774&gt;50, "High", S774&lt;=50, "Low")</f>
        <v>High</v>
      </c>
      <c r="U774">
        <v>4</v>
      </c>
      <c r="V774">
        <v>0</v>
      </c>
      <c r="W774">
        <v>11</v>
      </c>
      <c r="X774">
        <v>33</v>
      </c>
      <c r="Y774">
        <f t="shared" ca="1" si="12"/>
        <v>61.83164676003593</v>
      </c>
    </row>
    <row r="775" spans="1:25" x14ac:dyDescent="0.3">
      <c r="A775" t="s">
        <v>1392</v>
      </c>
      <c r="B775" t="s">
        <v>44</v>
      </c>
      <c r="C775">
        <v>1</v>
      </c>
      <c r="D775" s="1">
        <v>44687</v>
      </c>
      <c r="E775">
        <v>1443</v>
      </c>
      <c r="F775">
        <v>0</v>
      </c>
      <c r="G775">
        <v>9</v>
      </c>
      <c r="H775">
        <v>11</v>
      </c>
      <c r="I775">
        <v>22</v>
      </c>
      <c r="J775">
        <v>1</v>
      </c>
      <c r="K775">
        <v>0</v>
      </c>
      <c r="L775">
        <v>305650299</v>
      </c>
      <c r="M775">
        <v>85</v>
      </c>
      <c r="N775" t="s">
        <v>181</v>
      </c>
      <c r="O775" t="s">
        <v>28</v>
      </c>
      <c r="P775">
        <v>71</v>
      </c>
      <c r="Q775">
        <v>43</v>
      </c>
      <c r="R775" t="str" cm="1">
        <f t="array" ref="R775">_xlfn.IFS(Q775&gt;70,"Good",Q775&lt;40,"Bad",(Q775&gt;OS813*(Q775&lt;80)),"Ok")</f>
        <v>Ok</v>
      </c>
      <c r="S775">
        <v>65</v>
      </c>
      <c r="T775" t="str" cm="1">
        <f t="array" ref="T775">_xlfn.IFS(S775&gt;50, "High", S775&lt;=50, "Low")</f>
        <v>High</v>
      </c>
      <c r="U775">
        <v>23</v>
      </c>
      <c r="V775">
        <v>0</v>
      </c>
      <c r="W775">
        <v>9</v>
      </c>
      <c r="X775">
        <v>5</v>
      </c>
      <c r="Y775">
        <f t="shared" ca="1" si="12"/>
        <v>61.59579679483096</v>
      </c>
    </row>
    <row r="776" spans="1:25" x14ac:dyDescent="0.3">
      <c r="A776" t="s">
        <v>441</v>
      </c>
      <c r="B776" t="s">
        <v>1393</v>
      </c>
      <c r="C776">
        <v>2</v>
      </c>
      <c r="D776" s="1">
        <v>44694</v>
      </c>
      <c r="E776">
        <v>3028</v>
      </c>
      <c r="F776">
        <v>0</v>
      </c>
      <c r="G776">
        <v>22</v>
      </c>
      <c r="H776">
        <v>0</v>
      </c>
      <c r="I776">
        <v>23</v>
      </c>
      <c r="J776">
        <v>0</v>
      </c>
      <c r="K776">
        <v>0</v>
      </c>
      <c r="L776">
        <v>123216717</v>
      </c>
      <c r="M776">
        <v>140</v>
      </c>
      <c r="N776" t="s">
        <v>31</v>
      </c>
      <c r="O776" t="s">
        <v>45</v>
      </c>
      <c r="P776">
        <v>92</v>
      </c>
      <c r="Q776">
        <v>78</v>
      </c>
      <c r="R776" t="str" cm="1">
        <f t="array" ref="R776">_xlfn.IFS(Q776&gt;70,"Good",Q776&lt;40,"Bad",(Q776&gt;OS814*(Q776&lt;80)),"Ok")</f>
        <v>Good</v>
      </c>
      <c r="S776">
        <v>57</v>
      </c>
      <c r="T776" t="str" cm="1">
        <f t="array" ref="T776">_xlfn.IFS(S776&gt;50, "High", S776&lt;=50, "Low")</f>
        <v>High</v>
      </c>
      <c r="U776">
        <v>46</v>
      </c>
      <c r="V776">
        <v>0</v>
      </c>
      <c r="W776">
        <v>14</v>
      </c>
      <c r="X776">
        <v>9</v>
      </c>
      <c r="Y776">
        <f t="shared" ca="1" si="12"/>
        <v>34.558151254540462</v>
      </c>
    </row>
    <row r="777" spans="1:25" x14ac:dyDescent="0.3">
      <c r="A777" t="s">
        <v>1394</v>
      </c>
      <c r="B777" t="s">
        <v>1395</v>
      </c>
      <c r="C777">
        <v>2</v>
      </c>
      <c r="D777" s="1">
        <v>44687</v>
      </c>
      <c r="E777">
        <v>1796</v>
      </c>
      <c r="F777">
        <v>8</v>
      </c>
      <c r="G777">
        <v>8</v>
      </c>
      <c r="H777">
        <v>25</v>
      </c>
      <c r="I777">
        <v>18</v>
      </c>
      <c r="J777">
        <v>1</v>
      </c>
      <c r="K777">
        <v>0</v>
      </c>
      <c r="L777">
        <v>479655659</v>
      </c>
      <c r="M777">
        <v>196</v>
      </c>
      <c r="N777" t="s">
        <v>27</v>
      </c>
      <c r="O777" t="s">
        <v>45</v>
      </c>
      <c r="P777">
        <v>66</v>
      </c>
      <c r="Q777">
        <v>58</v>
      </c>
      <c r="R777" t="str" cm="1">
        <f t="array" ref="R777">_xlfn.IFS(Q777&gt;70,"Good",Q777&lt;40,"Bad",(Q777&gt;OS815*(Q777&lt;80)),"Ok")</f>
        <v>Ok</v>
      </c>
      <c r="S777">
        <v>79</v>
      </c>
      <c r="T777" t="str" cm="1">
        <f t="array" ref="T777">_xlfn.IFS(S777&gt;50, "High", S777&lt;=50, "Low")</f>
        <v>High</v>
      </c>
      <c r="U777">
        <v>23</v>
      </c>
      <c r="V777">
        <v>0</v>
      </c>
      <c r="W777">
        <v>22</v>
      </c>
      <c r="X777">
        <v>20</v>
      </c>
      <c r="Y777">
        <f t="shared" ca="1" si="12"/>
        <v>56.177569667162985</v>
      </c>
    </row>
    <row r="778" spans="1:25" x14ac:dyDescent="0.3">
      <c r="A778" t="s">
        <v>1396</v>
      </c>
      <c r="B778" t="s">
        <v>1253</v>
      </c>
      <c r="C778">
        <v>1</v>
      </c>
      <c r="D778" s="1">
        <v>44694</v>
      </c>
      <c r="E778">
        <v>2729</v>
      </c>
      <c r="F778">
        <v>0</v>
      </c>
      <c r="G778">
        <v>3</v>
      </c>
      <c r="H778">
        <v>7</v>
      </c>
      <c r="I778">
        <v>13</v>
      </c>
      <c r="J778">
        <v>0</v>
      </c>
      <c r="K778">
        <v>1</v>
      </c>
      <c r="L778">
        <v>126191104</v>
      </c>
      <c r="M778">
        <v>134</v>
      </c>
      <c r="N778" t="s">
        <v>94</v>
      </c>
      <c r="O778" t="s">
        <v>28</v>
      </c>
      <c r="P778">
        <v>78</v>
      </c>
      <c r="Q778">
        <v>51</v>
      </c>
      <c r="R778" t="str" cm="1">
        <f t="array" ref="R778">_xlfn.IFS(Q778&gt;70,"Good",Q778&lt;40,"Bad",(Q778&gt;OS816*(Q778&lt;80)),"Ok")</f>
        <v>Ok</v>
      </c>
      <c r="S778">
        <v>43</v>
      </c>
      <c r="T778" t="str" cm="1">
        <f t="array" ref="T778">_xlfn.IFS(S778&gt;50, "High", S778&lt;=50, "Low")</f>
        <v>Low</v>
      </c>
      <c r="U778">
        <v>69</v>
      </c>
      <c r="V778">
        <v>0</v>
      </c>
      <c r="W778">
        <v>14</v>
      </c>
      <c r="X778">
        <v>9</v>
      </c>
      <c r="Y778">
        <f t="shared" ca="1" si="12"/>
        <v>29.682034792424016</v>
      </c>
    </row>
    <row r="779" spans="1:25" x14ac:dyDescent="0.3">
      <c r="A779" t="s">
        <v>1397</v>
      </c>
      <c r="B779" t="s">
        <v>1398</v>
      </c>
      <c r="C779">
        <v>2</v>
      </c>
      <c r="D779" s="1">
        <v>44687</v>
      </c>
      <c r="E779">
        <v>1195</v>
      </c>
      <c r="F779">
        <v>0</v>
      </c>
      <c r="G779">
        <v>8</v>
      </c>
      <c r="H779">
        <v>30</v>
      </c>
      <c r="I779">
        <v>13</v>
      </c>
      <c r="J779">
        <v>1</v>
      </c>
      <c r="K779">
        <v>1</v>
      </c>
      <c r="L779">
        <v>344055883</v>
      </c>
      <c r="M779">
        <v>103</v>
      </c>
      <c r="N779" t="s">
        <v>31</v>
      </c>
      <c r="O779" t="s">
        <v>45</v>
      </c>
      <c r="P779">
        <v>80</v>
      </c>
      <c r="Q779">
        <v>45</v>
      </c>
      <c r="R779" t="str" cm="1">
        <f t="array" ref="R779">_xlfn.IFS(Q779&gt;70,"Good",Q779&lt;40,"Bad",(Q779&gt;OS817*(Q779&lt;80)),"Ok")</f>
        <v>Ok</v>
      </c>
      <c r="S779">
        <v>62</v>
      </c>
      <c r="T779" t="str" cm="1">
        <f t="array" ref="T779">_xlfn.IFS(S779&gt;50, "High", S779&lt;=50, "Low")</f>
        <v>High</v>
      </c>
      <c r="U779">
        <v>76</v>
      </c>
      <c r="V779">
        <v>0</v>
      </c>
      <c r="W779">
        <v>10</v>
      </c>
      <c r="X779">
        <v>38</v>
      </c>
      <c r="Y779">
        <f t="shared" ca="1" si="12"/>
        <v>66.471599663191611</v>
      </c>
    </row>
    <row r="780" spans="1:25" x14ac:dyDescent="0.3">
      <c r="A780" t="s">
        <v>1399</v>
      </c>
      <c r="B780" t="s">
        <v>44</v>
      </c>
      <c r="C780">
        <v>1</v>
      </c>
      <c r="D780" s="1">
        <v>44687</v>
      </c>
      <c r="E780">
        <v>892</v>
      </c>
      <c r="F780">
        <v>3</v>
      </c>
      <c r="G780">
        <v>10</v>
      </c>
      <c r="H780">
        <v>24</v>
      </c>
      <c r="I780">
        <v>11</v>
      </c>
      <c r="J780">
        <v>0</v>
      </c>
      <c r="K780">
        <v>0</v>
      </c>
      <c r="L780">
        <v>338422004</v>
      </c>
      <c r="M780">
        <v>130</v>
      </c>
      <c r="N780" t="s">
        <v>31</v>
      </c>
      <c r="O780" t="s">
        <v>28</v>
      </c>
      <c r="P780">
        <v>82</v>
      </c>
      <c r="Q780">
        <v>50</v>
      </c>
      <c r="R780" t="str" cm="1">
        <f t="array" ref="R780">_xlfn.IFS(Q780&gt;70,"Good",Q780&lt;40,"Bad",(Q780&gt;OS818*(Q780&lt;80)),"Ok")</f>
        <v>Ok</v>
      </c>
      <c r="S780">
        <v>67</v>
      </c>
      <c r="T780" t="str" cm="1">
        <f t="array" ref="T780">_xlfn.IFS(S780&gt;50, "High", S780&lt;=50, "Low")</f>
        <v>High</v>
      </c>
      <c r="U780">
        <v>12</v>
      </c>
      <c r="V780">
        <v>0</v>
      </c>
      <c r="W780">
        <v>13</v>
      </c>
      <c r="X780">
        <v>5</v>
      </c>
      <c r="Y780">
        <f t="shared" ca="1" si="12"/>
        <v>48.301622977856027</v>
      </c>
    </row>
    <row r="781" spans="1:25" x14ac:dyDescent="0.3">
      <c r="A781" t="s">
        <v>1400</v>
      </c>
      <c r="B781" t="s">
        <v>1401</v>
      </c>
      <c r="C781">
        <v>2</v>
      </c>
      <c r="D781" s="1">
        <v>44694</v>
      </c>
      <c r="E781">
        <v>1635</v>
      </c>
      <c r="F781">
        <v>0</v>
      </c>
      <c r="G781">
        <v>4</v>
      </c>
      <c r="H781">
        <v>1</v>
      </c>
      <c r="I781">
        <v>6</v>
      </c>
      <c r="J781">
        <v>0</v>
      </c>
      <c r="K781">
        <v>0</v>
      </c>
      <c r="L781">
        <v>68895644</v>
      </c>
      <c r="M781">
        <v>108</v>
      </c>
      <c r="N781" t="s">
        <v>27</v>
      </c>
      <c r="O781" t="s">
        <v>28</v>
      </c>
      <c r="P781">
        <v>65</v>
      </c>
      <c r="Q781">
        <v>52</v>
      </c>
      <c r="R781" t="str" cm="1">
        <f t="array" ref="R781">_xlfn.IFS(Q781&gt;70,"Good",Q781&lt;40,"Bad",(Q781&gt;OS819*(Q781&lt;80)),"Ok")</f>
        <v>Ok</v>
      </c>
      <c r="S781">
        <v>69</v>
      </c>
      <c r="T781" t="str" cm="1">
        <f t="array" ref="T781">_xlfn.IFS(S781&gt;50, "High", S781&lt;=50, "Low")</f>
        <v>High</v>
      </c>
      <c r="U781">
        <v>31</v>
      </c>
      <c r="V781">
        <v>0</v>
      </c>
      <c r="W781">
        <v>8</v>
      </c>
      <c r="X781">
        <v>36</v>
      </c>
      <c r="Y781">
        <f t="shared" ca="1" si="12"/>
        <v>76.755364773288903</v>
      </c>
    </row>
    <row r="782" spans="1:25" x14ac:dyDescent="0.3">
      <c r="A782" t="s">
        <v>1402</v>
      </c>
      <c r="B782" t="s">
        <v>1403</v>
      </c>
      <c r="C782">
        <v>3</v>
      </c>
      <c r="D782" s="1">
        <v>44694</v>
      </c>
      <c r="E782">
        <v>2291</v>
      </c>
      <c r="F782">
        <v>0</v>
      </c>
      <c r="G782">
        <v>9</v>
      </c>
      <c r="H782">
        <v>0</v>
      </c>
      <c r="I782">
        <v>8</v>
      </c>
      <c r="J782">
        <v>0</v>
      </c>
      <c r="K782">
        <v>0</v>
      </c>
      <c r="L782">
        <v>86176890</v>
      </c>
      <c r="M782">
        <v>123</v>
      </c>
      <c r="N782" t="s">
        <v>81</v>
      </c>
      <c r="O782" t="s">
        <v>28</v>
      </c>
      <c r="P782">
        <v>61</v>
      </c>
      <c r="Q782">
        <v>66</v>
      </c>
      <c r="R782" t="str" cm="1">
        <f t="array" ref="R782">_xlfn.IFS(Q782&gt;70,"Good",Q782&lt;40,"Bad",(Q782&gt;OS820*(Q782&lt;80)),"Ok")</f>
        <v>Ok</v>
      </c>
      <c r="S782">
        <v>71</v>
      </c>
      <c r="T782" t="str" cm="1">
        <f t="array" ref="T782">_xlfn.IFS(S782&gt;50, "High", S782&lt;=50, "Low")</f>
        <v>High</v>
      </c>
      <c r="U782">
        <v>53</v>
      </c>
      <c r="V782">
        <v>0</v>
      </c>
      <c r="W782">
        <v>32</v>
      </c>
      <c r="X782">
        <v>46</v>
      </c>
      <c r="Y782">
        <f t="shared" ca="1" si="12"/>
        <v>73.225670547047102</v>
      </c>
    </row>
    <row r="783" spans="1:25" x14ac:dyDescent="0.3">
      <c r="A783" t="s">
        <v>366</v>
      </c>
      <c r="B783" t="s">
        <v>44</v>
      </c>
      <c r="C783">
        <v>1</v>
      </c>
      <c r="D783" s="1">
        <v>44687</v>
      </c>
      <c r="E783">
        <v>1029</v>
      </c>
      <c r="F783">
        <v>28</v>
      </c>
      <c r="G783">
        <v>5</v>
      </c>
      <c r="H783">
        <v>28</v>
      </c>
      <c r="I783">
        <v>9</v>
      </c>
      <c r="J783">
        <v>0</v>
      </c>
      <c r="K783">
        <v>0</v>
      </c>
      <c r="L783">
        <v>403231558</v>
      </c>
      <c r="M783">
        <v>152</v>
      </c>
      <c r="N783" t="s">
        <v>27</v>
      </c>
      <c r="O783" t="s">
        <v>28</v>
      </c>
      <c r="P783">
        <v>84</v>
      </c>
      <c r="Q783">
        <v>74</v>
      </c>
      <c r="R783" t="str" cm="1">
        <f t="array" ref="R783">_xlfn.IFS(Q783&gt;70,"Good",Q783&lt;40,"Bad",(Q783&gt;OS821*(Q783&lt;80)),"Ok")</f>
        <v>Good</v>
      </c>
      <c r="S783">
        <v>69</v>
      </c>
      <c r="T783" t="str" cm="1">
        <f t="array" ref="T783">_xlfn.IFS(S783&gt;50, "High", S783&lt;=50, "Low")</f>
        <v>High</v>
      </c>
      <c r="U783">
        <v>21</v>
      </c>
      <c r="V783">
        <v>0</v>
      </c>
      <c r="W783">
        <v>18</v>
      </c>
      <c r="X783">
        <v>6</v>
      </c>
      <c r="Y783">
        <f t="shared" ca="1" si="12"/>
        <v>31.071744581934713</v>
      </c>
    </row>
    <row r="784" spans="1:25" x14ac:dyDescent="0.3">
      <c r="A784" t="s">
        <v>1404</v>
      </c>
      <c r="B784" t="s">
        <v>1405</v>
      </c>
      <c r="C784">
        <v>2</v>
      </c>
      <c r="D784" s="1">
        <v>44687</v>
      </c>
      <c r="E784">
        <v>1681</v>
      </c>
      <c r="F784">
        <v>7</v>
      </c>
      <c r="G784">
        <v>10</v>
      </c>
      <c r="H784">
        <v>30</v>
      </c>
      <c r="I784">
        <v>13</v>
      </c>
      <c r="J784">
        <v>0</v>
      </c>
      <c r="K784">
        <v>33</v>
      </c>
      <c r="L784">
        <v>319546754</v>
      </c>
      <c r="M784">
        <v>108</v>
      </c>
      <c r="N784" t="s">
        <v>61</v>
      </c>
      <c r="O784" t="s">
        <v>28</v>
      </c>
      <c r="P784">
        <v>78</v>
      </c>
      <c r="Q784">
        <v>55</v>
      </c>
      <c r="R784" t="str" cm="1">
        <f t="array" ref="R784">_xlfn.IFS(Q784&gt;70,"Good",Q784&lt;40,"Bad",(Q784&gt;OS822*(Q784&lt;80)),"Ok")</f>
        <v>Ok</v>
      </c>
      <c r="S784">
        <v>60</v>
      </c>
      <c r="T784" t="str" cm="1">
        <f t="array" ref="T784">_xlfn.IFS(S784&gt;50, "High", S784&lt;=50, "Low")</f>
        <v>High</v>
      </c>
      <c r="U784">
        <v>59</v>
      </c>
      <c r="V784">
        <v>0</v>
      </c>
      <c r="W784">
        <v>7</v>
      </c>
      <c r="X784">
        <v>4</v>
      </c>
      <c r="Y784">
        <f t="shared" ca="1" si="12"/>
        <v>27.699402687075214</v>
      </c>
    </row>
    <row r="785" spans="1:25" x14ac:dyDescent="0.3">
      <c r="A785" t="s">
        <v>1406</v>
      </c>
      <c r="B785" t="s">
        <v>1253</v>
      </c>
      <c r="C785">
        <v>1</v>
      </c>
      <c r="D785" s="1">
        <v>44694</v>
      </c>
      <c r="E785">
        <v>1480</v>
      </c>
      <c r="F785">
        <v>0</v>
      </c>
      <c r="G785">
        <v>1</v>
      </c>
      <c r="H785">
        <v>0</v>
      </c>
      <c r="I785">
        <v>5</v>
      </c>
      <c r="J785">
        <v>0</v>
      </c>
      <c r="K785">
        <v>0</v>
      </c>
      <c r="L785">
        <v>61739839</v>
      </c>
      <c r="M785">
        <v>72</v>
      </c>
      <c r="N785" t="s">
        <v>181</v>
      </c>
      <c r="O785" t="s">
        <v>45</v>
      </c>
      <c r="P785">
        <v>56</v>
      </c>
      <c r="Q785">
        <v>56</v>
      </c>
      <c r="R785" t="str" cm="1">
        <f t="array" ref="R785">_xlfn.IFS(Q785&gt;70,"Good",Q785&lt;40,"Bad",(Q785&gt;OS823*(Q785&lt;80)),"Ok")</f>
        <v>Ok</v>
      </c>
      <c r="S785">
        <v>47</v>
      </c>
      <c r="T785" t="str" cm="1">
        <f t="array" ref="T785">_xlfn.IFS(S785&gt;50, "High", S785&lt;=50, "Low")</f>
        <v>Low</v>
      </c>
      <c r="U785">
        <v>76</v>
      </c>
      <c r="V785">
        <v>0</v>
      </c>
      <c r="W785">
        <v>8</v>
      </c>
      <c r="X785">
        <v>36</v>
      </c>
      <c r="Y785">
        <f t="shared" ca="1" si="12"/>
        <v>30.640649535360566</v>
      </c>
    </row>
    <row r="786" spans="1:25" x14ac:dyDescent="0.3">
      <c r="A786" t="s">
        <v>1407</v>
      </c>
      <c r="B786" t="s">
        <v>44</v>
      </c>
      <c r="C786">
        <v>1</v>
      </c>
      <c r="D786" s="1">
        <v>44687</v>
      </c>
      <c r="E786">
        <v>829</v>
      </c>
      <c r="F786">
        <v>0</v>
      </c>
      <c r="G786">
        <v>4</v>
      </c>
      <c r="H786">
        <v>15</v>
      </c>
      <c r="I786">
        <v>10</v>
      </c>
      <c r="J786">
        <v>0</v>
      </c>
      <c r="K786">
        <v>0</v>
      </c>
      <c r="L786">
        <v>283359161</v>
      </c>
      <c r="M786">
        <v>121</v>
      </c>
      <c r="N786" t="s">
        <v>65</v>
      </c>
      <c r="O786" t="s">
        <v>45</v>
      </c>
      <c r="P786">
        <v>86</v>
      </c>
      <c r="Q786">
        <v>67</v>
      </c>
      <c r="R786" t="str" cm="1">
        <f t="array" ref="R786">_xlfn.IFS(Q786&gt;70,"Good",Q786&lt;40,"Bad",(Q786&gt;OS824*(Q786&lt;80)),"Ok")</f>
        <v>Ok</v>
      </c>
      <c r="S786">
        <v>65</v>
      </c>
      <c r="T786" t="str" cm="1">
        <f t="array" ref="T786">_xlfn.IFS(S786&gt;50, "High", S786&lt;=50, "Low")</f>
        <v>High</v>
      </c>
      <c r="U786">
        <v>42</v>
      </c>
      <c r="V786">
        <v>0</v>
      </c>
      <c r="W786">
        <v>35</v>
      </c>
      <c r="X786">
        <v>7</v>
      </c>
      <c r="Y786">
        <f t="shared" ca="1" si="12"/>
        <v>0.64055542826501055</v>
      </c>
    </row>
    <row r="787" spans="1:25" x14ac:dyDescent="0.3">
      <c r="A787" t="s">
        <v>525</v>
      </c>
      <c r="B787" t="s">
        <v>1408</v>
      </c>
      <c r="C787">
        <v>3</v>
      </c>
      <c r="D787" s="1">
        <v>44694</v>
      </c>
      <c r="E787">
        <v>2308</v>
      </c>
      <c r="F787">
        <v>0</v>
      </c>
      <c r="G787">
        <v>7</v>
      </c>
      <c r="H787">
        <v>0</v>
      </c>
      <c r="I787">
        <v>7</v>
      </c>
      <c r="J787">
        <v>0</v>
      </c>
      <c r="K787">
        <v>0</v>
      </c>
      <c r="L787">
        <v>76831876</v>
      </c>
      <c r="M787">
        <v>138</v>
      </c>
      <c r="N787" t="s">
        <v>302</v>
      </c>
      <c r="O787" t="s">
        <v>45</v>
      </c>
      <c r="P787">
        <v>57</v>
      </c>
      <c r="Q787">
        <v>71</v>
      </c>
      <c r="R787" t="str" cm="1">
        <f t="array" ref="R787">_xlfn.IFS(Q787&gt;70,"Good",Q787&lt;40,"Bad",(Q787&gt;OS825*(Q787&lt;80)),"Ok")</f>
        <v>Good</v>
      </c>
      <c r="S787">
        <v>82</v>
      </c>
      <c r="T787" t="str" cm="1">
        <f t="array" ref="T787">_xlfn.IFS(S787&gt;50, "High", S787&lt;=50, "Low")</f>
        <v>High</v>
      </c>
      <c r="U787">
        <v>19</v>
      </c>
      <c r="V787">
        <v>0</v>
      </c>
      <c r="W787">
        <v>15</v>
      </c>
      <c r="X787">
        <v>29</v>
      </c>
      <c r="Y787">
        <f t="shared" ca="1" si="12"/>
        <v>87.0911948356149</v>
      </c>
    </row>
    <row r="788" spans="1:25" x14ac:dyDescent="0.3">
      <c r="A788" t="s">
        <v>1409</v>
      </c>
      <c r="B788" t="s">
        <v>44</v>
      </c>
      <c r="C788">
        <v>1</v>
      </c>
      <c r="D788" s="1">
        <v>44687</v>
      </c>
      <c r="E788">
        <v>1004</v>
      </c>
      <c r="F788">
        <v>1</v>
      </c>
      <c r="G788">
        <v>8</v>
      </c>
      <c r="H788">
        <v>12</v>
      </c>
      <c r="I788">
        <v>9</v>
      </c>
      <c r="J788">
        <v>0</v>
      </c>
      <c r="K788">
        <v>0</v>
      </c>
      <c r="L788">
        <v>283332261</v>
      </c>
      <c r="M788">
        <v>188</v>
      </c>
      <c r="N788" t="s">
        <v>34</v>
      </c>
      <c r="O788" t="s">
        <v>45</v>
      </c>
      <c r="P788">
        <v>50</v>
      </c>
      <c r="Q788">
        <v>41</v>
      </c>
      <c r="R788" t="str" cm="1">
        <f t="array" ref="R788">_xlfn.IFS(Q788&gt;70,"Good",Q788&lt;40,"Bad",(Q788&gt;OS826*(Q788&lt;80)),"Ok")</f>
        <v>Ok</v>
      </c>
      <c r="S788">
        <v>50</v>
      </c>
      <c r="T788" t="str" cm="1">
        <f t="array" ref="T788">_xlfn.IFS(S788&gt;50, "High", S788&lt;=50, "Low")</f>
        <v>Low</v>
      </c>
      <c r="U788">
        <v>69</v>
      </c>
      <c r="V788">
        <v>0</v>
      </c>
      <c r="W788">
        <v>12</v>
      </c>
      <c r="X788">
        <v>6</v>
      </c>
      <c r="Y788">
        <f t="shared" ca="1" si="12"/>
        <v>70.431693514417304</v>
      </c>
    </row>
    <row r="789" spans="1:25" x14ac:dyDescent="0.3">
      <c r="A789" t="s">
        <v>1410</v>
      </c>
      <c r="B789" t="s">
        <v>1411</v>
      </c>
      <c r="C789">
        <v>2</v>
      </c>
      <c r="D789" s="1">
        <v>44606</v>
      </c>
      <c r="E789">
        <v>1367</v>
      </c>
      <c r="F789">
        <v>0</v>
      </c>
      <c r="G789">
        <v>48</v>
      </c>
      <c r="H789">
        <v>4</v>
      </c>
      <c r="I789">
        <v>34</v>
      </c>
      <c r="J789">
        <v>1</v>
      </c>
      <c r="K789">
        <v>0</v>
      </c>
      <c r="L789">
        <v>307752576</v>
      </c>
      <c r="M789">
        <v>110</v>
      </c>
      <c r="N789" t="s">
        <v>31</v>
      </c>
      <c r="O789" t="s">
        <v>28</v>
      </c>
      <c r="P789">
        <v>80</v>
      </c>
      <c r="Q789">
        <v>26</v>
      </c>
      <c r="R789" t="str" cm="1">
        <f t="array" ref="R789">_xlfn.IFS(Q789&gt;70,"Good",Q789&lt;40,"Bad",(Q789&gt;OS827*(Q789&lt;80)),"Ok")</f>
        <v>Bad</v>
      </c>
      <c r="S789">
        <v>85</v>
      </c>
      <c r="T789" t="str" cm="1">
        <f t="array" ref="T789">_xlfn.IFS(S789&gt;50, "High", S789&lt;=50, "Low")</f>
        <v>High</v>
      </c>
      <c r="U789">
        <v>23</v>
      </c>
      <c r="V789">
        <v>0</v>
      </c>
      <c r="W789">
        <v>11</v>
      </c>
      <c r="X789">
        <v>21</v>
      </c>
      <c r="Y789">
        <f t="shared" ca="1" si="12"/>
        <v>76.334130094098057</v>
      </c>
    </row>
    <row r="790" spans="1:25" x14ac:dyDescent="0.3">
      <c r="A790" t="s">
        <v>443</v>
      </c>
      <c r="B790" t="s">
        <v>44</v>
      </c>
      <c r="C790">
        <v>1</v>
      </c>
      <c r="D790" s="1">
        <v>44687</v>
      </c>
      <c r="E790">
        <v>1112</v>
      </c>
      <c r="F790">
        <v>3</v>
      </c>
      <c r="G790">
        <v>7</v>
      </c>
      <c r="H790">
        <v>25</v>
      </c>
      <c r="I790">
        <v>12</v>
      </c>
      <c r="J790">
        <v>0</v>
      </c>
      <c r="K790">
        <v>0</v>
      </c>
      <c r="L790">
        <v>279737940</v>
      </c>
      <c r="M790">
        <v>105</v>
      </c>
      <c r="N790" t="s">
        <v>81</v>
      </c>
      <c r="O790" t="s">
        <v>28</v>
      </c>
      <c r="P790">
        <v>81</v>
      </c>
      <c r="Q790">
        <v>77</v>
      </c>
      <c r="R790" t="str" cm="1">
        <f t="array" ref="R790">_xlfn.IFS(Q790&gt;70,"Good",Q790&lt;40,"Bad",(Q790&gt;OS828*(Q790&lt;80)),"Ok")</f>
        <v>Good</v>
      </c>
      <c r="S790">
        <v>79</v>
      </c>
      <c r="T790" t="str" cm="1">
        <f t="array" ref="T790">_xlfn.IFS(S790&gt;50, "High", S790&lt;=50, "Low")</f>
        <v>High</v>
      </c>
      <c r="U790">
        <v>19</v>
      </c>
      <c r="V790">
        <v>0</v>
      </c>
      <c r="W790">
        <v>47</v>
      </c>
      <c r="X790">
        <v>8</v>
      </c>
      <c r="Y790">
        <f t="shared" ca="1" si="12"/>
        <v>10.892601227311193</v>
      </c>
    </row>
    <row r="791" spans="1:25" x14ac:dyDescent="0.3">
      <c r="A791" t="s">
        <v>1412</v>
      </c>
      <c r="B791" t="s">
        <v>44</v>
      </c>
      <c r="C791">
        <v>1</v>
      </c>
      <c r="D791" s="1">
        <v>44687</v>
      </c>
      <c r="E791">
        <v>1209</v>
      </c>
      <c r="F791">
        <v>0</v>
      </c>
      <c r="G791">
        <v>9</v>
      </c>
      <c r="H791">
        <v>7</v>
      </c>
      <c r="I791">
        <v>14</v>
      </c>
      <c r="J791">
        <v>0</v>
      </c>
      <c r="K791">
        <v>1</v>
      </c>
      <c r="L791">
        <v>212351890</v>
      </c>
      <c r="M791">
        <v>118</v>
      </c>
      <c r="N791" t="s">
        <v>81</v>
      </c>
      <c r="O791" t="s">
        <v>28</v>
      </c>
      <c r="P791">
        <v>63</v>
      </c>
      <c r="Q791">
        <v>60</v>
      </c>
      <c r="R791" t="str" cm="1">
        <f t="array" ref="R791">_xlfn.IFS(Q791&gt;70,"Good",Q791&lt;40,"Bad",(Q791&gt;OS829*(Q791&lt;80)),"Ok")</f>
        <v>Ok</v>
      </c>
      <c r="S791">
        <v>70</v>
      </c>
      <c r="T791" t="str" cm="1">
        <f t="array" ref="T791">_xlfn.IFS(S791&gt;50, "High", S791&lt;=50, "Low")</f>
        <v>High</v>
      </c>
      <c r="U791">
        <v>5</v>
      </c>
      <c r="V791">
        <v>0</v>
      </c>
      <c r="W791">
        <v>9</v>
      </c>
      <c r="X791">
        <v>31</v>
      </c>
      <c r="Y791">
        <f t="shared" ca="1" si="12"/>
        <v>33.519495022132354</v>
      </c>
    </row>
    <row r="792" spans="1:25" x14ac:dyDescent="0.3">
      <c r="A792" t="s">
        <v>1413</v>
      </c>
      <c r="B792" t="s">
        <v>1414</v>
      </c>
      <c r="C792">
        <v>2</v>
      </c>
      <c r="D792" s="1">
        <v>43616</v>
      </c>
      <c r="E792">
        <v>9539</v>
      </c>
      <c r="F792">
        <v>15</v>
      </c>
      <c r="G792">
        <v>162</v>
      </c>
      <c r="H792">
        <v>116</v>
      </c>
      <c r="I792">
        <v>355</v>
      </c>
      <c r="J792">
        <v>7</v>
      </c>
      <c r="K792">
        <v>0</v>
      </c>
      <c r="L792">
        <v>1304313953</v>
      </c>
      <c r="M792">
        <v>176</v>
      </c>
      <c r="N792" t="s">
        <v>61</v>
      </c>
      <c r="O792" t="s">
        <v>28</v>
      </c>
      <c r="P792">
        <v>61</v>
      </c>
      <c r="Q792">
        <v>24</v>
      </c>
      <c r="R792" t="str" cm="1">
        <f t="array" ref="R792">_xlfn.IFS(Q792&gt;70,"Good",Q792&lt;40,"Bad",(Q792&gt;OS830*(Q792&lt;80)),"Ok")</f>
        <v>Bad</v>
      </c>
      <c r="S792">
        <v>62</v>
      </c>
      <c r="T792" t="str" cm="1">
        <f t="array" ref="T792">_xlfn.IFS(S792&gt;50, "High", S792&lt;=50, "Low")</f>
        <v>High</v>
      </c>
      <c r="U792">
        <v>60</v>
      </c>
      <c r="V792">
        <v>0</v>
      </c>
      <c r="W792">
        <v>24</v>
      </c>
      <c r="X792">
        <v>31</v>
      </c>
      <c r="Y792">
        <f t="shared" ca="1" si="12"/>
        <v>19.806084349910169</v>
      </c>
    </row>
    <row r="793" spans="1:25" x14ac:dyDescent="0.3">
      <c r="A793" t="s">
        <v>122</v>
      </c>
      <c r="B793" t="s">
        <v>1306</v>
      </c>
      <c r="C793">
        <v>1</v>
      </c>
      <c r="D793" s="1">
        <v>44687</v>
      </c>
      <c r="E793">
        <v>1992</v>
      </c>
      <c r="F793">
        <v>0</v>
      </c>
      <c r="G793">
        <v>35</v>
      </c>
      <c r="H793">
        <v>0</v>
      </c>
      <c r="I793">
        <v>3</v>
      </c>
      <c r="J793">
        <v>0</v>
      </c>
      <c r="K793">
        <v>0</v>
      </c>
      <c r="L793">
        <v>150500965</v>
      </c>
      <c r="M793">
        <v>158</v>
      </c>
      <c r="N793" t="s">
        <v>27</v>
      </c>
      <c r="O793" t="s">
        <v>28</v>
      </c>
      <c r="P793">
        <v>83</v>
      </c>
      <c r="Q793">
        <v>41</v>
      </c>
      <c r="R793" t="str" cm="1">
        <f t="array" ref="R793">_xlfn.IFS(Q793&gt;70,"Good",Q793&lt;40,"Bad",(Q793&gt;OS831*(Q793&lt;80)),"Ok")</f>
        <v>Ok</v>
      </c>
      <c r="S793">
        <v>65</v>
      </c>
      <c r="T793" t="str" cm="1">
        <f t="array" ref="T793">_xlfn.IFS(S793&gt;50, "High", S793&lt;=50, "Low")</f>
        <v>High</v>
      </c>
      <c r="U793">
        <v>0</v>
      </c>
      <c r="V793">
        <v>10</v>
      </c>
      <c r="W793">
        <v>11</v>
      </c>
      <c r="X793">
        <v>8</v>
      </c>
      <c r="Y793">
        <f t="shared" ca="1" si="12"/>
        <v>16.695737468921756</v>
      </c>
    </row>
    <row r="794" spans="1:25" x14ac:dyDescent="0.3">
      <c r="A794" t="s">
        <v>466</v>
      </c>
      <c r="B794" t="s">
        <v>44</v>
      </c>
      <c r="C794">
        <v>1</v>
      </c>
      <c r="D794" s="1">
        <v>44687</v>
      </c>
      <c r="E794">
        <v>897</v>
      </c>
      <c r="F794">
        <v>0</v>
      </c>
      <c r="G794">
        <v>6</v>
      </c>
      <c r="H794">
        <v>20</v>
      </c>
      <c r="I794">
        <v>8</v>
      </c>
      <c r="J794">
        <v>0</v>
      </c>
      <c r="K794">
        <v>0</v>
      </c>
      <c r="L794">
        <v>246127838</v>
      </c>
      <c r="M794">
        <v>115</v>
      </c>
      <c r="N794" t="s">
        <v>31</v>
      </c>
      <c r="O794" t="s">
        <v>45</v>
      </c>
      <c r="P794">
        <v>85</v>
      </c>
      <c r="Q794">
        <v>72</v>
      </c>
      <c r="R794" t="str" cm="1">
        <f t="array" ref="R794">_xlfn.IFS(Q794&gt;70,"Good",Q794&lt;40,"Bad",(Q794&gt;OS832*(Q794&lt;80)),"Ok")</f>
        <v>Good</v>
      </c>
      <c r="S794">
        <v>58</v>
      </c>
      <c r="T794" t="str" cm="1">
        <f t="array" ref="T794">_xlfn.IFS(S794&gt;50, "High", S794&lt;=50, "Low")</f>
        <v>High</v>
      </c>
      <c r="U794">
        <v>9</v>
      </c>
      <c r="V794">
        <v>0</v>
      </c>
      <c r="W794">
        <v>49</v>
      </c>
      <c r="X794">
        <v>12</v>
      </c>
      <c r="Y794">
        <f t="shared" ca="1" si="12"/>
        <v>51.134510971680278</v>
      </c>
    </row>
    <row r="795" spans="1:25" x14ac:dyDescent="0.3">
      <c r="A795" t="s">
        <v>1415</v>
      </c>
      <c r="B795" t="s">
        <v>1416</v>
      </c>
      <c r="C795">
        <v>1</v>
      </c>
      <c r="D795" s="1">
        <v>42384</v>
      </c>
      <c r="E795">
        <v>2948</v>
      </c>
      <c r="F795">
        <v>0</v>
      </c>
      <c r="G795">
        <v>10</v>
      </c>
      <c r="H795">
        <v>2</v>
      </c>
      <c r="I795">
        <v>150</v>
      </c>
      <c r="J795">
        <v>0</v>
      </c>
      <c r="K795">
        <v>0</v>
      </c>
      <c r="L795">
        <v>582863434</v>
      </c>
      <c r="M795">
        <v>110</v>
      </c>
      <c r="N795" t="s">
        <v>27</v>
      </c>
      <c r="O795" t="s">
        <v>45</v>
      </c>
      <c r="P795">
        <v>51</v>
      </c>
      <c r="Q795">
        <v>48</v>
      </c>
      <c r="R795" t="str" cm="1">
        <f t="array" ref="R795">_xlfn.IFS(Q795&gt;70,"Good",Q795&lt;40,"Bad",(Q795&gt;OS833*(Q795&lt;80)),"Ok")</f>
        <v>Ok</v>
      </c>
      <c r="S795">
        <v>82</v>
      </c>
      <c r="T795" t="str" cm="1">
        <f t="array" ref="T795">_xlfn.IFS(S795&gt;50, "High", S795&lt;=50, "Low")</f>
        <v>High</v>
      </c>
      <c r="U795">
        <v>0</v>
      </c>
      <c r="V795">
        <v>0</v>
      </c>
      <c r="W795">
        <v>5</v>
      </c>
      <c r="X795">
        <v>3</v>
      </c>
      <c r="Y795">
        <f t="shared" ca="1" si="12"/>
        <v>31.514527099278933</v>
      </c>
    </row>
    <row r="796" spans="1:25" x14ac:dyDescent="0.3">
      <c r="A796" t="s">
        <v>1417</v>
      </c>
      <c r="B796" t="s">
        <v>1418</v>
      </c>
      <c r="C796">
        <v>2</v>
      </c>
      <c r="D796" s="1">
        <v>44694</v>
      </c>
      <c r="E796">
        <v>1860</v>
      </c>
      <c r="F796">
        <v>0</v>
      </c>
      <c r="G796">
        <v>1</v>
      </c>
      <c r="H796">
        <v>0</v>
      </c>
      <c r="I796">
        <v>3</v>
      </c>
      <c r="J796">
        <v>0</v>
      </c>
      <c r="K796">
        <v>0</v>
      </c>
      <c r="L796">
        <v>58687425</v>
      </c>
      <c r="M796">
        <v>174</v>
      </c>
      <c r="N796" t="s">
        <v>37</v>
      </c>
      <c r="O796" t="s">
        <v>28</v>
      </c>
      <c r="P796">
        <v>73</v>
      </c>
      <c r="Q796">
        <v>26</v>
      </c>
      <c r="R796" t="str" cm="1">
        <f t="array" ref="R796">_xlfn.IFS(Q796&gt;70,"Good",Q796&lt;40,"Bad",(Q796&gt;OS834*(Q796&lt;80)),"Ok")</f>
        <v>Bad</v>
      </c>
      <c r="S796">
        <v>54</v>
      </c>
      <c r="T796" t="str" cm="1">
        <f t="array" ref="T796">_xlfn.IFS(S796&gt;50, "High", S796&lt;=50, "Low")</f>
        <v>High</v>
      </c>
      <c r="U796">
        <v>30</v>
      </c>
      <c r="V796">
        <v>0</v>
      </c>
      <c r="W796">
        <v>34</v>
      </c>
      <c r="X796">
        <v>32</v>
      </c>
      <c r="Y796">
        <f t="shared" ca="1" si="12"/>
        <v>42.814092988733307</v>
      </c>
    </row>
    <row r="797" spans="1:25" x14ac:dyDescent="0.3">
      <c r="A797" t="s">
        <v>551</v>
      </c>
      <c r="B797" t="s">
        <v>1419</v>
      </c>
      <c r="C797">
        <v>2</v>
      </c>
      <c r="D797" s="1">
        <v>44680</v>
      </c>
      <c r="E797">
        <v>802</v>
      </c>
      <c r="F797">
        <v>0</v>
      </c>
      <c r="G797">
        <v>16</v>
      </c>
      <c r="H797">
        <v>81</v>
      </c>
      <c r="I797">
        <v>23</v>
      </c>
      <c r="J797">
        <v>0</v>
      </c>
      <c r="K797">
        <v>0</v>
      </c>
      <c r="L797">
        <v>212109195</v>
      </c>
      <c r="M797">
        <v>130</v>
      </c>
      <c r="N797" t="s">
        <v>134</v>
      </c>
      <c r="O797" t="s">
        <v>28</v>
      </c>
      <c r="P797">
        <v>91</v>
      </c>
      <c r="Q797">
        <v>91</v>
      </c>
      <c r="R797" t="str" cm="1">
        <f t="array" ref="R797">_xlfn.IFS(Q797&gt;70,"Good",Q797&lt;40,"Bad",(Q797&gt;OS835*(Q797&lt;80)),"Ok")</f>
        <v>Good</v>
      </c>
      <c r="S797">
        <v>96</v>
      </c>
      <c r="T797" t="str" cm="1">
        <f t="array" ref="T797">_xlfn.IFS(S797&gt;50, "High", S797&lt;=50, "Low")</f>
        <v>High</v>
      </c>
      <c r="U797">
        <v>3</v>
      </c>
      <c r="V797">
        <v>0</v>
      </c>
      <c r="W797">
        <v>3</v>
      </c>
      <c r="X797">
        <v>9</v>
      </c>
      <c r="Y797">
        <f t="shared" ca="1" si="12"/>
        <v>88.746131541312735</v>
      </c>
    </row>
    <row r="798" spans="1:25" x14ac:dyDescent="0.3">
      <c r="A798" t="s">
        <v>1420</v>
      </c>
      <c r="B798" t="s">
        <v>1421</v>
      </c>
      <c r="C798">
        <v>1</v>
      </c>
      <c r="D798" s="1">
        <v>44680</v>
      </c>
      <c r="E798">
        <v>2224</v>
      </c>
      <c r="F798">
        <v>8</v>
      </c>
      <c r="G798">
        <v>48</v>
      </c>
      <c r="H798">
        <v>40</v>
      </c>
      <c r="I798">
        <v>87</v>
      </c>
      <c r="J798">
        <v>1</v>
      </c>
      <c r="K798">
        <v>210</v>
      </c>
      <c r="L798">
        <v>382199619</v>
      </c>
      <c r="M798">
        <v>78</v>
      </c>
      <c r="N798" t="s">
        <v>181</v>
      </c>
      <c r="O798" t="s">
        <v>28</v>
      </c>
      <c r="P798">
        <v>36</v>
      </c>
      <c r="Q798">
        <v>30</v>
      </c>
      <c r="R798" t="str" cm="1">
        <f t="array" ref="R798">_xlfn.IFS(Q798&gt;70,"Good",Q798&lt;40,"Bad",(Q798&gt;OS836*(Q798&lt;80)),"Ok")</f>
        <v>Bad</v>
      </c>
      <c r="S798">
        <v>54</v>
      </c>
      <c r="T798" t="str" cm="1">
        <f t="array" ref="T798">_xlfn.IFS(S798&gt;50, "High", S798&lt;=50, "Low")</f>
        <v>High</v>
      </c>
      <c r="U798">
        <v>34</v>
      </c>
      <c r="V798">
        <v>0</v>
      </c>
      <c r="W798">
        <v>14</v>
      </c>
      <c r="X798">
        <v>5</v>
      </c>
      <c r="Y798">
        <f t="shared" ca="1" si="12"/>
        <v>83.560285145404904</v>
      </c>
    </row>
    <row r="799" spans="1:25" x14ac:dyDescent="0.3">
      <c r="A799" t="s">
        <v>1422</v>
      </c>
      <c r="B799" t="s">
        <v>1253</v>
      </c>
      <c r="C799">
        <v>1</v>
      </c>
      <c r="D799" s="1">
        <v>44694</v>
      </c>
      <c r="E799">
        <v>1103</v>
      </c>
      <c r="F799">
        <v>0</v>
      </c>
      <c r="G799">
        <v>0</v>
      </c>
      <c r="H799">
        <v>0</v>
      </c>
      <c r="I799">
        <v>0</v>
      </c>
      <c r="J799">
        <v>0</v>
      </c>
      <c r="K799">
        <v>0</v>
      </c>
      <c r="L799">
        <v>41210087</v>
      </c>
      <c r="M799">
        <v>104</v>
      </c>
      <c r="N799" t="s">
        <v>94</v>
      </c>
      <c r="O799" t="s">
        <v>28</v>
      </c>
      <c r="P799">
        <v>44</v>
      </c>
      <c r="Q799">
        <v>74</v>
      </c>
      <c r="R799" t="str" cm="1">
        <f t="array" ref="R799">_xlfn.IFS(Q799&gt;70,"Good",Q799&lt;40,"Bad",(Q799&gt;OS837*(Q799&lt;80)),"Ok")</f>
        <v>Good</v>
      </c>
      <c r="S799">
        <v>42</v>
      </c>
      <c r="T799" t="str" cm="1">
        <f t="array" ref="T799">_xlfn.IFS(S799&gt;50, "High", S799&lt;=50, "Low")</f>
        <v>Low</v>
      </c>
      <c r="U799">
        <v>88</v>
      </c>
      <c r="V799">
        <v>0</v>
      </c>
      <c r="W799">
        <v>9</v>
      </c>
      <c r="X799">
        <v>9</v>
      </c>
      <c r="Y799">
        <f t="shared" ca="1" si="12"/>
        <v>56.642236435317109</v>
      </c>
    </row>
    <row r="800" spans="1:25" x14ac:dyDescent="0.3">
      <c r="A800" t="s">
        <v>502</v>
      </c>
      <c r="B800" t="s">
        <v>1033</v>
      </c>
      <c r="C800">
        <v>1</v>
      </c>
      <c r="D800" s="1">
        <v>44694</v>
      </c>
      <c r="E800">
        <v>2265</v>
      </c>
      <c r="F800">
        <v>0</v>
      </c>
      <c r="G800">
        <v>93</v>
      </c>
      <c r="H800">
        <v>12</v>
      </c>
      <c r="I800">
        <v>173</v>
      </c>
      <c r="J800">
        <v>11</v>
      </c>
      <c r="K800">
        <v>3</v>
      </c>
      <c r="L800">
        <v>231657891</v>
      </c>
      <c r="M800">
        <v>121</v>
      </c>
      <c r="N800" t="s">
        <v>94</v>
      </c>
      <c r="O800" t="s">
        <v>28</v>
      </c>
      <c r="P800">
        <v>64</v>
      </c>
      <c r="Q800">
        <v>80</v>
      </c>
      <c r="R800" t="str" cm="1">
        <f t="array" ref="R800">_xlfn.IFS(Q800&gt;70,"Good",Q800&lt;40,"Bad",(Q800&gt;OS838*(Q800&lt;80)),"Ok")</f>
        <v>Good</v>
      </c>
      <c r="S800">
        <v>88</v>
      </c>
      <c r="T800" t="str" cm="1">
        <f t="array" ref="T800">_xlfn.IFS(S800&gt;50, "High", S800&lt;=50, "Low")</f>
        <v>High</v>
      </c>
      <c r="U800">
        <v>0</v>
      </c>
      <c r="V800">
        <v>0</v>
      </c>
      <c r="W800">
        <v>12</v>
      </c>
      <c r="X800">
        <v>6</v>
      </c>
      <c r="Y800">
        <f t="shared" ca="1" si="12"/>
        <v>37.588229188001179</v>
      </c>
    </row>
    <row r="801" spans="1:25" x14ac:dyDescent="0.3">
      <c r="A801" t="s">
        <v>1423</v>
      </c>
      <c r="B801" t="s">
        <v>1424</v>
      </c>
      <c r="C801">
        <v>1</v>
      </c>
      <c r="D801" s="1">
        <v>44630</v>
      </c>
      <c r="E801">
        <v>555</v>
      </c>
      <c r="F801">
        <v>0</v>
      </c>
      <c r="G801">
        <v>10</v>
      </c>
      <c r="H801">
        <v>4</v>
      </c>
      <c r="I801">
        <v>4</v>
      </c>
      <c r="J801">
        <v>0</v>
      </c>
      <c r="K801">
        <v>0</v>
      </c>
      <c r="L801">
        <v>53729194</v>
      </c>
      <c r="M801">
        <v>105</v>
      </c>
      <c r="N801" t="s">
        <v>61</v>
      </c>
      <c r="O801" t="s">
        <v>28</v>
      </c>
      <c r="P801">
        <v>83</v>
      </c>
      <c r="Q801">
        <v>32</v>
      </c>
      <c r="R801" t="str" cm="1">
        <f t="array" ref="R801">_xlfn.IFS(Q801&gt;70,"Good",Q801&lt;40,"Bad",(Q801&gt;OS839*(Q801&lt;80)),"Ok")</f>
        <v>Bad</v>
      </c>
      <c r="S801">
        <v>82</v>
      </c>
      <c r="T801" t="str" cm="1">
        <f t="array" ref="T801">_xlfn.IFS(S801&gt;50, "High", S801&lt;=50, "Low")</f>
        <v>High</v>
      </c>
      <c r="U801">
        <v>14</v>
      </c>
      <c r="V801">
        <v>0</v>
      </c>
      <c r="W801">
        <v>12</v>
      </c>
      <c r="X801">
        <v>4</v>
      </c>
      <c r="Y801">
        <f t="shared" ca="1" si="12"/>
        <v>95.880109599000434</v>
      </c>
    </row>
    <row r="802" spans="1:25" x14ac:dyDescent="0.3">
      <c r="A802" t="s">
        <v>1425</v>
      </c>
      <c r="B802" t="s">
        <v>811</v>
      </c>
      <c r="C802">
        <v>1</v>
      </c>
      <c r="D802" s="1">
        <v>44673</v>
      </c>
      <c r="E802">
        <v>2050</v>
      </c>
      <c r="F802">
        <v>0</v>
      </c>
      <c r="G802">
        <v>52</v>
      </c>
      <c r="H802">
        <v>9</v>
      </c>
      <c r="I802">
        <v>46</v>
      </c>
      <c r="J802">
        <v>0</v>
      </c>
      <c r="K802">
        <v>1</v>
      </c>
      <c r="L802">
        <v>244741137</v>
      </c>
      <c r="M802">
        <v>81</v>
      </c>
      <c r="N802" t="s">
        <v>94</v>
      </c>
      <c r="O802" t="s">
        <v>28</v>
      </c>
      <c r="P802">
        <v>38</v>
      </c>
      <c r="Q802">
        <v>20</v>
      </c>
      <c r="R802" t="str" cm="1">
        <f t="array" ref="R802">_xlfn.IFS(Q802&gt;70,"Good",Q802&lt;40,"Bad",(Q802&gt;OS840*(Q802&lt;80)),"Ok")</f>
        <v>Bad</v>
      </c>
      <c r="S802">
        <v>66</v>
      </c>
      <c r="T802" t="str" cm="1">
        <f t="array" ref="T802">_xlfn.IFS(S802&gt;50, "High", S802&lt;=50, "Low")</f>
        <v>High</v>
      </c>
      <c r="U802">
        <v>9</v>
      </c>
      <c r="V802">
        <v>0</v>
      </c>
      <c r="W802">
        <v>9</v>
      </c>
      <c r="X802">
        <v>8</v>
      </c>
      <c r="Y802">
        <f t="shared" ca="1" si="12"/>
        <v>47.722558134189576</v>
      </c>
    </row>
    <row r="803" spans="1:25" x14ac:dyDescent="0.3">
      <c r="A803" t="s">
        <v>1426</v>
      </c>
      <c r="B803" t="s">
        <v>1253</v>
      </c>
      <c r="C803">
        <v>1</v>
      </c>
      <c r="D803" s="1">
        <v>44694</v>
      </c>
      <c r="E803">
        <v>1493</v>
      </c>
      <c r="F803">
        <v>0</v>
      </c>
      <c r="G803">
        <v>2</v>
      </c>
      <c r="H803">
        <v>0</v>
      </c>
      <c r="I803">
        <v>10</v>
      </c>
      <c r="J803">
        <v>0</v>
      </c>
      <c r="K803">
        <v>0</v>
      </c>
      <c r="L803">
        <v>42485571</v>
      </c>
      <c r="M803">
        <v>170</v>
      </c>
      <c r="N803" t="s">
        <v>31</v>
      </c>
      <c r="O803" t="s">
        <v>45</v>
      </c>
      <c r="P803">
        <v>37</v>
      </c>
      <c r="Q803">
        <v>14</v>
      </c>
      <c r="R803" t="str" cm="1">
        <f t="array" ref="R803">_xlfn.IFS(Q803&gt;70,"Good",Q803&lt;40,"Bad",(Q803&gt;OS841*(Q803&lt;80)),"Ok")</f>
        <v>Bad</v>
      </c>
      <c r="S803">
        <v>24</v>
      </c>
      <c r="T803" t="str" cm="1">
        <f t="array" ref="T803">_xlfn.IFS(S803&gt;50, "High", S803&lt;=50, "Low")</f>
        <v>Low</v>
      </c>
      <c r="U803">
        <v>80</v>
      </c>
      <c r="V803">
        <v>0</v>
      </c>
      <c r="W803">
        <v>11</v>
      </c>
      <c r="X803">
        <v>4</v>
      </c>
      <c r="Y803">
        <f t="shared" ca="1" si="12"/>
        <v>10.142193164256419</v>
      </c>
    </row>
    <row r="804" spans="1:25" x14ac:dyDescent="0.3">
      <c r="A804" t="s">
        <v>1427</v>
      </c>
      <c r="B804" t="s">
        <v>1253</v>
      </c>
      <c r="C804">
        <v>1</v>
      </c>
      <c r="D804" s="1">
        <v>44694</v>
      </c>
      <c r="E804">
        <v>1545</v>
      </c>
      <c r="F804">
        <v>0</v>
      </c>
      <c r="G804">
        <v>1</v>
      </c>
      <c r="H804">
        <v>0</v>
      </c>
      <c r="I804">
        <v>4</v>
      </c>
      <c r="J804">
        <v>0</v>
      </c>
      <c r="K804">
        <v>0</v>
      </c>
      <c r="L804">
        <v>37778188</v>
      </c>
      <c r="M804">
        <v>78</v>
      </c>
      <c r="N804" t="s">
        <v>94</v>
      </c>
      <c r="O804" t="s">
        <v>28</v>
      </c>
      <c r="P804">
        <v>43</v>
      </c>
      <c r="Q804">
        <v>60</v>
      </c>
      <c r="R804" t="str" cm="1">
        <f t="array" ref="R804">_xlfn.IFS(Q804&gt;70,"Good",Q804&lt;40,"Bad",(Q804&gt;OS842*(Q804&lt;80)),"Ok")</f>
        <v>Ok</v>
      </c>
      <c r="S804">
        <v>38</v>
      </c>
      <c r="T804" t="str" cm="1">
        <f t="array" ref="T804">_xlfn.IFS(S804&gt;50, "High", S804&lt;=50, "Low")</f>
        <v>Low</v>
      </c>
      <c r="U804">
        <v>76</v>
      </c>
      <c r="V804">
        <v>1</v>
      </c>
      <c r="W804">
        <v>48</v>
      </c>
      <c r="X804">
        <v>38</v>
      </c>
      <c r="Y804">
        <f t="shared" ca="1" si="12"/>
        <v>39.318010472855903</v>
      </c>
    </row>
    <row r="805" spans="1:25" x14ac:dyDescent="0.3">
      <c r="A805" t="s">
        <v>1428</v>
      </c>
      <c r="B805" t="s">
        <v>1266</v>
      </c>
      <c r="C805">
        <v>1</v>
      </c>
      <c r="D805" s="1">
        <v>44680</v>
      </c>
      <c r="E805">
        <v>2350</v>
      </c>
      <c r="F805">
        <v>0</v>
      </c>
      <c r="G805">
        <v>28</v>
      </c>
      <c r="H805">
        <v>42</v>
      </c>
      <c r="I805">
        <v>23</v>
      </c>
      <c r="J805">
        <v>0</v>
      </c>
      <c r="K805">
        <v>0</v>
      </c>
      <c r="L805">
        <v>254218729</v>
      </c>
      <c r="M805">
        <v>125</v>
      </c>
      <c r="N805" t="s">
        <v>81</v>
      </c>
      <c r="O805" t="s">
        <v>28</v>
      </c>
      <c r="P805">
        <v>88</v>
      </c>
      <c r="Q805">
        <v>28</v>
      </c>
      <c r="R805" t="str" cm="1">
        <f t="array" ref="R805">_xlfn.IFS(Q805&gt;70,"Good",Q805&lt;40,"Bad",(Q805&gt;OS843*(Q805&lt;80)),"Ok")</f>
        <v>Bad</v>
      </c>
      <c r="S805">
        <v>66</v>
      </c>
      <c r="T805" t="str" cm="1">
        <f t="array" ref="T805">_xlfn.IFS(S805&gt;50, "High", S805&lt;=50, "Low")</f>
        <v>High</v>
      </c>
      <c r="U805">
        <v>6</v>
      </c>
      <c r="V805">
        <v>0</v>
      </c>
      <c r="W805">
        <v>13</v>
      </c>
      <c r="X805">
        <v>31</v>
      </c>
      <c r="Y805">
        <f t="shared" ca="1" si="12"/>
        <v>23.979888528258609</v>
      </c>
    </row>
    <row r="806" spans="1:25" x14ac:dyDescent="0.3">
      <c r="A806" t="s">
        <v>1429</v>
      </c>
      <c r="B806" t="s">
        <v>1253</v>
      </c>
      <c r="C806">
        <v>1</v>
      </c>
      <c r="D806" s="1">
        <v>44694</v>
      </c>
      <c r="E806">
        <v>1929</v>
      </c>
      <c r="F806">
        <v>0</v>
      </c>
      <c r="G806">
        <v>2</v>
      </c>
      <c r="H806">
        <v>0</v>
      </c>
      <c r="I806">
        <v>4</v>
      </c>
      <c r="J806">
        <v>0</v>
      </c>
      <c r="K806">
        <v>0</v>
      </c>
      <c r="L806">
        <v>53603447</v>
      </c>
      <c r="M806">
        <v>92</v>
      </c>
      <c r="N806" t="s">
        <v>134</v>
      </c>
      <c r="O806" t="s">
        <v>45</v>
      </c>
      <c r="P806">
        <v>66</v>
      </c>
      <c r="Q806">
        <v>29</v>
      </c>
      <c r="R806" t="str" cm="1">
        <f t="array" ref="R806">_xlfn.IFS(Q806&gt;70,"Good",Q806&lt;40,"Bad",(Q806&gt;OS844*(Q806&lt;80)),"Ok")</f>
        <v>Bad</v>
      </c>
      <c r="S806">
        <v>65</v>
      </c>
      <c r="T806" t="str" cm="1">
        <f t="array" ref="T806">_xlfn.IFS(S806&gt;50, "High", S806&lt;=50, "Low")</f>
        <v>High</v>
      </c>
      <c r="U806">
        <v>23</v>
      </c>
      <c r="V806">
        <v>0</v>
      </c>
      <c r="W806">
        <v>8</v>
      </c>
      <c r="X806">
        <v>7</v>
      </c>
      <c r="Y806">
        <f t="shared" ca="1" si="12"/>
        <v>64.680267361150968</v>
      </c>
    </row>
    <row r="807" spans="1:25" x14ac:dyDescent="0.3">
      <c r="A807" t="s">
        <v>1430</v>
      </c>
      <c r="B807" t="s">
        <v>1431</v>
      </c>
      <c r="C807">
        <v>1</v>
      </c>
      <c r="D807" s="1">
        <v>44673</v>
      </c>
      <c r="E807">
        <v>710</v>
      </c>
      <c r="F807">
        <v>4</v>
      </c>
      <c r="G807">
        <v>16</v>
      </c>
      <c r="H807">
        <v>11</v>
      </c>
      <c r="I807">
        <v>18</v>
      </c>
      <c r="J807">
        <v>0</v>
      </c>
      <c r="K807">
        <v>0</v>
      </c>
      <c r="L807">
        <v>160035717</v>
      </c>
      <c r="M807">
        <v>140</v>
      </c>
      <c r="N807" t="s">
        <v>27</v>
      </c>
      <c r="O807" t="s">
        <v>45</v>
      </c>
      <c r="P807">
        <v>84</v>
      </c>
      <c r="Q807">
        <v>61</v>
      </c>
      <c r="R807" t="str" cm="1">
        <f t="array" ref="R807">_xlfn.IFS(Q807&gt;70,"Good",Q807&lt;40,"Bad",(Q807&gt;OS845*(Q807&lt;80)),"Ok")</f>
        <v>Ok</v>
      </c>
      <c r="S807">
        <v>42</v>
      </c>
      <c r="T807" t="str" cm="1">
        <f t="array" ref="T807">_xlfn.IFS(S807&gt;50, "High", S807&lt;=50, "Low")</f>
        <v>Low</v>
      </c>
      <c r="U807">
        <v>31</v>
      </c>
      <c r="V807">
        <v>0</v>
      </c>
      <c r="W807">
        <v>9</v>
      </c>
      <c r="X807">
        <v>9</v>
      </c>
      <c r="Y807">
        <f t="shared" ca="1" si="12"/>
        <v>91.711425864785838</v>
      </c>
    </row>
    <row r="808" spans="1:25" x14ac:dyDescent="0.3">
      <c r="A808" t="s">
        <v>1432</v>
      </c>
      <c r="B808" t="s">
        <v>1433</v>
      </c>
      <c r="C808">
        <v>2</v>
      </c>
      <c r="D808" s="1">
        <v>44676</v>
      </c>
      <c r="E808">
        <v>928</v>
      </c>
      <c r="F808">
        <v>0</v>
      </c>
      <c r="G808">
        <v>19</v>
      </c>
      <c r="H808">
        <v>0</v>
      </c>
      <c r="I808">
        <v>7</v>
      </c>
      <c r="J808">
        <v>0</v>
      </c>
      <c r="K808">
        <v>0</v>
      </c>
      <c r="L808">
        <v>164163229</v>
      </c>
      <c r="M808">
        <v>96</v>
      </c>
      <c r="O808" t="s">
        <v>28</v>
      </c>
      <c r="P808">
        <v>61</v>
      </c>
      <c r="Q808">
        <v>32</v>
      </c>
      <c r="R808" t="str" cm="1">
        <f t="array" ref="R808">_xlfn.IFS(Q808&gt;70,"Good",Q808&lt;40,"Bad",(Q808&gt;OS846*(Q808&lt;80)),"Ok")</f>
        <v>Bad</v>
      </c>
      <c r="S808">
        <v>90</v>
      </c>
      <c r="T808" t="str" cm="1">
        <f t="array" ref="T808">_xlfn.IFS(S808&gt;50, "High", S808&lt;=50, "Low")</f>
        <v>High</v>
      </c>
      <c r="U808">
        <v>25</v>
      </c>
      <c r="V808">
        <v>0</v>
      </c>
      <c r="W808">
        <v>10</v>
      </c>
      <c r="X808">
        <v>9</v>
      </c>
      <c r="Y808">
        <f t="shared" ca="1" si="12"/>
        <v>89.119849740030602</v>
      </c>
    </row>
    <row r="809" spans="1:25" x14ac:dyDescent="0.3">
      <c r="A809" t="s">
        <v>1434</v>
      </c>
      <c r="B809" t="s">
        <v>1253</v>
      </c>
      <c r="C809">
        <v>1</v>
      </c>
      <c r="D809" s="1">
        <v>44694</v>
      </c>
      <c r="E809">
        <v>1194</v>
      </c>
      <c r="F809">
        <v>0</v>
      </c>
      <c r="G809">
        <v>0</v>
      </c>
      <c r="H809">
        <v>0</v>
      </c>
      <c r="I809">
        <v>3</v>
      </c>
      <c r="J809">
        <v>0</v>
      </c>
      <c r="K809">
        <v>0</v>
      </c>
      <c r="L809">
        <v>37091576</v>
      </c>
      <c r="M809">
        <v>118</v>
      </c>
      <c r="N809" t="s">
        <v>34</v>
      </c>
      <c r="O809" t="s">
        <v>45</v>
      </c>
      <c r="P809">
        <v>66</v>
      </c>
      <c r="Q809">
        <v>83</v>
      </c>
      <c r="R809" t="str" cm="1">
        <f t="array" ref="R809">_xlfn.IFS(Q809&gt;70,"Good",Q809&lt;40,"Bad",(Q809&gt;OS847*(Q809&lt;80)),"Ok")</f>
        <v>Good</v>
      </c>
      <c r="S809">
        <v>43</v>
      </c>
      <c r="T809" t="str" cm="1">
        <f t="array" ref="T809">_xlfn.IFS(S809&gt;50, "High", S809&lt;=50, "Low")</f>
        <v>Low</v>
      </c>
      <c r="U809">
        <v>84</v>
      </c>
      <c r="V809">
        <v>0</v>
      </c>
      <c r="W809">
        <v>19</v>
      </c>
      <c r="X809">
        <v>19</v>
      </c>
      <c r="Y809">
        <f t="shared" ca="1" si="12"/>
        <v>19.647359769348004</v>
      </c>
    </row>
    <row r="810" spans="1:25" x14ac:dyDescent="0.3">
      <c r="A810" t="s">
        <v>1435</v>
      </c>
      <c r="B810" t="s">
        <v>1436</v>
      </c>
      <c r="C810">
        <v>2</v>
      </c>
      <c r="D810" s="1">
        <v>44598</v>
      </c>
      <c r="E810">
        <v>349</v>
      </c>
      <c r="F810">
        <v>6</v>
      </c>
      <c r="G810">
        <v>10</v>
      </c>
      <c r="H810">
        <v>22</v>
      </c>
      <c r="I810">
        <v>3</v>
      </c>
      <c r="J810">
        <v>0</v>
      </c>
      <c r="K810">
        <v>0</v>
      </c>
      <c r="L810">
        <v>284249832</v>
      </c>
      <c r="M810">
        <v>92</v>
      </c>
      <c r="N810" t="s">
        <v>27</v>
      </c>
      <c r="O810" t="s">
        <v>45</v>
      </c>
      <c r="P810">
        <v>71</v>
      </c>
      <c r="Q810">
        <v>67</v>
      </c>
      <c r="R810" t="str" cm="1">
        <f t="array" ref="R810">_xlfn.IFS(Q810&gt;70,"Good",Q810&lt;40,"Bad",(Q810&gt;OS848*(Q810&lt;80)),"Ok")</f>
        <v>Ok</v>
      </c>
      <c r="S810">
        <v>60</v>
      </c>
      <c r="T810" t="str" cm="1">
        <f t="array" ref="T810">_xlfn.IFS(S810&gt;50, "High", S810&lt;=50, "Low")</f>
        <v>High</v>
      </c>
      <c r="U810">
        <v>7</v>
      </c>
      <c r="V810">
        <v>0</v>
      </c>
      <c r="W810">
        <v>6</v>
      </c>
      <c r="X810">
        <v>4</v>
      </c>
      <c r="Y810">
        <f t="shared" ca="1" si="12"/>
        <v>67.505187092227473</v>
      </c>
    </row>
    <row r="811" spans="1:25" x14ac:dyDescent="0.3">
      <c r="A811" t="s">
        <v>1437</v>
      </c>
      <c r="B811" t="s">
        <v>1438</v>
      </c>
      <c r="C811">
        <v>2</v>
      </c>
      <c r="D811" s="1">
        <v>44694</v>
      </c>
      <c r="E811">
        <v>1890</v>
      </c>
      <c r="F811">
        <v>0</v>
      </c>
      <c r="G811">
        <v>3</v>
      </c>
      <c r="H811">
        <v>0</v>
      </c>
      <c r="I811">
        <v>2</v>
      </c>
      <c r="J811">
        <v>0</v>
      </c>
      <c r="K811">
        <v>0</v>
      </c>
      <c r="L811">
        <v>33381454</v>
      </c>
      <c r="M811">
        <v>140</v>
      </c>
      <c r="N811" t="s">
        <v>81</v>
      </c>
      <c r="O811" t="s">
        <v>45</v>
      </c>
      <c r="P811">
        <v>49</v>
      </c>
      <c r="Q811">
        <v>50</v>
      </c>
      <c r="R811" t="str" cm="1">
        <f t="array" ref="R811">_xlfn.IFS(Q811&gt;70,"Good",Q811&lt;40,"Bad",(Q811&gt;OS849*(Q811&lt;80)),"Ok")</f>
        <v>Ok</v>
      </c>
      <c r="S811">
        <v>37</v>
      </c>
      <c r="T811" t="str" cm="1">
        <f t="array" ref="T811">_xlfn.IFS(S811&gt;50, "High", S811&lt;=50, "Low")</f>
        <v>Low</v>
      </c>
      <c r="U811">
        <v>87</v>
      </c>
      <c r="V811">
        <v>0</v>
      </c>
      <c r="W811">
        <v>11</v>
      </c>
      <c r="X811">
        <v>35</v>
      </c>
      <c r="Y811">
        <f t="shared" ca="1" si="12"/>
        <v>54.159354147030506</v>
      </c>
    </row>
    <row r="812" spans="1:25" x14ac:dyDescent="0.3">
      <c r="A812" t="s">
        <v>1439</v>
      </c>
      <c r="B812" t="s">
        <v>1440</v>
      </c>
      <c r="C812">
        <v>2</v>
      </c>
      <c r="D812" s="1">
        <v>44652</v>
      </c>
      <c r="E812">
        <v>1308</v>
      </c>
      <c r="F812">
        <v>2</v>
      </c>
      <c r="G812">
        <v>23</v>
      </c>
      <c r="H812">
        <v>16</v>
      </c>
      <c r="I812">
        <v>9</v>
      </c>
      <c r="J812">
        <v>0</v>
      </c>
      <c r="K812">
        <v>5</v>
      </c>
      <c r="L812">
        <v>184622518</v>
      </c>
      <c r="M812">
        <v>174</v>
      </c>
      <c r="N812" t="s">
        <v>31</v>
      </c>
      <c r="O812" t="s">
        <v>28</v>
      </c>
      <c r="P812">
        <v>68</v>
      </c>
      <c r="Q812">
        <v>45</v>
      </c>
      <c r="R812" t="str" cm="1">
        <f t="array" ref="R812">_xlfn.IFS(Q812&gt;70,"Good",Q812&lt;40,"Bad",(Q812&gt;OS850*(Q812&lt;80)),"Ok")</f>
        <v>Ok</v>
      </c>
      <c r="S812">
        <v>71</v>
      </c>
      <c r="T812" t="str" cm="1">
        <f t="array" ref="T812">_xlfn.IFS(S812&gt;50, "High", S812&lt;=50, "Low")</f>
        <v>High</v>
      </c>
      <c r="U812">
        <v>18</v>
      </c>
      <c r="V812">
        <v>0</v>
      </c>
      <c r="W812">
        <v>11</v>
      </c>
      <c r="X812">
        <v>25</v>
      </c>
      <c r="Y812">
        <f t="shared" ca="1" si="12"/>
        <v>50.768113793311585</v>
      </c>
    </row>
    <row r="813" spans="1:25" x14ac:dyDescent="0.3">
      <c r="A813" t="s">
        <v>1441</v>
      </c>
      <c r="B813" t="s">
        <v>1442</v>
      </c>
      <c r="C813">
        <v>2</v>
      </c>
      <c r="D813" s="1">
        <v>44587</v>
      </c>
      <c r="E813">
        <v>4531</v>
      </c>
      <c r="F813">
        <v>0</v>
      </c>
      <c r="G813">
        <v>135</v>
      </c>
      <c r="H813">
        <v>74</v>
      </c>
      <c r="I813">
        <v>119</v>
      </c>
      <c r="J813">
        <v>1</v>
      </c>
      <c r="K813">
        <v>18</v>
      </c>
      <c r="L813">
        <v>300983101</v>
      </c>
      <c r="M813">
        <v>127</v>
      </c>
      <c r="N813" t="s">
        <v>181</v>
      </c>
      <c r="O813" t="s">
        <v>28</v>
      </c>
      <c r="P813">
        <v>77</v>
      </c>
      <c r="Q813">
        <v>53</v>
      </c>
      <c r="R813" t="str" cm="1">
        <f t="array" ref="R813">_xlfn.IFS(Q813&gt;70,"Good",Q813&lt;40,"Bad",(Q813&gt;OS851*(Q813&lt;80)),"Ok")</f>
        <v>Ok</v>
      </c>
      <c r="S813">
        <v>78</v>
      </c>
      <c r="T813" t="str" cm="1">
        <f t="array" ref="T813">_xlfn.IFS(S813&gt;50, "High", S813&lt;=50, "Low")</f>
        <v>High</v>
      </c>
      <c r="U813">
        <v>19</v>
      </c>
      <c r="V813">
        <v>0</v>
      </c>
      <c r="W813">
        <v>29</v>
      </c>
      <c r="X813">
        <v>4</v>
      </c>
      <c r="Y813">
        <f t="shared" ca="1" si="12"/>
        <v>47.913632087346592</v>
      </c>
    </row>
    <row r="814" spans="1:25" x14ac:dyDescent="0.3">
      <c r="A814" t="s">
        <v>1443</v>
      </c>
      <c r="B814" t="s">
        <v>1444</v>
      </c>
      <c r="C814">
        <v>2</v>
      </c>
      <c r="D814" s="1">
        <v>44687</v>
      </c>
      <c r="E814">
        <v>1657</v>
      </c>
      <c r="F814">
        <v>0</v>
      </c>
      <c r="G814">
        <v>15</v>
      </c>
      <c r="H814">
        <v>3</v>
      </c>
      <c r="I814">
        <v>3</v>
      </c>
      <c r="J814">
        <v>0</v>
      </c>
      <c r="K814">
        <v>0</v>
      </c>
      <c r="L814">
        <v>121077868</v>
      </c>
      <c r="M814">
        <v>96</v>
      </c>
      <c r="N814" t="s">
        <v>27</v>
      </c>
      <c r="O814" t="s">
        <v>28</v>
      </c>
      <c r="P814">
        <v>71</v>
      </c>
      <c r="Q814">
        <v>37</v>
      </c>
      <c r="R814" t="str" cm="1">
        <f t="array" ref="R814">_xlfn.IFS(Q814&gt;70,"Good",Q814&lt;40,"Bad",(Q814&gt;OS852*(Q814&lt;80)),"Ok")</f>
        <v>Bad</v>
      </c>
      <c r="S814">
        <v>52</v>
      </c>
      <c r="T814" t="str" cm="1">
        <f t="array" ref="T814">_xlfn.IFS(S814&gt;50, "High", S814&lt;=50, "Low")</f>
        <v>High</v>
      </c>
      <c r="U814">
        <v>62</v>
      </c>
      <c r="V814">
        <v>0</v>
      </c>
      <c r="W814">
        <v>11</v>
      </c>
      <c r="X814">
        <v>36</v>
      </c>
      <c r="Y814">
        <f t="shared" ca="1" si="12"/>
        <v>15.576537295180426</v>
      </c>
    </row>
    <row r="815" spans="1:25" x14ac:dyDescent="0.3">
      <c r="A815" t="s">
        <v>480</v>
      </c>
      <c r="B815" t="s">
        <v>1445</v>
      </c>
      <c r="C815">
        <v>2</v>
      </c>
      <c r="D815" s="1">
        <v>44680</v>
      </c>
      <c r="E815">
        <v>1351</v>
      </c>
      <c r="F815">
        <v>0</v>
      </c>
      <c r="G815">
        <v>26</v>
      </c>
      <c r="H815">
        <v>1</v>
      </c>
      <c r="I815">
        <v>17</v>
      </c>
      <c r="J815">
        <v>0</v>
      </c>
      <c r="K815">
        <v>0</v>
      </c>
      <c r="L815">
        <v>106919680</v>
      </c>
      <c r="M815">
        <v>150</v>
      </c>
      <c r="N815" t="s">
        <v>81</v>
      </c>
      <c r="O815" t="s">
        <v>45</v>
      </c>
      <c r="P815">
        <v>82</v>
      </c>
      <c r="Q815">
        <v>82</v>
      </c>
      <c r="R815" t="str" cm="1">
        <f t="array" ref="R815">_xlfn.IFS(Q815&gt;70,"Good",Q815&lt;40,"Bad",(Q815&gt;OS853*(Q815&lt;80)),"Ok")</f>
        <v>Good</v>
      </c>
      <c r="S815">
        <v>66</v>
      </c>
      <c r="T815" t="str" cm="1">
        <f t="array" ref="T815">_xlfn.IFS(S815&gt;50, "High", S815&lt;=50, "Low")</f>
        <v>High</v>
      </c>
      <c r="U815">
        <v>13</v>
      </c>
      <c r="V815">
        <v>0</v>
      </c>
      <c r="W815">
        <v>11</v>
      </c>
      <c r="X815">
        <v>6</v>
      </c>
      <c r="Y815">
        <f t="shared" ca="1" si="12"/>
        <v>89.489084578071584</v>
      </c>
    </row>
    <row r="816" spans="1:25" x14ac:dyDescent="0.3">
      <c r="A816" t="s">
        <v>1446</v>
      </c>
      <c r="B816" t="s">
        <v>1447</v>
      </c>
      <c r="C816">
        <v>1</v>
      </c>
      <c r="D816" s="1">
        <v>44664</v>
      </c>
      <c r="E816">
        <v>608</v>
      </c>
      <c r="F816">
        <v>0</v>
      </c>
      <c r="G816">
        <v>5</v>
      </c>
      <c r="H816">
        <v>29</v>
      </c>
      <c r="I816">
        <v>14</v>
      </c>
      <c r="J816">
        <v>0</v>
      </c>
      <c r="K816">
        <v>0</v>
      </c>
      <c r="L816">
        <v>136996305</v>
      </c>
      <c r="M816">
        <v>100</v>
      </c>
      <c r="N816" t="s">
        <v>65</v>
      </c>
      <c r="O816" t="s">
        <v>28</v>
      </c>
      <c r="P816">
        <v>87</v>
      </c>
      <c r="Q816">
        <v>46</v>
      </c>
      <c r="R816" t="str" cm="1">
        <f t="array" ref="R816">_xlfn.IFS(Q816&gt;70,"Good",Q816&lt;40,"Bad",(Q816&gt;OS854*(Q816&lt;80)),"Ok")</f>
        <v>Ok</v>
      </c>
      <c r="S816">
        <v>60</v>
      </c>
      <c r="T816" t="str" cm="1">
        <f t="array" ref="T816">_xlfn.IFS(S816&gt;50, "High", S816&lt;=50, "Low")</f>
        <v>High</v>
      </c>
      <c r="U816">
        <v>1</v>
      </c>
      <c r="V816">
        <v>0</v>
      </c>
      <c r="W816">
        <v>13</v>
      </c>
      <c r="X816">
        <v>16</v>
      </c>
      <c r="Y816">
        <f t="shared" ca="1" si="12"/>
        <v>99.130633883060611</v>
      </c>
    </row>
    <row r="817" spans="1:25" x14ac:dyDescent="0.3">
      <c r="A817" t="s">
        <v>1448</v>
      </c>
      <c r="B817" t="s">
        <v>563</v>
      </c>
      <c r="C817">
        <v>1</v>
      </c>
      <c r="D817" s="1">
        <v>44554</v>
      </c>
      <c r="E817">
        <v>1211</v>
      </c>
      <c r="F817">
        <v>0</v>
      </c>
      <c r="G817">
        <v>31</v>
      </c>
      <c r="H817">
        <v>0</v>
      </c>
      <c r="I817">
        <v>19</v>
      </c>
      <c r="J817">
        <v>0</v>
      </c>
      <c r="K817">
        <v>2</v>
      </c>
      <c r="L817">
        <v>65719930</v>
      </c>
      <c r="M817">
        <v>105</v>
      </c>
      <c r="N817" t="s">
        <v>31</v>
      </c>
      <c r="O817" t="s">
        <v>45</v>
      </c>
      <c r="P817">
        <v>73</v>
      </c>
      <c r="Q817">
        <v>59</v>
      </c>
      <c r="R817" t="str" cm="1">
        <f t="array" ref="R817">_xlfn.IFS(Q817&gt;70,"Good",Q817&lt;40,"Bad",(Q817&gt;OS855*(Q817&lt;80)),"Ok")</f>
        <v>Ok</v>
      </c>
      <c r="S817">
        <v>81</v>
      </c>
      <c r="T817" t="str" cm="1">
        <f t="array" ref="T817">_xlfn.IFS(S817&gt;50, "High", S817&lt;=50, "Low")</f>
        <v>High</v>
      </c>
      <c r="U817">
        <v>13</v>
      </c>
      <c r="V817">
        <v>0</v>
      </c>
      <c r="W817">
        <v>9</v>
      </c>
      <c r="X817">
        <v>6</v>
      </c>
      <c r="Y817">
        <f t="shared" ca="1" si="12"/>
        <v>71.261811794553381</v>
      </c>
    </row>
    <row r="818" spans="1:25" x14ac:dyDescent="0.3">
      <c r="A818" t="s">
        <v>1449</v>
      </c>
      <c r="B818" t="s">
        <v>829</v>
      </c>
      <c r="C818">
        <v>1</v>
      </c>
      <c r="D818" s="1">
        <v>44683</v>
      </c>
      <c r="E818">
        <v>629</v>
      </c>
      <c r="F818">
        <v>0</v>
      </c>
      <c r="G818">
        <v>18</v>
      </c>
      <c r="H818">
        <v>75</v>
      </c>
      <c r="I818">
        <v>9</v>
      </c>
      <c r="J818">
        <v>0</v>
      </c>
      <c r="K818">
        <v>0</v>
      </c>
      <c r="L818">
        <v>229497852</v>
      </c>
      <c r="M818">
        <v>104</v>
      </c>
      <c r="N818" t="s">
        <v>94</v>
      </c>
      <c r="O818" t="s">
        <v>28</v>
      </c>
      <c r="P818">
        <v>86</v>
      </c>
      <c r="Q818">
        <v>43</v>
      </c>
      <c r="R818" t="str" cm="1">
        <f t="array" ref="R818">_xlfn.IFS(Q818&gt;70,"Good",Q818&lt;40,"Bad",(Q818&gt;OS856*(Q818&lt;80)),"Ok")</f>
        <v>Ok</v>
      </c>
      <c r="S818">
        <v>62</v>
      </c>
      <c r="T818" t="str" cm="1">
        <f t="array" ref="T818">_xlfn.IFS(S818&gt;50, "High", S818&lt;=50, "Low")</f>
        <v>High</v>
      </c>
      <c r="U818">
        <v>5</v>
      </c>
      <c r="V818">
        <v>0</v>
      </c>
      <c r="W818">
        <v>13</v>
      </c>
      <c r="X818">
        <v>14</v>
      </c>
      <c r="Y818">
        <f t="shared" ca="1" si="12"/>
        <v>15.541644968532642</v>
      </c>
    </row>
    <row r="819" spans="1:25" x14ac:dyDescent="0.3">
      <c r="A819" t="s">
        <v>1450</v>
      </c>
      <c r="B819" t="s">
        <v>1451</v>
      </c>
      <c r="C819">
        <v>1</v>
      </c>
      <c r="D819" s="1">
        <v>44643</v>
      </c>
      <c r="E819">
        <v>1301</v>
      </c>
      <c r="F819">
        <v>0</v>
      </c>
      <c r="G819">
        <v>23</v>
      </c>
      <c r="H819">
        <v>1</v>
      </c>
      <c r="I819">
        <v>15</v>
      </c>
      <c r="J819">
        <v>0</v>
      </c>
      <c r="K819">
        <v>0</v>
      </c>
      <c r="L819">
        <v>185550869</v>
      </c>
      <c r="M819">
        <v>154</v>
      </c>
      <c r="N819" t="s">
        <v>81</v>
      </c>
      <c r="O819" t="s">
        <v>28</v>
      </c>
      <c r="P819">
        <v>54</v>
      </c>
      <c r="Q819">
        <v>45</v>
      </c>
      <c r="R819" t="str" cm="1">
        <f t="array" ref="R819">_xlfn.IFS(Q819&gt;70,"Good",Q819&lt;40,"Bad",(Q819&gt;OS857*(Q819&lt;80)),"Ok")</f>
        <v>Ok</v>
      </c>
      <c r="S819">
        <v>79</v>
      </c>
      <c r="T819" t="str" cm="1">
        <f t="array" ref="T819">_xlfn.IFS(S819&gt;50, "High", S819&lt;=50, "Low")</f>
        <v>High</v>
      </c>
      <c r="U819">
        <v>1</v>
      </c>
      <c r="V819">
        <v>0</v>
      </c>
      <c r="W819">
        <v>17</v>
      </c>
      <c r="X819">
        <v>5</v>
      </c>
      <c r="Y819">
        <f t="shared" ca="1" si="12"/>
        <v>34.784943692884205</v>
      </c>
    </row>
    <row r="820" spans="1:25" x14ac:dyDescent="0.3">
      <c r="A820" t="s">
        <v>1452</v>
      </c>
      <c r="B820" t="s">
        <v>1453</v>
      </c>
      <c r="C820">
        <v>1</v>
      </c>
      <c r="D820" s="1">
        <v>44614</v>
      </c>
      <c r="E820">
        <v>1329</v>
      </c>
      <c r="F820">
        <v>0</v>
      </c>
      <c r="G820">
        <v>42</v>
      </c>
      <c r="H820">
        <v>51</v>
      </c>
      <c r="I820">
        <v>32</v>
      </c>
      <c r="J820">
        <v>0</v>
      </c>
      <c r="K820">
        <v>0</v>
      </c>
      <c r="L820">
        <v>54682594</v>
      </c>
      <c r="M820">
        <v>80</v>
      </c>
      <c r="N820" t="s">
        <v>27</v>
      </c>
      <c r="O820" t="s">
        <v>28</v>
      </c>
      <c r="P820">
        <v>47</v>
      </c>
      <c r="Q820">
        <v>33</v>
      </c>
      <c r="R820" t="str" cm="1">
        <f t="array" ref="R820">_xlfn.IFS(Q820&gt;70,"Good",Q820&lt;40,"Bad",(Q820&gt;OS858*(Q820&lt;80)),"Ok")</f>
        <v>Bad</v>
      </c>
      <c r="S820">
        <v>83</v>
      </c>
      <c r="T820" t="str" cm="1">
        <f t="array" ref="T820">_xlfn.IFS(S820&gt;50, "High", S820&lt;=50, "Low")</f>
        <v>High</v>
      </c>
      <c r="U820">
        <v>18</v>
      </c>
      <c r="V820">
        <v>0</v>
      </c>
      <c r="W820">
        <v>10</v>
      </c>
      <c r="X820">
        <v>5</v>
      </c>
      <c r="Y820">
        <f t="shared" ca="1" si="12"/>
        <v>74.380352647383916</v>
      </c>
    </row>
    <row r="821" spans="1:25" x14ac:dyDescent="0.3">
      <c r="A821" t="s">
        <v>1454</v>
      </c>
      <c r="B821" t="s">
        <v>1455</v>
      </c>
      <c r="C821">
        <v>2</v>
      </c>
      <c r="D821" s="1">
        <v>44675</v>
      </c>
      <c r="E821">
        <v>343</v>
      </c>
      <c r="F821">
        <v>2</v>
      </c>
      <c r="G821">
        <v>4</v>
      </c>
      <c r="H821">
        <v>35</v>
      </c>
      <c r="I821">
        <v>11</v>
      </c>
      <c r="J821">
        <v>1</v>
      </c>
      <c r="K821">
        <v>1</v>
      </c>
      <c r="L821">
        <v>240580042</v>
      </c>
      <c r="M821">
        <v>150</v>
      </c>
      <c r="N821" t="s">
        <v>302</v>
      </c>
      <c r="O821" t="s">
        <v>28</v>
      </c>
      <c r="P821">
        <v>53</v>
      </c>
      <c r="Q821">
        <v>14</v>
      </c>
      <c r="R821" t="str" cm="1">
        <f t="array" ref="R821">_xlfn.IFS(Q821&gt;70,"Good",Q821&lt;40,"Bad",(Q821&gt;OS859*(Q821&lt;80)),"Ok")</f>
        <v>Bad</v>
      </c>
      <c r="S821">
        <v>43</v>
      </c>
      <c r="T821" t="str" cm="1">
        <f t="array" ref="T821">_xlfn.IFS(S821&gt;50, "High", S821&lt;=50, "Low")</f>
        <v>Low</v>
      </c>
      <c r="U821">
        <v>64</v>
      </c>
      <c r="V821">
        <v>0</v>
      </c>
      <c r="W821">
        <v>13</v>
      </c>
      <c r="X821">
        <v>3</v>
      </c>
      <c r="Y821">
        <f t="shared" ca="1" si="12"/>
        <v>42.562551332824505</v>
      </c>
    </row>
    <row r="822" spans="1:25" x14ac:dyDescent="0.3">
      <c r="A822" t="s">
        <v>1456</v>
      </c>
      <c r="B822" t="s">
        <v>1457</v>
      </c>
      <c r="C822">
        <v>1</v>
      </c>
      <c r="D822" s="1">
        <v>35885</v>
      </c>
      <c r="E822">
        <v>13101</v>
      </c>
      <c r="F822">
        <v>9</v>
      </c>
      <c r="G822">
        <v>137</v>
      </c>
      <c r="H822">
        <v>5</v>
      </c>
      <c r="I822">
        <v>582</v>
      </c>
      <c r="J822">
        <v>0</v>
      </c>
      <c r="K822">
        <v>0</v>
      </c>
      <c r="L822">
        <v>1284942608</v>
      </c>
      <c r="M822">
        <v>156</v>
      </c>
      <c r="N822" t="s">
        <v>27</v>
      </c>
      <c r="O822" t="s">
        <v>45</v>
      </c>
      <c r="P822">
        <v>32</v>
      </c>
      <c r="Q822">
        <v>49</v>
      </c>
      <c r="R822" t="str" cm="1">
        <f t="array" ref="R822">_xlfn.IFS(Q822&gt;70,"Good",Q822&lt;40,"Bad",(Q822&gt;OS860*(Q822&lt;80)),"Ok")</f>
        <v>Ok</v>
      </c>
      <c r="S822">
        <v>72</v>
      </c>
      <c r="T822" t="str" cm="1">
        <f t="array" ref="T822">_xlfn.IFS(S822&gt;50, "High", S822&lt;=50, "Low")</f>
        <v>High</v>
      </c>
      <c r="U822">
        <v>0</v>
      </c>
      <c r="V822">
        <v>0</v>
      </c>
      <c r="W822">
        <v>9</v>
      </c>
      <c r="X822">
        <v>4</v>
      </c>
      <c r="Y822">
        <f t="shared" ca="1" si="12"/>
        <v>58.577331514604346</v>
      </c>
    </row>
    <row r="823" spans="1:25" x14ac:dyDescent="0.3">
      <c r="A823" t="s">
        <v>88</v>
      </c>
      <c r="B823" t="s">
        <v>1253</v>
      </c>
      <c r="C823">
        <v>1</v>
      </c>
      <c r="D823" s="1">
        <v>44689</v>
      </c>
      <c r="E823">
        <v>2939</v>
      </c>
      <c r="F823">
        <v>0</v>
      </c>
      <c r="G823">
        <v>29</v>
      </c>
      <c r="H823">
        <v>0</v>
      </c>
      <c r="I823">
        <v>30</v>
      </c>
      <c r="J823">
        <v>0</v>
      </c>
      <c r="K823">
        <v>0</v>
      </c>
      <c r="L823">
        <v>71423324</v>
      </c>
      <c r="M823">
        <v>98</v>
      </c>
      <c r="N823" t="s">
        <v>81</v>
      </c>
      <c r="O823" t="s">
        <v>45</v>
      </c>
      <c r="P823">
        <v>76</v>
      </c>
      <c r="Q823">
        <v>79</v>
      </c>
      <c r="R823" t="str" cm="1">
        <f t="array" ref="R823">_xlfn.IFS(Q823&gt;70,"Good",Q823&lt;40,"Bad",(Q823&gt;OS861*(Q823&lt;80)),"Ok")</f>
        <v>Good</v>
      </c>
      <c r="S823">
        <v>81</v>
      </c>
      <c r="T823" t="str" cm="1">
        <f t="array" ref="T823">_xlfn.IFS(S823&gt;50, "High", S823&lt;=50, "Low")</f>
        <v>High</v>
      </c>
      <c r="U823">
        <v>18</v>
      </c>
      <c r="V823">
        <v>0</v>
      </c>
      <c r="W823">
        <v>6</v>
      </c>
      <c r="X823">
        <v>34</v>
      </c>
      <c r="Y823">
        <f t="shared" ca="1" si="12"/>
        <v>44.985709348147516</v>
      </c>
    </row>
    <row r="824" spans="1:25" x14ac:dyDescent="0.3">
      <c r="A824" t="s">
        <v>1458</v>
      </c>
      <c r="B824" t="s">
        <v>1459</v>
      </c>
      <c r="C824">
        <v>1</v>
      </c>
      <c r="D824" s="1">
        <v>43776</v>
      </c>
      <c r="E824">
        <v>407</v>
      </c>
      <c r="F824">
        <v>1</v>
      </c>
      <c r="G824">
        <v>5</v>
      </c>
      <c r="H824">
        <v>0</v>
      </c>
      <c r="I824">
        <v>5</v>
      </c>
      <c r="J824">
        <v>0</v>
      </c>
      <c r="K824">
        <v>0</v>
      </c>
      <c r="L824">
        <v>244891912</v>
      </c>
      <c r="M824">
        <v>92</v>
      </c>
      <c r="N824" t="s">
        <v>94</v>
      </c>
      <c r="O824" t="s">
        <v>28</v>
      </c>
      <c r="P824">
        <v>58</v>
      </c>
      <c r="Q824">
        <v>27</v>
      </c>
      <c r="R824" t="str" cm="1">
        <f t="array" ref="R824">_xlfn.IFS(Q824&gt;70,"Good",Q824&lt;40,"Bad",(Q824&gt;OS862*(Q824&lt;80)),"Ok")</f>
        <v>Bad</v>
      </c>
      <c r="S824">
        <v>36</v>
      </c>
      <c r="T824" t="str" cm="1">
        <f t="array" ref="T824">_xlfn.IFS(S824&gt;50, "High", S824&lt;=50, "Low")</f>
        <v>Low</v>
      </c>
      <c r="U824">
        <v>86</v>
      </c>
      <c r="V824">
        <v>0</v>
      </c>
      <c r="W824">
        <v>9</v>
      </c>
      <c r="X824">
        <v>3</v>
      </c>
      <c r="Y824">
        <f t="shared" ca="1" si="12"/>
        <v>64.352761449734714</v>
      </c>
    </row>
    <row r="825" spans="1:25" x14ac:dyDescent="0.3">
      <c r="A825" t="s">
        <v>1460</v>
      </c>
      <c r="B825" t="s">
        <v>36</v>
      </c>
      <c r="C825">
        <v>1</v>
      </c>
      <c r="D825" s="1">
        <v>44687</v>
      </c>
      <c r="E825">
        <v>1492</v>
      </c>
      <c r="F825">
        <v>0</v>
      </c>
      <c r="G825">
        <v>26</v>
      </c>
      <c r="H825">
        <v>2</v>
      </c>
      <c r="I825">
        <v>15</v>
      </c>
      <c r="J825">
        <v>0</v>
      </c>
      <c r="K825">
        <v>2</v>
      </c>
      <c r="L825">
        <v>132171975</v>
      </c>
      <c r="M825">
        <v>144</v>
      </c>
      <c r="N825" t="s">
        <v>134</v>
      </c>
      <c r="O825" t="s">
        <v>28</v>
      </c>
      <c r="P825">
        <v>47</v>
      </c>
      <c r="Q825">
        <v>7</v>
      </c>
      <c r="R825" t="str" cm="1">
        <f t="array" ref="R825">_xlfn.IFS(Q825&gt;70,"Good",Q825&lt;40,"Bad",(Q825&gt;OS863*(Q825&lt;80)),"Ok")</f>
        <v>Bad</v>
      </c>
      <c r="S825">
        <v>50</v>
      </c>
      <c r="T825" t="str" cm="1">
        <f t="array" ref="T825">_xlfn.IFS(S825&gt;50, "High", S825&lt;=50, "Low")</f>
        <v>Low</v>
      </c>
      <c r="U825">
        <v>32</v>
      </c>
      <c r="V825">
        <v>0</v>
      </c>
      <c r="W825">
        <v>7</v>
      </c>
      <c r="X825">
        <v>4</v>
      </c>
      <c r="Y825">
        <f t="shared" ca="1" si="12"/>
        <v>23.841436893770872</v>
      </c>
    </row>
    <row r="826" spans="1:25" x14ac:dyDescent="0.3">
      <c r="A826" t="s">
        <v>1461</v>
      </c>
      <c r="B826" t="s">
        <v>1462</v>
      </c>
      <c r="C826">
        <v>1</v>
      </c>
      <c r="D826" s="1">
        <v>43028</v>
      </c>
      <c r="E826">
        <v>2264</v>
      </c>
      <c r="F826">
        <v>0</v>
      </c>
      <c r="G826">
        <v>11</v>
      </c>
      <c r="H826">
        <v>6</v>
      </c>
      <c r="I826">
        <v>25</v>
      </c>
      <c r="J826">
        <v>0</v>
      </c>
      <c r="K826">
        <v>1</v>
      </c>
      <c r="L826">
        <v>184706613</v>
      </c>
      <c r="M826">
        <v>150</v>
      </c>
      <c r="N826" t="s">
        <v>134</v>
      </c>
      <c r="O826" t="s">
        <v>28</v>
      </c>
      <c r="P826">
        <v>37</v>
      </c>
      <c r="Q826">
        <v>27</v>
      </c>
      <c r="R826" t="str" cm="1">
        <f t="array" ref="R826">_xlfn.IFS(Q826&gt;70,"Good",Q826&lt;40,"Bad",(Q826&gt;OS864*(Q826&lt;80)),"Ok")</f>
        <v>Bad</v>
      </c>
      <c r="S826">
        <v>56</v>
      </c>
      <c r="T826" t="str" cm="1">
        <f t="array" ref="T826">_xlfn.IFS(S826&gt;50, "High", S826&lt;=50, "Low")</f>
        <v>High</v>
      </c>
      <c r="U826">
        <v>8</v>
      </c>
      <c r="V826">
        <v>0</v>
      </c>
      <c r="W826">
        <v>13</v>
      </c>
      <c r="X826">
        <v>3</v>
      </c>
      <c r="Y826">
        <f t="shared" ca="1" si="12"/>
        <v>40.804035042742335</v>
      </c>
    </row>
    <row r="827" spans="1:25" x14ac:dyDescent="0.3">
      <c r="A827" t="s">
        <v>70</v>
      </c>
      <c r="B827" t="s">
        <v>1463</v>
      </c>
      <c r="C827">
        <v>1</v>
      </c>
      <c r="D827" s="1">
        <v>44417</v>
      </c>
      <c r="E827">
        <v>801</v>
      </c>
      <c r="F827">
        <v>0</v>
      </c>
      <c r="G827">
        <v>42</v>
      </c>
      <c r="H827">
        <v>9</v>
      </c>
      <c r="I827">
        <v>24</v>
      </c>
      <c r="J827">
        <v>1</v>
      </c>
      <c r="K827">
        <v>1</v>
      </c>
      <c r="L827">
        <v>184826429</v>
      </c>
      <c r="M827">
        <v>138</v>
      </c>
      <c r="N827" t="s">
        <v>302</v>
      </c>
      <c r="O827" t="s">
        <v>28</v>
      </c>
      <c r="P827">
        <v>70</v>
      </c>
      <c r="Q827">
        <v>31</v>
      </c>
      <c r="R827" t="str" cm="1">
        <f t="array" ref="R827">_xlfn.IFS(Q827&gt;70,"Good",Q827&lt;40,"Bad",(Q827&gt;OS865*(Q827&lt;80)),"Ok")</f>
        <v>Bad</v>
      </c>
      <c r="S827">
        <v>44</v>
      </c>
      <c r="T827" t="str" cm="1">
        <f t="array" ref="T827">_xlfn.IFS(S827&gt;50, "High", S827&lt;=50, "Low")</f>
        <v>Low</v>
      </c>
      <c r="U827">
        <v>84</v>
      </c>
      <c r="V827">
        <v>0</v>
      </c>
      <c r="W827">
        <v>9</v>
      </c>
      <c r="X827">
        <v>39</v>
      </c>
      <c r="Y827">
        <f t="shared" ca="1" si="12"/>
        <v>32.369690034192089</v>
      </c>
    </row>
    <row r="828" spans="1:25" x14ac:dyDescent="0.3">
      <c r="A828" t="s">
        <v>1464</v>
      </c>
      <c r="B828" t="s">
        <v>312</v>
      </c>
      <c r="C828">
        <v>1</v>
      </c>
      <c r="D828" s="1">
        <v>44722</v>
      </c>
      <c r="E828">
        <v>829</v>
      </c>
      <c r="F828">
        <v>0</v>
      </c>
      <c r="G828">
        <v>32</v>
      </c>
      <c r="H828">
        <v>110</v>
      </c>
      <c r="I828">
        <v>26</v>
      </c>
      <c r="J828">
        <v>0</v>
      </c>
      <c r="K828">
        <v>0</v>
      </c>
      <c r="L828">
        <v>302006641</v>
      </c>
      <c r="M828">
        <v>172</v>
      </c>
      <c r="N828" t="s">
        <v>31</v>
      </c>
      <c r="O828" t="s">
        <v>28</v>
      </c>
      <c r="P828">
        <v>56</v>
      </c>
      <c r="Q828">
        <v>68</v>
      </c>
      <c r="R828" t="str" cm="1">
        <f t="array" ref="R828">_xlfn.IFS(Q828&gt;70,"Good",Q828&lt;40,"Bad",(Q828&gt;OS866*(Q828&lt;80)),"Ok")</f>
        <v>Ok</v>
      </c>
      <c r="S828">
        <v>89</v>
      </c>
      <c r="T828" t="str" cm="1">
        <f t="array" ref="T828">_xlfn.IFS(S828&gt;50, "High", S828&lt;=50, "Low")</f>
        <v>High</v>
      </c>
      <c r="U828">
        <v>4</v>
      </c>
      <c r="V828">
        <v>0</v>
      </c>
      <c r="W828">
        <v>33</v>
      </c>
      <c r="X828">
        <v>19</v>
      </c>
      <c r="Y828">
        <f t="shared" ca="1" si="12"/>
        <v>81.655719861266888</v>
      </c>
    </row>
    <row r="829" spans="1:25" x14ac:dyDescent="0.3">
      <c r="A829" t="s">
        <v>1465</v>
      </c>
      <c r="B829" t="s">
        <v>312</v>
      </c>
      <c r="C829">
        <v>1</v>
      </c>
      <c r="D829" s="1">
        <v>44722</v>
      </c>
      <c r="E829">
        <v>736</v>
      </c>
      <c r="F829">
        <v>0</v>
      </c>
      <c r="G829">
        <v>5</v>
      </c>
      <c r="H829">
        <v>132</v>
      </c>
      <c r="I829">
        <v>17</v>
      </c>
      <c r="J829">
        <v>0</v>
      </c>
      <c r="K829">
        <v>3</v>
      </c>
      <c r="L829">
        <v>330881149</v>
      </c>
      <c r="M829">
        <v>77</v>
      </c>
      <c r="N829" t="s">
        <v>81</v>
      </c>
      <c r="O829" t="s">
        <v>28</v>
      </c>
      <c r="P829">
        <v>72</v>
      </c>
      <c r="Q829">
        <v>70</v>
      </c>
      <c r="R829" t="str" cm="1">
        <f t="array" ref="R829">_xlfn.IFS(Q829&gt;70,"Good",Q829&lt;40,"Bad",(Q829&gt;OS867*(Q829&lt;80)),"Ok")</f>
        <v>Ok</v>
      </c>
      <c r="S829">
        <v>82</v>
      </c>
      <c r="T829" t="str" cm="1">
        <f t="array" ref="T829">_xlfn.IFS(S829&gt;50, "High", S829&lt;=50, "Low")</f>
        <v>High</v>
      </c>
      <c r="U829">
        <v>2</v>
      </c>
      <c r="V829">
        <v>0</v>
      </c>
      <c r="W829">
        <v>4</v>
      </c>
      <c r="X829">
        <v>17</v>
      </c>
      <c r="Y829">
        <f t="shared" ca="1" si="12"/>
        <v>43.423302483358974</v>
      </c>
    </row>
    <row r="830" spans="1:25" x14ac:dyDescent="0.3">
      <c r="A830" t="s">
        <v>1466</v>
      </c>
      <c r="B830" t="s">
        <v>77</v>
      </c>
      <c r="C830">
        <v>1</v>
      </c>
      <c r="D830" s="1">
        <v>44701</v>
      </c>
      <c r="E830">
        <v>4449</v>
      </c>
      <c r="F830">
        <v>1</v>
      </c>
      <c r="G830">
        <v>80</v>
      </c>
      <c r="H830">
        <v>11</v>
      </c>
      <c r="I830">
        <v>66</v>
      </c>
      <c r="J830">
        <v>0</v>
      </c>
      <c r="K830">
        <v>1</v>
      </c>
      <c r="L830">
        <v>334733572</v>
      </c>
      <c r="M830">
        <v>107</v>
      </c>
      <c r="N830" t="s">
        <v>27</v>
      </c>
      <c r="O830" t="s">
        <v>28</v>
      </c>
      <c r="P830">
        <v>72</v>
      </c>
      <c r="Q830">
        <v>36</v>
      </c>
      <c r="R830" t="str" cm="1">
        <f t="array" ref="R830">_xlfn.IFS(Q830&gt;70,"Good",Q830&lt;40,"Bad",(Q830&gt;OS868*(Q830&lt;80)),"Ok")</f>
        <v>Bad</v>
      </c>
      <c r="S830">
        <v>72</v>
      </c>
      <c r="T830" t="str" cm="1">
        <f t="array" ref="T830">_xlfn.IFS(S830&gt;50, "High", S830&lt;=50, "Low")</f>
        <v>High</v>
      </c>
      <c r="U830">
        <v>26</v>
      </c>
      <c r="V830">
        <v>6</v>
      </c>
      <c r="W830">
        <v>11</v>
      </c>
      <c r="X830">
        <v>4</v>
      </c>
      <c r="Y830">
        <f t="shared" ca="1" si="12"/>
        <v>65.542044907764136</v>
      </c>
    </row>
    <row r="831" spans="1:25" x14ac:dyDescent="0.3">
      <c r="A831" t="s">
        <v>1467</v>
      </c>
      <c r="B831" t="s">
        <v>77</v>
      </c>
      <c r="C831">
        <v>1</v>
      </c>
      <c r="D831" s="1">
        <v>44701</v>
      </c>
      <c r="E831">
        <v>3218</v>
      </c>
      <c r="F831">
        <v>3</v>
      </c>
      <c r="G831">
        <v>29</v>
      </c>
      <c r="H831">
        <v>10</v>
      </c>
      <c r="I831">
        <v>79</v>
      </c>
      <c r="J831">
        <v>0</v>
      </c>
      <c r="K831">
        <v>0</v>
      </c>
      <c r="L831">
        <v>366214458</v>
      </c>
      <c r="M831">
        <v>114</v>
      </c>
      <c r="N831" t="s">
        <v>61</v>
      </c>
      <c r="O831" t="s">
        <v>28</v>
      </c>
      <c r="P831">
        <v>51</v>
      </c>
      <c r="Q831">
        <v>39</v>
      </c>
      <c r="R831" t="str" cm="1">
        <f t="array" ref="R831">_xlfn.IFS(Q831&gt;70,"Good",Q831&lt;40,"Bad",(Q831&gt;OS869*(Q831&lt;80)),"Ok")</f>
        <v>Bad</v>
      </c>
      <c r="S831">
        <v>29</v>
      </c>
      <c r="T831" t="str" cm="1">
        <f t="array" ref="T831">_xlfn.IFS(S831&gt;50, "High", S831&lt;=50, "Low")</f>
        <v>Low</v>
      </c>
      <c r="U831">
        <v>90</v>
      </c>
      <c r="V831">
        <v>0</v>
      </c>
      <c r="W831">
        <v>10</v>
      </c>
      <c r="X831">
        <v>4</v>
      </c>
      <c r="Y831">
        <f t="shared" ca="1" si="12"/>
        <v>20.044457403735827</v>
      </c>
    </row>
    <row r="832" spans="1:25" x14ac:dyDescent="0.3">
      <c r="A832" t="s">
        <v>1468</v>
      </c>
      <c r="B832" t="s">
        <v>312</v>
      </c>
      <c r="C832">
        <v>1</v>
      </c>
      <c r="D832" s="1">
        <v>44722</v>
      </c>
      <c r="E832">
        <v>327</v>
      </c>
      <c r="F832">
        <v>0</v>
      </c>
      <c r="G832">
        <v>5</v>
      </c>
      <c r="H832">
        <v>40</v>
      </c>
      <c r="I832">
        <v>12</v>
      </c>
      <c r="J832">
        <v>0</v>
      </c>
      <c r="K832">
        <v>0</v>
      </c>
      <c r="L832">
        <v>114546317</v>
      </c>
      <c r="M832">
        <v>117</v>
      </c>
      <c r="N832" t="s">
        <v>61</v>
      </c>
      <c r="O832" t="s">
        <v>28</v>
      </c>
      <c r="P832">
        <v>63</v>
      </c>
      <c r="Q832">
        <v>29</v>
      </c>
      <c r="R832" t="str" cm="1">
        <f t="array" ref="R832">_xlfn.IFS(Q832&gt;70,"Good",Q832&lt;40,"Bad",(Q832&gt;OS870*(Q832&lt;80)),"Ok")</f>
        <v>Bad</v>
      </c>
      <c r="S832">
        <v>51</v>
      </c>
      <c r="T832" t="str" cm="1">
        <f t="array" ref="T832">_xlfn.IFS(S832&gt;50, "High", S832&lt;=50, "Low")</f>
        <v>High</v>
      </c>
      <c r="U832">
        <v>43</v>
      </c>
      <c r="V832">
        <v>0</v>
      </c>
      <c r="W832">
        <v>25</v>
      </c>
      <c r="X832">
        <v>4</v>
      </c>
      <c r="Y832">
        <f t="shared" ca="1" si="12"/>
        <v>3.8113877601920088</v>
      </c>
    </row>
    <row r="833" spans="1:25" x14ac:dyDescent="0.3">
      <c r="A833" t="s">
        <v>73</v>
      </c>
      <c r="B833" t="s">
        <v>77</v>
      </c>
      <c r="C833">
        <v>1</v>
      </c>
      <c r="D833" s="1">
        <v>44701</v>
      </c>
      <c r="E833">
        <v>2775</v>
      </c>
      <c r="F833">
        <v>0</v>
      </c>
      <c r="G833">
        <v>21</v>
      </c>
      <c r="H833">
        <v>11</v>
      </c>
      <c r="I833">
        <v>40</v>
      </c>
      <c r="J833">
        <v>0</v>
      </c>
      <c r="K833">
        <v>0</v>
      </c>
      <c r="L833">
        <v>290833204</v>
      </c>
      <c r="M833">
        <v>146</v>
      </c>
      <c r="O833" t="s">
        <v>28</v>
      </c>
      <c r="P833">
        <v>69</v>
      </c>
      <c r="Q833">
        <v>63</v>
      </c>
      <c r="R833" t="str" cm="1">
        <f t="array" ref="R833">_xlfn.IFS(Q833&gt;70,"Good",Q833&lt;40,"Bad",(Q833&gt;OS871*(Q833&lt;80)),"Ok")</f>
        <v>Ok</v>
      </c>
      <c r="S833">
        <v>45</v>
      </c>
      <c r="T833" t="str" cm="1">
        <f t="array" ref="T833">_xlfn.IFS(S833&gt;50, "High", S833&lt;=50, "Low")</f>
        <v>Low</v>
      </c>
      <c r="U833">
        <v>48</v>
      </c>
      <c r="V833">
        <v>0</v>
      </c>
      <c r="W833">
        <v>18</v>
      </c>
      <c r="X833">
        <v>4</v>
      </c>
      <c r="Y833">
        <f t="shared" ca="1" si="12"/>
        <v>67.46646861698251</v>
      </c>
    </row>
    <row r="834" spans="1:25" x14ac:dyDescent="0.3">
      <c r="A834" t="s">
        <v>334</v>
      </c>
      <c r="B834" t="s">
        <v>905</v>
      </c>
      <c r="C834">
        <v>1</v>
      </c>
      <c r="D834" s="1">
        <v>44687</v>
      </c>
      <c r="E834">
        <v>4576</v>
      </c>
      <c r="F834">
        <v>0</v>
      </c>
      <c r="G834">
        <v>79</v>
      </c>
      <c r="H834">
        <v>13</v>
      </c>
      <c r="I834">
        <v>93</v>
      </c>
      <c r="J834">
        <v>0</v>
      </c>
      <c r="K834">
        <v>17</v>
      </c>
      <c r="L834">
        <v>448500832</v>
      </c>
      <c r="M834">
        <v>160</v>
      </c>
      <c r="N834" t="s">
        <v>81</v>
      </c>
      <c r="O834" t="s">
        <v>45</v>
      </c>
      <c r="P834">
        <v>80</v>
      </c>
      <c r="Q834">
        <v>74</v>
      </c>
      <c r="R834" t="str" cm="1">
        <f t="array" ref="R834">_xlfn.IFS(Q834&gt;70,"Good",Q834&lt;40,"Bad",(Q834&gt;OS872*(Q834&lt;80)),"Ok")</f>
        <v>Good</v>
      </c>
      <c r="S834">
        <v>60</v>
      </c>
      <c r="T834" t="str" cm="1">
        <f t="array" ref="T834">_xlfn.IFS(S834&gt;50, "High", S834&lt;=50, "Low")</f>
        <v>High</v>
      </c>
      <c r="U834">
        <v>8</v>
      </c>
      <c r="V834">
        <v>0</v>
      </c>
      <c r="W834">
        <v>14</v>
      </c>
      <c r="X834">
        <v>26</v>
      </c>
      <c r="Y834">
        <f t="shared" ref="Y834:Y897" ca="1" si="13">RAND()*100</f>
        <v>91.451888857370349</v>
      </c>
    </row>
    <row r="835" spans="1:25" x14ac:dyDescent="0.3">
      <c r="A835" t="s">
        <v>1469</v>
      </c>
      <c r="B835" t="s">
        <v>1470</v>
      </c>
      <c r="C835">
        <v>4</v>
      </c>
      <c r="D835" s="1">
        <v>44722</v>
      </c>
      <c r="E835">
        <v>2313</v>
      </c>
      <c r="F835">
        <v>0</v>
      </c>
      <c r="G835">
        <v>34</v>
      </c>
      <c r="H835">
        <v>0</v>
      </c>
      <c r="I835">
        <v>29</v>
      </c>
      <c r="J835">
        <v>0</v>
      </c>
      <c r="K835">
        <v>0</v>
      </c>
      <c r="L835">
        <v>136676504</v>
      </c>
      <c r="M835">
        <v>120</v>
      </c>
      <c r="N835" t="s">
        <v>94</v>
      </c>
      <c r="O835" t="s">
        <v>28</v>
      </c>
      <c r="P835">
        <v>88</v>
      </c>
      <c r="Q835">
        <v>15</v>
      </c>
      <c r="R835" t="str" cm="1">
        <f t="array" ref="R835">_xlfn.IFS(Q835&gt;70,"Good",Q835&lt;40,"Bad",(Q835&gt;OS873*(Q835&lt;80)),"Ok")</f>
        <v>Bad</v>
      </c>
      <c r="S835">
        <v>56</v>
      </c>
      <c r="T835" t="str" cm="1">
        <f t="array" ref="T835">_xlfn.IFS(S835&gt;50, "High", S835&lt;=50, "Low")</f>
        <v>High</v>
      </c>
      <c r="U835">
        <v>1</v>
      </c>
      <c r="V835">
        <v>0</v>
      </c>
      <c r="W835">
        <v>8</v>
      </c>
      <c r="X835">
        <v>6</v>
      </c>
      <c r="Y835">
        <f t="shared" ca="1" si="13"/>
        <v>80.640151733106222</v>
      </c>
    </row>
    <row r="836" spans="1:25" x14ac:dyDescent="0.3">
      <c r="A836" t="s">
        <v>182</v>
      </c>
      <c r="B836" t="s">
        <v>1471</v>
      </c>
      <c r="C836">
        <v>3</v>
      </c>
      <c r="D836" s="1">
        <v>44708</v>
      </c>
      <c r="E836">
        <v>3983</v>
      </c>
      <c r="F836">
        <v>0</v>
      </c>
      <c r="G836">
        <v>73</v>
      </c>
      <c r="H836">
        <v>45</v>
      </c>
      <c r="I836">
        <v>119</v>
      </c>
      <c r="J836">
        <v>0</v>
      </c>
      <c r="K836">
        <v>0</v>
      </c>
      <c r="L836">
        <v>190625045</v>
      </c>
      <c r="M836">
        <v>100</v>
      </c>
      <c r="N836" t="s">
        <v>27</v>
      </c>
      <c r="O836" t="s">
        <v>45</v>
      </c>
      <c r="P836">
        <v>82</v>
      </c>
      <c r="Q836">
        <v>76</v>
      </c>
      <c r="R836" t="str" cm="1">
        <f t="array" ref="R836">_xlfn.IFS(Q836&gt;70,"Good",Q836&lt;40,"Bad",(Q836&gt;OS874*(Q836&lt;80)),"Ok")</f>
        <v>Good</v>
      </c>
      <c r="S836">
        <v>70</v>
      </c>
      <c r="T836" t="str" cm="1">
        <f t="array" ref="T836">_xlfn.IFS(S836&gt;50, "High", S836&lt;=50, "Low")</f>
        <v>High</v>
      </c>
      <c r="U836">
        <v>16</v>
      </c>
      <c r="V836">
        <v>0</v>
      </c>
      <c r="W836">
        <v>8</v>
      </c>
      <c r="X836">
        <v>5</v>
      </c>
      <c r="Y836">
        <f t="shared" ca="1" si="13"/>
        <v>91.654543734067673</v>
      </c>
    </row>
    <row r="837" spans="1:25" x14ac:dyDescent="0.3">
      <c r="A837" t="s">
        <v>1472</v>
      </c>
      <c r="B837" t="s">
        <v>312</v>
      </c>
      <c r="C837">
        <v>1</v>
      </c>
      <c r="D837" s="1">
        <v>44722</v>
      </c>
      <c r="E837">
        <v>279</v>
      </c>
      <c r="F837">
        <v>0</v>
      </c>
      <c r="G837">
        <v>0</v>
      </c>
      <c r="H837">
        <v>18</v>
      </c>
      <c r="I837">
        <v>6</v>
      </c>
      <c r="J837">
        <v>0</v>
      </c>
      <c r="K837">
        <v>0</v>
      </c>
      <c r="L837">
        <v>79095270</v>
      </c>
      <c r="M837">
        <v>158</v>
      </c>
      <c r="N837" t="s">
        <v>81</v>
      </c>
      <c r="O837" t="s">
        <v>45</v>
      </c>
      <c r="P837">
        <v>60</v>
      </c>
      <c r="Q837">
        <v>68</v>
      </c>
      <c r="R837" t="str" cm="1">
        <f t="array" ref="R837">_xlfn.IFS(Q837&gt;70,"Good",Q837&lt;40,"Bad",(Q837&gt;OS875*(Q837&lt;80)),"Ok")</f>
        <v>Ok</v>
      </c>
      <c r="S837">
        <v>84</v>
      </c>
      <c r="T837" t="str" cm="1">
        <f t="array" ref="T837">_xlfn.IFS(S837&gt;50, "High", S837&lt;=50, "Low")</f>
        <v>High</v>
      </c>
      <c r="U837">
        <v>4</v>
      </c>
      <c r="V837">
        <v>0</v>
      </c>
      <c r="W837">
        <v>24</v>
      </c>
      <c r="X837">
        <v>11</v>
      </c>
      <c r="Y837">
        <f t="shared" ca="1" si="13"/>
        <v>59.720172866094941</v>
      </c>
    </row>
    <row r="838" spans="1:25" x14ac:dyDescent="0.3">
      <c r="A838" t="s">
        <v>1473</v>
      </c>
      <c r="B838" t="s">
        <v>77</v>
      </c>
      <c r="C838">
        <v>1</v>
      </c>
      <c r="D838" s="1">
        <v>44701</v>
      </c>
      <c r="E838">
        <v>2302</v>
      </c>
      <c r="F838">
        <v>0</v>
      </c>
      <c r="G838">
        <v>20</v>
      </c>
      <c r="H838">
        <v>3</v>
      </c>
      <c r="I838">
        <v>39</v>
      </c>
      <c r="J838">
        <v>0</v>
      </c>
      <c r="K838">
        <v>0</v>
      </c>
      <c r="L838">
        <v>273194684</v>
      </c>
      <c r="M838">
        <v>142</v>
      </c>
      <c r="N838" t="s">
        <v>302</v>
      </c>
      <c r="O838" t="s">
        <v>28</v>
      </c>
      <c r="P838">
        <v>56</v>
      </c>
      <c r="Q838">
        <v>40</v>
      </c>
      <c r="R838" t="str" cm="1">
        <f t="array" ref="R838">_xlfn.IFS(Q838&gt;70,"Good",Q838&lt;40,"Bad",(Q838&gt;OS876*(Q838&lt;80)),"Ok")</f>
        <v>Ok</v>
      </c>
      <c r="S838">
        <v>54</v>
      </c>
      <c r="T838" t="str" cm="1">
        <f t="array" ref="T838">_xlfn.IFS(S838&gt;50, "High", S838&lt;=50, "Low")</f>
        <v>High</v>
      </c>
      <c r="U838">
        <v>72</v>
      </c>
      <c r="V838">
        <v>0</v>
      </c>
      <c r="W838">
        <v>10</v>
      </c>
      <c r="X838">
        <v>4</v>
      </c>
      <c r="Y838">
        <f t="shared" ca="1" si="13"/>
        <v>28.794147483916188</v>
      </c>
    </row>
    <row r="839" spans="1:25" x14ac:dyDescent="0.3">
      <c r="A839" t="s">
        <v>565</v>
      </c>
      <c r="B839" t="s">
        <v>1474</v>
      </c>
      <c r="C839">
        <v>4</v>
      </c>
      <c r="D839" s="1">
        <v>44701</v>
      </c>
      <c r="E839">
        <v>3559</v>
      </c>
      <c r="F839">
        <v>3</v>
      </c>
      <c r="G839">
        <v>36</v>
      </c>
      <c r="H839">
        <v>1</v>
      </c>
      <c r="I839">
        <v>31</v>
      </c>
      <c r="J839">
        <v>0</v>
      </c>
      <c r="K839">
        <v>1</v>
      </c>
      <c r="L839">
        <v>333146475</v>
      </c>
      <c r="M839">
        <v>170</v>
      </c>
      <c r="N839" t="s">
        <v>37</v>
      </c>
      <c r="O839" t="s">
        <v>45</v>
      </c>
      <c r="P839">
        <v>80</v>
      </c>
      <c r="Q839">
        <v>77</v>
      </c>
      <c r="R839" t="str" cm="1">
        <f t="array" ref="R839">_xlfn.IFS(Q839&gt;70,"Good",Q839&lt;40,"Bad",(Q839&gt;OS877*(Q839&lt;80)),"Ok")</f>
        <v>Good</v>
      </c>
      <c r="S839">
        <v>85</v>
      </c>
      <c r="T839" t="str" cm="1">
        <f t="array" ref="T839">_xlfn.IFS(S839&gt;50, "High", S839&lt;=50, "Low")</f>
        <v>High</v>
      </c>
      <c r="U839">
        <v>11</v>
      </c>
      <c r="V839">
        <v>0</v>
      </c>
      <c r="W839">
        <v>17</v>
      </c>
      <c r="X839">
        <v>14</v>
      </c>
      <c r="Y839">
        <f t="shared" ca="1" si="13"/>
        <v>19.874462655765413</v>
      </c>
    </row>
    <row r="840" spans="1:25" x14ac:dyDescent="0.3">
      <c r="A840" t="s">
        <v>1475</v>
      </c>
      <c r="B840" t="s">
        <v>1476</v>
      </c>
      <c r="C840">
        <v>2</v>
      </c>
      <c r="D840" s="1">
        <v>44708</v>
      </c>
      <c r="E840">
        <v>2129</v>
      </c>
      <c r="F840">
        <v>0</v>
      </c>
      <c r="G840">
        <v>23</v>
      </c>
      <c r="H840">
        <v>1</v>
      </c>
      <c r="I840">
        <v>44</v>
      </c>
      <c r="J840">
        <v>1</v>
      </c>
      <c r="K840">
        <v>0</v>
      </c>
      <c r="L840">
        <v>194902696</v>
      </c>
      <c r="M840">
        <v>84</v>
      </c>
      <c r="N840" t="s">
        <v>34</v>
      </c>
      <c r="O840" t="s">
        <v>45</v>
      </c>
      <c r="P840">
        <v>71</v>
      </c>
      <c r="Q840">
        <v>39</v>
      </c>
      <c r="R840" t="str" cm="1">
        <f t="array" ref="R840">_xlfn.IFS(Q840&gt;70,"Good",Q840&lt;40,"Bad",(Q840&gt;OS878*(Q840&lt;80)),"Ok")</f>
        <v>Bad</v>
      </c>
      <c r="S840">
        <v>86</v>
      </c>
      <c r="T840" t="str" cm="1">
        <f t="array" ref="T840">_xlfn.IFS(S840&gt;50, "High", S840&lt;=50, "Low")</f>
        <v>High</v>
      </c>
      <c r="U840">
        <v>2</v>
      </c>
      <c r="V840">
        <v>0</v>
      </c>
      <c r="W840">
        <v>51</v>
      </c>
      <c r="X840">
        <v>25</v>
      </c>
      <c r="Y840">
        <f t="shared" ca="1" si="13"/>
        <v>8.5548113521743634</v>
      </c>
    </row>
    <row r="841" spans="1:25" x14ac:dyDescent="0.3">
      <c r="A841" t="s">
        <v>1477</v>
      </c>
      <c r="B841" t="s">
        <v>77</v>
      </c>
      <c r="C841">
        <v>1</v>
      </c>
      <c r="D841" s="1">
        <v>44701</v>
      </c>
      <c r="E841">
        <v>3291</v>
      </c>
      <c r="F841">
        <v>5</v>
      </c>
      <c r="G841">
        <v>43</v>
      </c>
      <c r="H841">
        <v>28</v>
      </c>
      <c r="I841">
        <v>79</v>
      </c>
      <c r="J841">
        <v>0</v>
      </c>
      <c r="K841">
        <v>208</v>
      </c>
      <c r="L841">
        <v>311482393</v>
      </c>
      <c r="M841">
        <v>139</v>
      </c>
      <c r="O841" t="s">
        <v>28</v>
      </c>
      <c r="P841">
        <v>58</v>
      </c>
      <c r="Q841">
        <v>30</v>
      </c>
      <c r="R841" t="str" cm="1">
        <f t="array" ref="R841">_xlfn.IFS(Q841&gt;70,"Good",Q841&lt;40,"Bad",(Q841&gt;OS879*(Q841&lt;80)),"Ok")</f>
        <v>Bad</v>
      </c>
      <c r="S841">
        <v>46</v>
      </c>
      <c r="T841" t="str" cm="1">
        <f t="array" ref="T841">_xlfn.IFS(S841&gt;50, "High", S841&lt;=50, "Low")</f>
        <v>Low</v>
      </c>
      <c r="U841">
        <v>14</v>
      </c>
      <c r="V841">
        <v>0</v>
      </c>
      <c r="W841">
        <v>9</v>
      </c>
      <c r="X841">
        <v>3</v>
      </c>
      <c r="Y841">
        <f t="shared" ca="1" si="13"/>
        <v>5.3418451132957401</v>
      </c>
    </row>
    <row r="842" spans="1:25" x14ac:dyDescent="0.3">
      <c r="A842" t="s">
        <v>265</v>
      </c>
      <c r="B842" t="s">
        <v>1478</v>
      </c>
      <c r="C842">
        <v>1</v>
      </c>
      <c r="D842" s="1">
        <v>29952</v>
      </c>
      <c r="E842">
        <v>5328</v>
      </c>
      <c r="F842">
        <v>0</v>
      </c>
      <c r="G842">
        <v>54</v>
      </c>
      <c r="H842">
        <v>76</v>
      </c>
      <c r="I842">
        <v>900</v>
      </c>
      <c r="J842">
        <v>0</v>
      </c>
      <c r="K842">
        <v>0</v>
      </c>
      <c r="L842">
        <v>195918494</v>
      </c>
      <c r="M842">
        <v>151</v>
      </c>
      <c r="N842" t="s">
        <v>94</v>
      </c>
      <c r="O842" t="s">
        <v>28</v>
      </c>
      <c r="P842">
        <v>73</v>
      </c>
      <c r="Q842">
        <v>88</v>
      </c>
      <c r="R842" t="str" cm="1">
        <f t="array" ref="R842">_xlfn.IFS(Q842&gt;70,"Good",Q842&lt;40,"Bad",(Q842&gt;OS880*(Q842&lt;80)),"Ok")</f>
        <v>Good</v>
      </c>
      <c r="S842">
        <v>67</v>
      </c>
      <c r="T842" t="str" cm="1">
        <f t="array" ref="T842">_xlfn.IFS(S842&gt;50, "High", S842&lt;=50, "Low")</f>
        <v>High</v>
      </c>
      <c r="U842">
        <v>20</v>
      </c>
      <c r="V842">
        <v>0</v>
      </c>
      <c r="W842">
        <v>32</v>
      </c>
      <c r="X842">
        <v>5</v>
      </c>
      <c r="Y842">
        <f t="shared" ca="1" si="13"/>
        <v>6.6787692853727982</v>
      </c>
    </row>
    <row r="843" spans="1:25" x14ac:dyDescent="0.3">
      <c r="A843" t="s">
        <v>1479</v>
      </c>
      <c r="B843" t="s">
        <v>1480</v>
      </c>
      <c r="C843">
        <v>2</v>
      </c>
      <c r="D843" s="1">
        <v>44720</v>
      </c>
      <c r="E843">
        <v>1401</v>
      </c>
      <c r="F843">
        <v>0</v>
      </c>
      <c r="G843">
        <v>26</v>
      </c>
      <c r="H843">
        <v>16</v>
      </c>
      <c r="I843">
        <v>17</v>
      </c>
      <c r="J843">
        <v>0</v>
      </c>
      <c r="K843">
        <v>1</v>
      </c>
      <c r="L843">
        <v>248511839</v>
      </c>
      <c r="M843">
        <v>128</v>
      </c>
      <c r="N843" t="s">
        <v>31</v>
      </c>
      <c r="O843" t="s">
        <v>45</v>
      </c>
      <c r="P843">
        <v>82</v>
      </c>
      <c r="Q843">
        <v>42</v>
      </c>
      <c r="R843" t="str" cm="1">
        <f t="array" ref="R843">_xlfn.IFS(Q843&gt;70,"Good",Q843&lt;40,"Bad",(Q843&gt;OS881*(Q843&lt;80)),"Ok")</f>
        <v>Ok</v>
      </c>
      <c r="S843">
        <v>75</v>
      </c>
      <c r="T843" t="str" cm="1">
        <f t="array" ref="T843">_xlfn.IFS(S843&gt;50, "High", S843&lt;=50, "Low")</f>
        <v>High</v>
      </c>
      <c r="U843">
        <v>6</v>
      </c>
      <c r="V843">
        <v>0</v>
      </c>
      <c r="W843">
        <v>63</v>
      </c>
      <c r="X843">
        <v>6</v>
      </c>
      <c r="Y843">
        <f t="shared" ca="1" si="13"/>
        <v>27.184684138921934</v>
      </c>
    </row>
    <row r="844" spans="1:25" x14ac:dyDescent="0.3">
      <c r="A844" t="s">
        <v>1481</v>
      </c>
      <c r="B844" t="s">
        <v>77</v>
      </c>
      <c r="C844">
        <v>1</v>
      </c>
      <c r="D844" s="1">
        <v>44701</v>
      </c>
      <c r="E844">
        <v>1933</v>
      </c>
      <c r="F844">
        <v>0</v>
      </c>
      <c r="G844">
        <v>13</v>
      </c>
      <c r="H844">
        <v>2</v>
      </c>
      <c r="I844">
        <v>31</v>
      </c>
      <c r="J844">
        <v>0</v>
      </c>
      <c r="K844">
        <v>0</v>
      </c>
      <c r="L844">
        <v>233671263</v>
      </c>
      <c r="M844">
        <v>118</v>
      </c>
      <c r="N844" t="s">
        <v>94</v>
      </c>
      <c r="O844" t="s">
        <v>28</v>
      </c>
      <c r="P844">
        <v>56</v>
      </c>
      <c r="Q844">
        <v>20</v>
      </c>
      <c r="R844" t="str" cm="1">
        <f t="array" ref="R844">_xlfn.IFS(Q844&gt;70,"Good",Q844&lt;40,"Bad",(Q844&gt;OS882*(Q844&lt;80)),"Ok")</f>
        <v>Bad</v>
      </c>
      <c r="S844">
        <v>54</v>
      </c>
      <c r="T844" t="str" cm="1">
        <f t="array" ref="T844">_xlfn.IFS(S844&gt;50, "High", S844&lt;=50, "Low")</f>
        <v>High</v>
      </c>
      <c r="U844">
        <v>67</v>
      </c>
      <c r="V844">
        <v>0</v>
      </c>
      <c r="W844">
        <v>6</v>
      </c>
      <c r="X844">
        <v>5</v>
      </c>
      <c r="Y844">
        <f t="shared" ca="1" si="13"/>
        <v>80.207581058634617</v>
      </c>
    </row>
    <row r="845" spans="1:25" x14ac:dyDescent="0.3">
      <c r="A845" t="s">
        <v>234</v>
      </c>
      <c r="B845" t="s">
        <v>77</v>
      </c>
      <c r="C845">
        <v>1</v>
      </c>
      <c r="D845" s="1">
        <v>44701</v>
      </c>
      <c r="E845">
        <v>1986</v>
      </c>
      <c r="F845">
        <v>0</v>
      </c>
      <c r="G845">
        <v>7</v>
      </c>
      <c r="H845">
        <v>1</v>
      </c>
      <c r="I845">
        <v>15</v>
      </c>
      <c r="J845">
        <v>0</v>
      </c>
      <c r="K845">
        <v>0</v>
      </c>
      <c r="L845">
        <v>199587884</v>
      </c>
      <c r="M845">
        <v>183</v>
      </c>
      <c r="N845" t="s">
        <v>34</v>
      </c>
      <c r="O845" t="s">
        <v>28</v>
      </c>
      <c r="P845">
        <v>65</v>
      </c>
      <c r="Q845">
        <v>88</v>
      </c>
      <c r="R845" t="str" cm="1">
        <f t="array" ref="R845">_xlfn.IFS(Q845&gt;70,"Good",Q845&lt;40,"Bad",(Q845&gt;OS883*(Q845&lt;80)),"Ok")</f>
        <v>Good</v>
      </c>
      <c r="S845">
        <v>72</v>
      </c>
      <c r="T845" t="str" cm="1">
        <f t="array" ref="T845">_xlfn.IFS(S845&gt;50, "High", S845&lt;=50, "Low")</f>
        <v>High</v>
      </c>
      <c r="U845">
        <v>36</v>
      </c>
      <c r="V845">
        <v>14</v>
      </c>
      <c r="W845">
        <v>20</v>
      </c>
      <c r="X845">
        <v>3</v>
      </c>
      <c r="Y845">
        <f t="shared" ca="1" si="13"/>
        <v>75.154108325345405</v>
      </c>
    </row>
    <row r="846" spans="1:25" x14ac:dyDescent="0.3">
      <c r="A846" t="s">
        <v>1482</v>
      </c>
      <c r="B846" t="s">
        <v>1483</v>
      </c>
      <c r="C846">
        <v>1</v>
      </c>
      <c r="D846" s="1">
        <v>44721</v>
      </c>
      <c r="E846">
        <v>1057</v>
      </c>
      <c r="F846">
        <v>0</v>
      </c>
      <c r="G846">
        <v>51</v>
      </c>
      <c r="H846">
        <v>14</v>
      </c>
      <c r="I846">
        <v>19</v>
      </c>
      <c r="J846">
        <v>0</v>
      </c>
      <c r="K846">
        <v>0</v>
      </c>
      <c r="L846">
        <v>91781263</v>
      </c>
      <c r="M846">
        <v>83</v>
      </c>
      <c r="N846" t="s">
        <v>302</v>
      </c>
      <c r="O846" t="s">
        <v>45</v>
      </c>
      <c r="P846">
        <v>63</v>
      </c>
      <c r="Q846">
        <v>29</v>
      </c>
      <c r="R846" t="str" cm="1">
        <f t="array" ref="R846">_xlfn.IFS(Q846&gt;70,"Good",Q846&lt;40,"Bad",(Q846&gt;OS884*(Q846&lt;80)),"Ok")</f>
        <v>Bad</v>
      </c>
      <c r="S846">
        <v>62</v>
      </c>
      <c r="T846" t="str" cm="1">
        <f t="array" ref="T846">_xlfn.IFS(S846&gt;50, "High", S846&lt;=50, "Low")</f>
        <v>High</v>
      </c>
      <c r="U846">
        <v>4</v>
      </c>
      <c r="V846">
        <v>0</v>
      </c>
      <c r="W846">
        <v>18</v>
      </c>
      <c r="X846">
        <v>4</v>
      </c>
      <c r="Y846">
        <f t="shared" ca="1" si="13"/>
        <v>1.8553924232279528</v>
      </c>
    </row>
    <row r="847" spans="1:25" x14ac:dyDescent="0.3">
      <c r="A847" t="s">
        <v>1484</v>
      </c>
      <c r="B847" t="s">
        <v>1485</v>
      </c>
      <c r="C847">
        <v>2</v>
      </c>
      <c r="D847" s="1">
        <v>44610</v>
      </c>
      <c r="E847">
        <v>5115</v>
      </c>
      <c r="F847">
        <v>13</v>
      </c>
      <c r="G847">
        <v>109</v>
      </c>
      <c r="H847">
        <v>38</v>
      </c>
      <c r="I847">
        <v>301</v>
      </c>
      <c r="J847">
        <v>1</v>
      </c>
      <c r="K847">
        <v>33</v>
      </c>
      <c r="L847">
        <v>383835984</v>
      </c>
      <c r="M847">
        <v>122</v>
      </c>
      <c r="N847" t="s">
        <v>31</v>
      </c>
      <c r="O847" t="s">
        <v>28</v>
      </c>
      <c r="P847">
        <v>85</v>
      </c>
      <c r="Q847">
        <v>42</v>
      </c>
      <c r="R847" t="str" cm="1">
        <f t="array" ref="R847">_xlfn.IFS(Q847&gt;70,"Good",Q847&lt;40,"Bad",(Q847&gt;OS885*(Q847&lt;80)),"Ok")</f>
        <v>Ok</v>
      </c>
      <c r="S847">
        <v>80</v>
      </c>
      <c r="T847" t="str" cm="1">
        <f t="array" ref="T847">_xlfn.IFS(S847&gt;50, "High", S847&lt;=50, "Low")</f>
        <v>High</v>
      </c>
      <c r="U847">
        <v>6</v>
      </c>
      <c r="V847">
        <v>0</v>
      </c>
      <c r="W847">
        <v>17</v>
      </c>
      <c r="X847">
        <v>14</v>
      </c>
      <c r="Y847">
        <f t="shared" ca="1" si="13"/>
        <v>28.460067409831048</v>
      </c>
    </row>
    <row r="848" spans="1:25" x14ac:dyDescent="0.3">
      <c r="A848" t="s">
        <v>1486</v>
      </c>
      <c r="B848" t="s">
        <v>77</v>
      </c>
      <c r="C848">
        <v>1</v>
      </c>
      <c r="D848" s="1">
        <v>44701</v>
      </c>
      <c r="E848">
        <v>2094</v>
      </c>
      <c r="F848">
        <v>1</v>
      </c>
      <c r="G848">
        <v>8</v>
      </c>
      <c r="H848">
        <v>1</v>
      </c>
      <c r="I848">
        <v>18</v>
      </c>
      <c r="J848">
        <v>0</v>
      </c>
      <c r="K848">
        <v>0</v>
      </c>
      <c r="L848">
        <v>236060709</v>
      </c>
      <c r="M848">
        <v>165</v>
      </c>
      <c r="N848" t="s">
        <v>37</v>
      </c>
      <c r="O848" t="s">
        <v>28</v>
      </c>
      <c r="P848">
        <v>72</v>
      </c>
      <c r="Q848">
        <v>90</v>
      </c>
      <c r="R848" t="str" cm="1">
        <f t="array" ref="R848">_xlfn.IFS(Q848&gt;70,"Good",Q848&lt;40,"Bad",(Q848&gt;OS886*(Q848&lt;80)),"Ok")</f>
        <v>Good</v>
      </c>
      <c r="S848">
        <v>48</v>
      </c>
      <c r="T848" t="str" cm="1">
        <f t="array" ref="T848">_xlfn.IFS(S848&gt;50, "High", S848&lt;=50, "Low")</f>
        <v>Low</v>
      </c>
      <c r="U848">
        <v>32</v>
      </c>
      <c r="V848">
        <v>0</v>
      </c>
      <c r="W848">
        <v>18</v>
      </c>
      <c r="X848">
        <v>23</v>
      </c>
      <c r="Y848">
        <f t="shared" ca="1" si="13"/>
        <v>21.256426249156167</v>
      </c>
    </row>
    <row r="849" spans="1:25" x14ac:dyDescent="0.3">
      <c r="A849" t="s">
        <v>394</v>
      </c>
      <c r="B849" t="s">
        <v>77</v>
      </c>
      <c r="C849">
        <v>1</v>
      </c>
      <c r="D849" s="1">
        <v>44701</v>
      </c>
      <c r="E849">
        <v>2171</v>
      </c>
      <c r="F849">
        <v>0</v>
      </c>
      <c r="G849">
        <v>18</v>
      </c>
      <c r="H849">
        <v>1</v>
      </c>
      <c r="I849">
        <v>28</v>
      </c>
      <c r="J849">
        <v>0</v>
      </c>
      <c r="K849">
        <v>0</v>
      </c>
      <c r="L849">
        <v>189236868</v>
      </c>
      <c r="M849">
        <v>106</v>
      </c>
      <c r="N849" t="s">
        <v>37</v>
      </c>
      <c r="O849" t="s">
        <v>45</v>
      </c>
      <c r="P849">
        <v>83</v>
      </c>
      <c r="Q849">
        <v>90</v>
      </c>
      <c r="R849" t="str" cm="1">
        <f t="array" ref="R849">_xlfn.IFS(Q849&gt;70,"Good",Q849&lt;40,"Bad",(Q849&gt;OS887*(Q849&lt;80)),"Ok")</f>
        <v>Good</v>
      </c>
      <c r="S849">
        <v>64</v>
      </c>
      <c r="T849" t="str" cm="1">
        <f t="array" ref="T849">_xlfn.IFS(S849&gt;50, "High", S849&lt;=50, "Low")</f>
        <v>High</v>
      </c>
      <c r="U849">
        <v>35</v>
      </c>
      <c r="V849">
        <v>5</v>
      </c>
      <c r="W849">
        <v>9</v>
      </c>
      <c r="X849">
        <v>4</v>
      </c>
      <c r="Y849">
        <f t="shared" ca="1" si="13"/>
        <v>85.122557615324936</v>
      </c>
    </row>
    <row r="850" spans="1:25" x14ac:dyDescent="0.3">
      <c r="A850" t="s">
        <v>1487</v>
      </c>
      <c r="B850" t="s">
        <v>1488</v>
      </c>
      <c r="C850">
        <v>2</v>
      </c>
      <c r="D850" s="1">
        <v>44706</v>
      </c>
      <c r="E850">
        <v>896</v>
      </c>
      <c r="F850">
        <v>0</v>
      </c>
      <c r="G850">
        <v>19</v>
      </c>
      <c r="H850">
        <v>0</v>
      </c>
      <c r="I850">
        <v>15</v>
      </c>
      <c r="J850">
        <v>0</v>
      </c>
      <c r="K850">
        <v>0</v>
      </c>
      <c r="L850">
        <v>160845341</v>
      </c>
      <c r="M850">
        <v>77</v>
      </c>
      <c r="N850" t="s">
        <v>27</v>
      </c>
      <c r="O850" t="s">
        <v>28</v>
      </c>
      <c r="P850">
        <v>81</v>
      </c>
      <c r="Q850">
        <v>68</v>
      </c>
      <c r="R850" t="str" cm="1">
        <f t="array" ref="R850">_xlfn.IFS(Q850&gt;70,"Good",Q850&lt;40,"Bad",(Q850&gt;OS888*(Q850&lt;80)),"Ok")</f>
        <v>Ok</v>
      </c>
      <c r="S850">
        <v>58</v>
      </c>
      <c r="T850" t="str" cm="1">
        <f t="array" ref="T850">_xlfn.IFS(S850&gt;50, "High", S850&lt;=50, "Low")</f>
        <v>High</v>
      </c>
      <c r="U850">
        <v>83</v>
      </c>
      <c r="V850">
        <v>0</v>
      </c>
      <c r="W850">
        <v>11</v>
      </c>
      <c r="X850">
        <v>34</v>
      </c>
      <c r="Y850">
        <f t="shared" ca="1" si="13"/>
        <v>78.855444459816439</v>
      </c>
    </row>
    <row r="851" spans="1:25" x14ac:dyDescent="0.3">
      <c r="A851" t="s">
        <v>1489</v>
      </c>
      <c r="B851" t="s">
        <v>1490</v>
      </c>
      <c r="C851">
        <v>1</v>
      </c>
      <c r="D851" s="1">
        <v>41640</v>
      </c>
      <c r="E851">
        <v>5148</v>
      </c>
      <c r="F851">
        <v>0</v>
      </c>
      <c r="G851">
        <v>90</v>
      </c>
      <c r="H851">
        <v>22</v>
      </c>
      <c r="I851">
        <v>365</v>
      </c>
      <c r="J851">
        <v>0</v>
      </c>
      <c r="K851">
        <v>114</v>
      </c>
      <c r="L851">
        <v>588955257</v>
      </c>
      <c r="M851">
        <v>91</v>
      </c>
      <c r="N851" t="s">
        <v>81</v>
      </c>
      <c r="O851" t="s">
        <v>28</v>
      </c>
      <c r="P851">
        <v>57</v>
      </c>
      <c r="Q851">
        <v>30</v>
      </c>
      <c r="R851" t="str" cm="1">
        <f t="array" ref="R851">_xlfn.IFS(Q851&gt;70,"Good",Q851&lt;40,"Bad",(Q851&gt;OS889*(Q851&lt;80)),"Ok")</f>
        <v>Bad</v>
      </c>
      <c r="S851">
        <v>89</v>
      </c>
      <c r="T851" t="str" cm="1">
        <f t="array" ref="T851">_xlfn.IFS(S851&gt;50, "High", S851&lt;=50, "Low")</f>
        <v>High</v>
      </c>
      <c r="U851">
        <v>10</v>
      </c>
      <c r="V851">
        <v>0</v>
      </c>
      <c r="W851">
        <v>33</v>
      </c>
      <c r="X851">
        <v>8</v>
      </c>
      <c r="Y851">
        <f t="shared" ca="1" si="13"/>
        <v>1.8996192816384427</v>
      </c>
    </row>
    <row r="852" spans="1:25" x14ac:dyDescent="0.3">
      <c r="A852" t="s">
        <v>1491</v>
      </c>
      <c r="B852" t="s">
        <v>788</v>
      </c>
      <c r="C852">
        <v>1</v>
      </c>
      <c r="D852" s="1">
        <v>44684</v>
      </c>
      <c r="E852">
        <v>2528</v>
      </c>
      <c r="F852">
        <v>0</v>
      </c>
      <c r="G852">
        <v>63</v>
      </c>
      <c r="H852">
        <v>8</v>
      </c>
      <c r="I852">
        <v>270</v>
      </c>
      <c r="J852">
        <v>2</v>
      </c>
      <c r="K852">
        <v>105</v>
      </c>
      <c r="L852">
        <v>238350348</v>
      </c>
      <c r="M852">
        <v>148</v>
      </c>
      <c r="N852" t="s">
        <v>94</v>
      </c>
      <c r="O852" t="s">
        <v>28</v>
      </c>
      <c r="P852">
        <v>51</v>
      </c>
      <c r="Q852">
        <v>21</v>
      </c>
      <c r="R852" t="str" cm="1">
        <f t="array" ref="R852">_xlfn.IFS(Q852&gt;70,"Good",Q852&lt;40,"Bad",(Q852&gt;OS890*(Q852&lt;80)),"Ok")</f>
        <v>Bad</v>
      </c>
      <c r="S852">
        <v>63</v>
      </c>
      <c r="T852" t="str" cm="1">
        <f t="array" ref="T852">_xlfn.IFS(S852&gt;50, "High", S852&lt;=50, "Low")</f>
        <v>High</v>
      </c>
      <c r="U852">
        <v>5</v>
      </c>
      <c r="V852">
        <v>0</v>
      </c>
      <c r="W852">
        <v>41</v>
      </c>
      <c r="X852">
        <v>3</v>
      </c>
      <c r="Y852">
        <f t="shared" ca="1" si="13"/>
        <v>76.236378248518463</v>
      </c>
    </row>
    <row r="853" spans="1:25" x14ac:dyDescent="0.3">
      <c r="A853" t="s">
        <v>492</v>
      </c>
      <c r="B853" t="s">
        <v>77</v>
      </c>
      <c r="C853">
        <v>1</v>
      </c>
      <c r="D853" s="1">
        <v>44701</v>
      </c>
      <c r="E853">
        <v>1900</v>
      </c>
      <c r="F853">
        <v>1</v>
      </c>
      <c r="G853">
        <v>15</v>
      </c>
      <c r="H853">
        <v>1</v>
      </c>
      <c r="I853">
        <v>23</v>
      </c>
      <c r="J853">
        <v>0</v>
      </c>
      <c r="K853">
        <v>0</v>
      </c>
      <c r="L853">
        <v>187703102</v>
      </c>
      <c r="M853">
        <v>114</v>
      </c>
      <c r="N853" t="s">
        <v>134</v>
      </c>
      <c r="O853" t="s">
        <v>45</v>
      </c>
      <c r="P853">
        <v>71</v>
      </c>
      <c r="Q853">
        <v>90</v>
      </c>
      <c r="R853" t="str" cm="1">
        <f t="array" ref="R853">_xlfn.IFS(Q853&gt;70,"Good",Q853&lt;40,"Bad",(Q853&gt;OS891*(Q853&lt;80)),"Ok")</f>
        <v>Good</v>
      </c>
      <c r="S853">
        <v>81</v>
      </c>
      <c r="T853" t="str" cm="1">
        <f t="array" ref="T853">_xlfn.IFS(S853&gt;50, "High", S853&lt;=50, "Low")</f>
        <v>High</v>
      </c>
      <c r="U853">
        <v>31</v>
      </c>
      <c r="V853">
        <v>2</v>
      </c>
      <c r="W853">
        <v>13</v>
      </c>
      <c r="X853">
        <v>3</v>
      </c>
      <c r="Y853">
        <f t="shared" ca="1" si="13"/>
        <v>2.8347467591679609</v>
      </c>
    </row>
    <row r="854" spans="1:25" x14ac:dyDescent="0.3">
      <c r="A854" t="s">
        <v>755</v>
      </c>
      <c r="B854" t="s">
        <v>1492</v>
      </c>
      <c r="C854">
        <v>2</v>
      </c>
      <c r="D854" s="1">
        <v>44722</v>
      </c>
      <c r="E854">
        <v>3879</v>
      </c>
      <c r="F854">
        <v>2</v>
      </c>
      <c r="G854">
        <v>107</v>
      </c>
      <c r="H854">
        <v>76</v>
      </c>
      <c r="I854">
        <v>86</v>
      </c>
      <c r="J854">
        <v>1</v>
      </c>
      <c r="K854">
        <v>9</v>
      </c>
      <c r="L854">
        <v>295307001</v>
      </c>
      <c r="M854">
        <v>120</v>
      </c>
      <c r="O854" t="s">
        <v>45</v>
      </c>
      <c r="P854">
        <v>91</v>
      </c>
      <c r="Q854">
        <v>63</v>
      </c>
      <c r="R854" t="str" cm="1">
        <f t="array" ref="R854">_xlfn.IFS(Q854&gt;70,"Good",Q854&lt;40,"Bad",(Q854&gt;OS892*(Q854&lt;80)),"Ok")</f>
        <v>Ok</v>
      </c>
      <c r="S854">
        <v>77</v>
      </c>
      <c r="T854" t="str" cm="1">
        <f t="array" ref="T854">_xlfn.IFS(S854&gt;50, "High", S854&lt;=50, "Low")</f>
        <v>High</v>
      </c>
      <c r="U854">
        <v>12</v>
      </c>
      <c r="V854">
        <v>1</v>
      </c>
      <c r="W854">
        <v>10</v>
      </c>
      <c r="X854">
        <v>5</v>
      </c>
      <c r="Y854">
        <f t="shared" ca="1" si="13"/>
        <v>43.024749729555381</v>
      </c>
    </row>
    <row r="855" spans="1:25" x14ac:dyDescent="0.3">
      <c r="A855" t="s">
        <v>1493</v>
      </c>
      <c r="B855" t="s">
        <v>1494</v>
      </c>
      <c r="C855">
        <v>2</v>
      </c>
      <c r="D855" s="1">
        <v>44714</v>
      </c>
      <c r="E855">
        <v>896</v>
      </c>
      <c r="F855">
        <v>0</v>
      </c>
      <c r="G855">
        <v>0</v>
      </c>
      <c r="H855">
        <v>0</v>
      </c>
      <c r="I855">
        <v>2</v>
      </c>
      <c r="J855">
        <v>0</v>
      </c>
      <c r="K855">
        <v>0</v>
      </c>
      <c r="L855">
        <v>138334433</v>
      </c>
      <c r="M855">
        <v>92</v>
      </c>
      <c r="N855" t="s">
        <v>65</v>
      </c>
      <c r="O855" t="s">
        <v>28</v>
      </c>
      <c r="P855">
        <v>83</v>
      </c>
      <c r="Q855">
        <v>56</v>
      </c>
      <c r="R855" t="str" cm="1">
        <f t="array" ref="R855">_xlfn.IFS(Q855&gt;70,"Good",Q855&lt;40,"Bad",(Q855&gt;OS893*(Q855&lt;80)),"Ok")</f>
        <v>Ok</v>
      </c>
      <c r="S855">
        <v>82</v>
      </c>
      <c r="T855" t="str" cm="1">
        <f t="array" ref="T855">_xlfn.IFS(S855&gt;50, "High", S855&lt;=50, "Low")</f>
        <v>High</v>
      </c>
      <c r="U855">
        <v>10</v>
      </c>
      <c r="V855">
        <v>0</v>
      </c>
      <c r="W855">
        <v>9</v>
      </c>
      <c r="X855">
        <v>5</v>
      </c>
      <c r="Y855">
        <f t="shared" ca="1" si="13"/>
        <v>0.56508799064195481</v>
      </c>
    </row>
    <row r="856" spans="1:25" x14ac:dyDescent="0.3">
      <c r="A856" t="s">
        <v>1495</v>
      </c>
      <c r="B856" t="s">
        <v>1496</v>
      </c>
      <c r="C856">
        <v>1</v>
      </c>
      <c r="D856" s="1">
        <v>42684</v>
      </c>
      <c r="E856">
        <v>8775</v>
      </c>
      <c r="F856">
        <v>0</v>
      </c>
      <c r="G856">
        <v>33</v>
      </c>
      <c r="H856">
        <v>60</v>
      </c>
      <c r="I856">
        <v>107</v>
      </c>
      <c r="J856">
        <v>1</v>
      </c>
      <c r="K856">
        <v>0</v>
      </c>
      <c r="L856">
        <v>445590495</v>
      </c>
      <c r="M856">
        <v>118</v>
      </c>
      <c r="N856" t="s">
        <v>34</v>
      </c>
      <c r="O856" t="s">
        <v>28</v>
      </c>
      <c r="P856">
        <v>56</v>
      </c>
      <c r="Q856">
        <v>25</v>
      </c>
      <c r="R856" t="str" cm="1">
        <f t="array" ref="R856">_xlfn.IFS(Q856&gt;70,"Good",Q856&lt;40,"Bad",(Q856&gt;OS894*(Q856&lt;80)),"Ok")</f>
        <v>Bad</v>
      </c>
      <c r="S856">
        <v>45</v>
      </c>
      <c r="T856" t="str" cm="1">
        <f t="array" ref="T856">_xlfn.IFS(S856&gt;50, "High", S856&lt;=50, "Low")</f>
        <v>Low</v>
      </c>
      <c r="U856">
        <v>1</v>
      </c>
      <c r="V856">
        <v>3</v>
      </c>
      <c r="W856">
        <v>7</v>
      </c>
      <c r="X856">
        <v>3</v>
      </c>
      <c r="Y856">
        <f t="shared" ca="1" si="13"/>
        <v>83.55501992415833</v>
      </c>
    </row>
    <row r="857" spans="1:25" x14ac:dyDescent="0.3">
      <c r="A857" t="s">
        <v>1497</v>
      </c>
      <c r="B857" t="s">
        <v>1498</v>
      </c>
      <c r="C857">
        <v>3</v>
      </c>
      <c r="D857" s="1">
        <v>44638</v>
      </c>
      <c r="E857">
        <v>5290</v>
      </c>
      <c r="F857">
        <v>0</v>
      </c>
      <c r="G857">
        <v>139</v>
      </c>
      <c r="H857">
        <v>73</v>
      </c>
      <c r="I857">
        <v>142</v>
      </c>
      <c r="J857">
        <v>0</v>
      </c>
      <c r="K857">
        <v>5</v>
      </c>
      <c r="L857">
        <v>286739476</v>
      </c>
      <c r="M857">
        <v>123</v>
      </c>
      <c r="N857" t="s">
        <v>134</v>
      </c>
      <c r="O857" t="s">
        <v>45</v>
      </c>
      <c r="P857">
        <v>60</v>
      </c>
      <c r="Q857">
        <v>46</v>
      </c>
      <c r="R857" t="str" cm="1">
        <f t="array" ref="R857">_xlfn.IFS(Q857&gt;70,"Good",Q857&lt;40,"Bad",(Q857&gt;OS895*(Q857&lt;80)),"Ok")</f>
        <v>Ok</v>
      </c>
      <c r="S857">
        <v>71</v>
      </c>
      <c r="T857" t="str" cm="1">
        <f t="array" ref="T857">_xlfn.IFS(S857&gt;50, "High", S857&lt;=50, "Low")</f>
        <v>High</v>
      </c>
      <c r="U857">
        <v>3</v>
      </c>
      <c r="V857">
        <v>0</v>
      </c>
      <c r="W857">
        <v>16</v>
      </c>
      <c r="X857">
        <v>4</v>
      </c>
      <c r="Y857">
        <f t="shared" ca="1" si="13"/>
        <v>57.93480298547501</v>
      </c>
    </row>
    <row r="858" spans="1:25" x14ac:dyDescent="0.3">
      <c r="A858" t="s">
        <v>1499</v>
      </c>
      <c r="B858" t="s">
        <v>645</v>
      </c>
      <c r="C858">
        <v>1</v>
      </c>
      <c r="D858" s="1">
        <v>43355</v>
      </c>
      <c r="E858">
        <v>10211</v>
      </c>
      <c r="F858">
        <v>0</v>
      </c>
      <c r="G858">
        <v>38</v>
      </c>
      <c r="H858">
        <v>79</v>
      </c>
      <c r="I858">
        <v>65</v>
      </c>
      <c r="J858">
        <v>0</v>
      </c>
      <c r="K858">
        <v>1</v>
      </c>
      <c r="L858">
        <v>1122364376</v>
      </c>
      <c r="M858">
        <v>89</v>
      </c>
      <c r="N858" t="s">
        <v>302</v>
      </c>
      <c r="O858" t="s">
        <v>28</v>
      </c>
      <c r="P858">
        <v>52</v>
      </c>
      <c r="Q858">
        <v>28</v>
      </c>
      <c r="R858" t="str" cm="1">
        <f t="array" ref="R858">_xlfn.IFS(Q858&gt;70,"Good",Q858&lt;40,"Bad",(Q858&gt;OS896*(Q858&lt;80)),"Ok")</f>
        <v>Bad</v>
      </c>
      <c r="S858">
        <v>48</v>
      </c>
      <c r="T858" t="str" cm="1">
        <f t="array" ref="T858">_xlfn.IFS(S858&gt;50, "High", S858&lt;=50, "Low")</f>
        <v>Low</v>
      </c>
      <c r="U858">
        <v>54</v>
      </c>
      <c r="V858">
        <v>1</v>
      </c>
      <c r="W858">
        <v>19</v>
      </c>
      <c r="X858">
        <v>3</v>
      </c>
      <c r="Y858">
        <f t="shared" ca="1" si="13"/>
        <v>46.281750647977859</v>
      </c>
    </row>
    <row r="859" spans="1:25" x14ac:dyDescent="0.3">
      <c r="A859" t="s">
        <v>1500</v>
      </c>
      <c r="B859" t="s">
        <v>1501</v>
      </c>
      <c r="C859">
        <v>1</v>
      </c>
      <c r="D859" s="1">
        <v>44714</v>
      </c>
      <c r="E859">
        <v>584</v>
      </c>
      <c r="F859">
        <v>8</v>
      </c>
      <c r="G859">
        <v>12</v>
      </c>
      <c r="H859">
        <v>1</v>
      </c>
      <c r="I859">
        <v>8</v>
      </c>
      <c r="J859">
        <v>0</v>
      </c>
      <c r="K859">
        <v>1</v>
      </c>
      <c r="L859">
        <v>157136970</v>
      </c>
      <c r="M859">
        <v>110</v>
      </c>
      <c r="N859" t="s">
        <v>34</v>
      </c>
      <c r="O859" t="s">
        <v>45</v>
      </c>
      <c r="P859">
        <v>81</v>
      </c>
      <c r="Q859">
        <v>61</v>
      </c>
      <c r="R859" t="str" cm="1">
        <f t="array" ref="R859">_xlfn.IFS(Q859&gt;70,"Good",Q859&lt;40,"Bad",(Q859&gt;OS897*(Q859&lt;80)),"Ok")</f>
        <v>Ok</v>
      </c>
      <c r="S859">
        <v>93</v>
      </c>
      <c r="T859" t="str" cm="1">
        <f t="array" ref="T859">_xlfn.IFS(S859&gt;50, "High", S859&lt;=50, "Low")</f>
        <v>High</v>
      </c>
      <c r="U859">
        <v>49</v>
      </c>
      <c r="V859">
        <v>0</v>
      </c>
      <c r="W859">
        <v>12</v>
      </c>
      <c r="X859">
        <v>11</v>
      </c>
      <c r="Y859">
        <f t="shared" ca="1" si="13"/>
        <v>17.791891889189305</v>
      </c>
    </row>
    <row r="860" spans="1:25" x14ac:dyDescent="0.3">
      <c r="A860" t="s">
        <v>1502</v>
      </c>
      <c r="B860" t="s">
        <v>77</v>
      </c>
      <c r="C860">
        <v>1</v>
      </c>
      <c r="D860" s="1">
        <v>44701</v>
      </c>
      <c r="E860">
        <v>1517</v>
      </c>
      <c r="F860">
        <v>0</v>
      </c>
      <c r="G860">
        <v>26</v>
      </c>
      <c r="H860">
        <v>2</v>
      </c>
      <c r="I860">
        <v>30</v>
      </c>
      <c r="J860">
        <v>0</v>
      </c>
      <c r="K860">
        <v>0</v>
      </c>
      <c r="L860">
        <v>137070925</v>
      </c>
      <c r="M860">
        <v>118</v>
      </c>
      <c r="O860" t="s">
        <v>28</v>
      </c>
      <c r="P860">
        <v>42</v>
      </c>
      <c r="Q860">
        <v>32</v>
      </c>
      <c r="R860" t="str" cm="1">
        <f t="array" ref="R860">_xlfn.IFS(Q860&gt;70,"Good",Q860&lt;40,"Bad",(Q860&gt;OS898*(Q860&lt;80)),"Ok")</f>
        <v>Bad</v>
      </c>
      <c r="S860">
        <v>20</v>
      </c>
      <c r="T860" t="str" cm="1">
        <f t="array" ref="T860">_xlfn.IFS(S860&gt;50, "High", S860&lt;=50, "Low")</f>
        <v>Low</v>
      </c>
      <c r="U860">
        <v>94</v>
      </c>
      <c r="V860">
        <v>0</v>
      </c>
      <c r="W860">
        <v>11</v>
      </c>
      <c r="X860">
        <v>4</v>
      </c>
      <c r="Y860">
        <f t="shared" ca="1" si="13"/>
        <v>57.178206007581231</v>
      </c>
    </row>
    <row r="861" spans="1:25" x14ac:dyDescent="0.3">
      <c r="A861">
        <v>295</v>
      </c>
      <c r="B861" t="s">
        <v>1503</v>
      </c>
      <c r="C861">
        <v>1</v>
      </c>
      <c r="D861" s="1">
        <v>44331</v>
      </c>
      <c r="E861">
        <v>246</v>
      </c>
      <c r="F861">
        <v>4</v>
      </c>
      <c r="G861">
        <v>4</v>
      </c>
      <c r="H861">
        <v>106</v>
      </c>
      <c r="I861">
        <v>0</v>
      </c>
      <c r="J861">
        <v>0</v>
      </c>
      <c r="K861">
        <v>7</v>
      </c>
      <c r="L861">
        <v>183273246</v>
      </c>
      <c r="M861">
        <v>90</v>
      </c>
      <c r="N861" t="s">
        <v>27</v>
      </c>
      <c r="O861" t="s">
        <v>45</v>
      </c>
      <c r="P861">
        <v>68</v>
      </c>
      <c r="Q861">
        <v>54</v>
      </c>
      <c r="R861" t="str" cm="1">
        <f t="array" ref="R861">_xlfn.IFS(Q861&gt;70,"Good",Q861&lt;40,"Bad",(Q861&gt;OS899*(Q861&lt;80)),"Ok")</f>
        <v>Ok</v>
      </c>
      <c r="S861">
        <v>76</v>
      </c>
      <c r="T861" t="str" cm="1">
        <f t="array" ref="T861">_xlfn.IFS(S861&gt;50, "High", S861&lt;=50, "Low")</f>
        <v>High</v>
      </c>
      <c r="U861">
        <v>21</v>
      </c>
      <c r="V861">
        <v>0</v>
      </c>
      <c r="W861">
        <v>11</v>
      </c>
      <c r="X861">
        <v>20</v>
      </c>
      <c r="Y861">
        <f t="shared" ca="1" si="13"/>
        <v>89.555895466132</v>
      </c>
    </row>
    <row r="862" spans="1:25" x14ac:dyDescent="0.3">
      <c r="A862" t="s">
        <v>1504</v>
      </c>
      <c r="B862" t="s">
        <v>1505</v>
      </c>
      <c r="C862">
        <v>1</v>
      </c>
      <c r="D862" s="1">
        <v>44694</v>
      </c>
      <c r="E862">
        <v>220</v>
      </c>
      <c r="F862">
        <v>4</v>
      </c>
      <c r="G862">
        <v>16</v>
      </c>
      <c r="H862">
        <v>5</v>
      </c>
      <c r="I862">
        <v>0</v>
      </c>
      <c r="J862">
        <v>0</v>
      </c>
      <c r="K862">
        <v>6</v>
      </c>
      <c r="L862">
        <v>184807630</v>
      </c>
      <c r="M862">
        <v>130</v>
      </c>
      <c r="O862" t="s">
        <v>28</v>
      </c>
      <c r="P862">
        <v>49</v>
      </c>
      <c r="Q862">
        <v>14</v>
      </c>
      <c r="R862" t="str" cm="1">
        <f t="array" ref="R862">_xlfn.IFS(Q862&gt;70,"Good",Q862&lt;40,"Bad",(Q862&gt;OS900*(Q862&lt;80)),"Ok")</f>
        <v>Bad</v>
      </c>
      <c r="S862">
        <v>40</v>
      </c>
      <c r="T862" t="str" cm="1">
        <f t="array" ref="T862">_xlfn.IFS(S862&gt;50, "High", S862&lt;=50, "Low")</f>
        <v>Low</v>
      </c>
      <c r="U862">
        <v>82</v>
      </c>
      <c r="V862">
        <v>0</v>
      </c>
      <c r="W862">
        <v>11</v>
      </c>
      <c r="X862">
        <v>3</v>
      </c>
      <c r="Y862">
        <f t="shared" ca="1" si="13"/>
        <v>1.9679916891066296</v>
      </c>
    </row>
    <row r="863" spans="1:25" x14ac:dyDescent="0.3">
      <c r="A863" t="s">
        <v>120</v>
      </c>
      <c r="B863" t="s">
        <v>1506</v>
      </c>
      <c r="C863">
        <v>1</v>
      </c>
      <c r="D863" s="1">
        <v>44694</v>
      </c>
      <c r="E863">
        <v>514</v>
      </c>
      <c r="F863">
        <v>0</v>
      </c>
      <c r="G863">
        <v>5</v>
      </c>
      <c r="H863">
        <v>36</v>
      </c>
      <c r="I863">
        <v>1</v>
      </c>
      <c r="J863">
        <v>0</v>
      </c>
      <c r="K863">
        <v>0</v>
      </c>
      <c r="L863">
        <v>164856284</v>
      </c>
      <c r="M863">
        <v>154</v>
      </c>
      <c r="N863" t="s">
        <v>65</v>
      </c>
      <c r="O863" t="s">
        <v>45</v>
      </c>
      <c r="P863">
        <v>70</v>
      </c>
      <c r="Q863">
        <v>97</v>
      </c>
      <c r="R863" t="str" cm="1">
        <f t="array" ref="R863">_xlfn.IFS(Q863&gt;70,"Good",Q863&lt;40,"Bad",(Q863&gt;OS901*(Q863&lt;80)),"Ok")</f>
        <v>Good</v>
      </c>
      <c r="S863">
        <v>62</v>
      </c>
      <c r="T863" t="str" cm="1">
        <f t="array" ref="T863">_xlfn.IFS(S863&gt;50, "High", S863&lt;=50, "Low")</f>
        <v>High</v>
      </c>
      <c r="U863">
        <v>47</v>
      </c>
      <c r="V863">
        <v>0</v>
      </c>
      <c r="W863">
        <v>10</v>
      </c>
      <c r="X863">
        <v>4</v>
      </c>
      <c r="Y863">
        <f t="shared" ca="1" si="13"/>
        <v>93.786041414851127</v>
      </c>
    </row>
    <row r="864" spans="1:25" x14ac:dyDescent="0.3">
      <c r="A864" t="s">
        <v>1507</v>
      </c>
      <c r="B864" t="s">
        <v>1508</v>
      </c>
      <c r="C864">
        <v>1</v>
      </c>
      <c r="D864" s="1">
        <v>31474</v>
      </c>
      <c r="E864">
        <v>6080</v>
      </c>
      <c r="F864">
        <v>0</v>
      </c>
      <c r="G864">
        <v>112</v>
      </c>
      <c r="H864">
        <v>198</v>
      </c>
      <c r="I864">
        <v>406</v>
      </c>
      <c r="J864">
        <v>1</v>
      </c>
      <c r="K864">
        <v>0</v>
      </c>
      <c r="L864">
        <v>704171068</v>
      </c>
      <c r="M864">
        <v>105</v>
      </c>
      <c r="N864" t="s">
        <v>134</v>
      </c>
      <c r="O864" t="s">
        <v>45</v>
      </c>
      <c r="P864">
        <v>54</v>
      </c>
      <c r="Q864">
        <v>59</v>
      </c>
      <c r="R864" t="str" cm="1">
        <f t="array" ref="R864">_xlfn.IFS(Q864&gt;70,"Good",Q864&lt;40,"Bad",(Q864&gt;OS902*(Q864&lt;80)),"Ok")</f>
        <v>Ok</v>
      </c>
      <c r="S864">
        <v>83</v>
      </c>
      <c r="T864" t="str" cm="1">
        <f t="array" ref="T864">_xlfn.IFS(S864&gt;50, "High", S864&lt;=50, "Low")</f>
        <v>High</v>
      </c>
      <c r="U864">
        <v>0</v>
      </c>
      <c r="V864">
        <v>44</v>
      </c>
      <c r="W864">
        <v>20</v>
      </c>
      <c r="X864">
        <v>4</v>
      </c>
      <c r="Y864">
        <f t="shared" ca="1" si="13"/>
        <v>73.555963620714138</v>
      </c>
    </row>
    <row r="865" spans="1:25" x14ac:dyDescent="0.3">
      <c r="A865" t="s">
        <v>129</v>
      </c>
      <c r="B865" t="s">
        <v>609</v>
      </c>
      <c r="C865">
        <v>1</v>
      </c>
      <c r="D865" s="1">
        <v>44733</v>
      </c>
      <c r="E865">
        <v>9724</v>
      </c>
      <c r="F865">
        <v>0</v>
      </c>
      <c r="G865">
        <v>222</v>
      </c>
      <c r="H865">
        <v>61</v>
      </c>
      <c r="I865">
        <v>259</v>
      </c>
      <c r="J865">
        <v>14</v>
      </c>
      <c r="K865">
        <v>2</v>
      </c>
      <c r="L865">
        <v>354614964</v>
      </c>
      <c r="M865">
        <v>115</v>
      </c>
      <c r="N865" t="s">
        <v>31</v>
      </c>
      <c r="O865" t="s">
        <v>45</v>
      </c>
      <c r="P865">
        <v>70</v>
      </c>
      <c r="Q865">
        <v>87</v>
      </c>
      <c r="R865" t="str" cm="1">
        <f t="array" ref="R865">_xlfn.IFS(Q865&gt;70,"Good",Q865&lt;40,"Bad",(Q865&gt;OS903*(Q865&lt;80)),"Ok")</f>
        <v>Good</v>
      </c>
      <c r="S865">
        <v>88</v>
      </c>
      <c r="T865" t="str" cm="1">
        <f t="array" ref="T865">_xlfn.IFS(S865&gt;50, "High", S865&lt;=50, "Low")</f>
        <v>High</v>
      </c>
      <c r="U865">
        <v>4</v>
      </c>
      <c r="V865">
        <v>0</v>
      </c>
      <c r="W865">
        <v>26</v>
      </c>
      <c r="X865">
        <v>8</v>
      </c>
      <c r="Y865">
        <f t="shared" ca="1" si="13"/>
        <v>74.288772065936513</v>
      </c>
    </row>
    <row r="866" spans="1:25" x14ac:dyDescent="0.3">
      <c r="A866" t="s">
        <v>1509</v>
      </c>
      <c r="B866" t="s">
        <v>1510</v>
      </c>
      <c r="C866">
        <v>5</v>
      </c>
      <c r="D866" s="1">
        <v>44728</v>
      </c>
      <c r="E866">
        <v>2341</v>
      </c>
      <c r="F866">
        <v>0</v>
      </c>
      <c r="G866">
        <v>37</v>
      </c>
      <c r="H866">
        <v>2</v>
      </c>
      <c r="I866">
        <v>38</v>
      </c>
      <c r="J866">
        <v>2</v>
      </c>
      <c r="K866">
        <v>0</v>
      </c>
      <c r="L866">
        <v>279717388</v>
      </c>
      <c r="M866">
        <v>110</v>
      </c>
      <c r="N866" t="s">
        <v>31</v>
      </c>
      <c r="O866" t="s">
        <v>28</v>
      </c>
      <c r="P866">
        <v>91</v>
      </c>
      <c r="Q866">
        <v>59</v>
      </c>
      <c r="R866" t="str" cm="1">
        <f t="array" ref="R866">_xlfn.IFS(Q866&gt;70,"Good",Q866&lt;40,"Bad",(Q866&gt;OS904*(Q866&lt;80)),"Ok")</f>
        <v>Ok</v>
      </c>
      <c r="S866">
        <v>82</v>
      </c>
      <c r="T866" t="str" cm="1">
        <f t="array" ref="T866">_xlfn.IFS(S866&gt;50, "High", S866&lt;=50, "Low")</f>
        <v>High</v>
      </c>
      <c r="U866">
        <v>8</v>
      </c>
      <c r="V866">
        <v>0</v>
      </c>
      <c r="W866">
        <v>6</v>
      </c>
      <c r="X866">
        <v>8</v>
      </c>
      <c r="Y866">
        <f t="shared" ca="1" si="13"/>
        <v>99.998199952509651</v>
      </c>
    </row>
    <row r="867" spans="1:25" x14ac:dyDescent="0.3">
      <c r="A867" t="s">
        <v>1511</v>
      </c>
      <c r="B867" t="s">
        <v>616</v>
      </c>
      <c r="C867">
        <v>1</v>
      </c>
      <c r="D867" s="1">
        <v>44729</v>
      </c>
      <c r="E867">
        <v>5263</v>
      </c>
      <c r="F867">
        <v>0</v>
      </c>
      <c r="G867">
        <v>66</v>
      </c>
      <c r="H867">
        <v>89</v>
      </c>
      <c r="I867">
        <v>61</v>
      </c>
      <c r="J867">
        <v>0</v>
      </c>
      <c r="K867">
        <v>11</v>
      </c>
      <c r="L867">
        <v>195628667</v>
      </c>
      <c r="M867">
        <v>125</v>
      </c>
      <c r="N867" t="s">
        <v>134</v>
      </c>
      <c r="O867" t="s">
        <v>45</v>
      </c>
      <c r="P867">
        <v>51</v>
      </c>
      <c r="Q867">
        <v>5</v>
      </c>
      <c r="R867" t="str" cm="1">
        <f t="array" ref="R867">_xlfn.IFS(Q867&gt;70,"Good",Q867&lt;40,"Bad",(Q867&gt;OS905*(Q867&lt;80)),"Ok")</f>
        <v>Bad</v>
      </c>
      <c r="S867">
        <v>68</v>
      </c>
      <c r="T867" t="str" cm="1">
        <f t="array" ref="T867">_xlfn.IFS(S867&gt;50, "High", S867&lt;=50, "Low")</f>
        <v>High</v>
      </c>
      <c r="U867">
        <v>12</v>
      </c>
      <c r="V867">
        <v>2</v>
      </c>
      <c r="W867">
        <v>15</v>
      </c>
      <c r="X867">
        <v>6</v>
      </c>
      <c r="Y867">
        <f t="shared" ca="1" si="13"/>
        <v>60.690278779331621</v>
      </c>
    </row>
    <row r="868" spans="1:25" x14ac:dyDescent="0.3">
      <c r="A868" t="s">
        <v>1512</v>
      </c>
      <c r="B868" t="s">
        <v>1513</v>
      </c>
      <c r="C868">
        <v>1</v>
      </c>
      <c r="D868" s="1">
        <v>44722</v>
      </c>
      <c r="E868">
        <v>2402</v>
      </c>
      <c r="F868">
        <v>0</v>
      </c>
      <c r="G868">
        <v>45</v>
      </c>
      <c r="H868">
        <v>2</v>
      </c>
      <c r="I868">
        <v>26</v>
      </c>
      <c r="J868">
        <v>0</v>
      </c>
      <c r="K868">
        <v>1</v>
      </c>
      <c r="L868">
        <v>221752937</v>
      </c>
      <c r="M868">
        <v>102</v>
      </c>
      <c r="N868" t="s">
        <v>31</v>
      </c>
      <c r="O868" t="s">
        <v>28</v>
      </c>
      <c r="P868">
        <v>73</v>
      </c>
      <c r="Q868">
        <v>62</v>
      </c>
      <c r="R868" t="str" cm="1">
        <f t="array" ref="R868">_xlfn.IFS(Q868&gt;70,"Good",Q868&lt;40,"Bad",(Q868&gt;OS906*(Q868&lt;80)),"Ok")</f>
        <v>Ok</v>
      </c>
      <c r="S868">
        <v>75</v>
      </c>
      <c r="T868" t="str" cm="1">
        <f t="array" ref="T868">_xlfn.IFS(S868&gt;50, "High", S868&lt;=50, "Low")</f>
        <v>High</v>
      </c>
      <c r="U868">
        <v>0</v>
      </c>
      <c r="V868">
        <v>0</v>
      </c>
      <c r="W868">
        <v>34</v>
      </c>
      <c r="X868">
        <v>8</v>
      </c>
      <c r="Y868">
        <f t="shared" ca="1" si="13"/>
        <v>47.042993918917141</v>
      </c>
    </row>
    <row r="869" spans="1:25" x14ac:dyDescent="0.3">
      <c r="A869" t="s">
        <v>499</v>
      </c>
      <c r="B869" t="s">
        <v>1514</v>
      </c>
      <c r="C869">
        <v>1</v>
      </c>
      <c r="D869" s="1">
        <v>44598</v>
      </c>
      <c r="E869">
        <v>795</v>
      </c>
      <c r="F869">
        <v>11</v>
      </c>
      <c r="G869">
        <v>26</v>
      </c>
      <c r="H869">
        <v>18</v>
      </c>
      <c r="I869">
        <v>15</v>
      </c>
      <c r="J869">
        <v>1</v>
      </c>
      <c r="K869">
        <v>4</v>
      </c>
      <c r="L869">
        <v>263280370</v>
      </c>
      <c r="M869">
        <v>120</v>
      </c>
      <c r="N869" t="s">
        <v>81</v>
      </c>
      <c r="O869" t="s">
        <v>45</v>
      </c>
      <c r="P869">
        <v>81</v>
      </c>
      <c r="Q869">
        <v>72</v>
      </c>
      <c r="R869" t="str" cm="1">
        <f t="array" ref="R869">_xlfn.IFS(Q869&gt;70,"Good",Q869&lt;40,"Bad",(Q869&gt;OS907*(Q869&lt;80)),"Ok")</f>
        <v>Good</v>
      </c>
      <c r="S869">
        <v>65</v>
      </c>
      <c r="T869" t="str" cm="1">
        <f t="array" ref="T869">_xlfn.IFS(S869&gt;50, "High", S869&lt;=50, "Low")</f>
        <v>High</v>
      </c>
      <c r="U869">
        <v>4</v>
      </c>
      <c r="V869">
        <v>0</v>
      </c>
      <c r="W869">
        <v>14</v>
      </c>
      <c r="X869">
        <v>4</v>
      </c>
      <c r="Y869">
        <f t="shared" ca="1" si="13"/>
        <v>96.015503626834629</v>
      </c>
    </row>
    <row r="870" spans="1:25" x14ac:dyDescent="0.3">
      <c r="A870" t="s">
        <v>1515</v>
      </c>
      <c r="B870" t="s">
        <v>1516</v>
      </c>
      <c r="C870">
        <v>1</v>
      </c>
      <c r="D870" s="1">
        <v>44736</v>
      </c>
      <c r="E870">
        <v>571</v>
      </c>
      <c r="F870">
        <v>0</v>
      </c>
      <c r="G870">
        <v>19</v>
      </c>
      <c r="H870">
        <v>21</v>
      </c>
      <c r="I870">
        <v>14</v>
      </c>
      <c r="J870">
        <v>0</v>
      </c>
      <c r="K870">
        <v>2</v>
      </c>
      <c r="L870">
        <v>213505179</v>
      </c>
      <c r="M870">
        <v>97</v>
      </c>
      <c r="N870" t="s">
        <v>61</v>
      </c>
      <c r="O870" t="s">
        <v>28</v>
      </c>
      <c r="P870">
        <v>80</v>
      </c>
      <c r="Q870">
        <v>36</v>
      </c>
      <c r="R870" t="str" cm="1">
        <f t="array" ref="R870">_xlfn.IFS(Q870&gt;70,"Good",Q870&lt;40,"Bad",(Q870&gt;OS908*(Q870&lt;80)),"Ok")</f>
        <v>Bad</v>
      </c>
      <c r="S870">
        <v>86</v>
      </c>
      <c r="T870" t="str" cm="1">
        <f t="array" ref="T870">_xlfn.IFS(S870&gt;50, "High", S870&lt;=50, "Low")</f>
        <v>High</v>
      </c>
      <c r="U870">
        <v>4</v>
      </c>
      <c r="V870">
        <v>0</v>
      </c>
      <c r="W870">
        <v>3</v>
      </c>
      <c r="X870">
        <v>5</v>
      </c>
      <c r="Y870">
        <f t="shared" ca="1" si="13"/>
        <v>71.33842816218889</v>
      </c>
    </row>
    <row r="871" spans="1:25" x14ac:dyDescent="0.3">
      <c r="A871" t="s">
        <v>1517</v>
      </c>
      <c r="B871" t="s">
        <v>1518</v>
      </c>
      <c r="C871">
        <v>2</v>
      </c>
      <c r="D871" s="1">
        <v>44644</v>
      </c>
      <c r="E871">
        <v>832</v>
      </c>
      <c r="F871">
        <v>3</v>
      </c>
      <c r="G871">
        <v>18</v>
      </c>
      <c r="H871">
        <v>124</v>
      </c>
      <c r="I871">
        <v>24</v>
      </c>
      <c r="J871">
        <v>1</v>
      </c>
      <c r="K871">
        <v>0</v>
      </c>
      <c r="L871">
        <v>130419412</v>
      </c>
      <c r="M871">
        <v>140</v>
      </c>
      <c r="N871" t="s">
        <v>34</v>
      </c>
      <c r="O871" t="s">
        <v>45</v>
      </c>
      <c r="P871">
        <v>44</v>
      </c>
      <c r="Q871">
        <v>41</v>
      </c>
      <c r="R871" t="str" cm="1">
        <f t="array" ref="R871">_xlfn.IFS(Q871&gt;70,"Good",Q871&lt;40,"Bad",(Q871&gt;OS909*(Q871&lt;80)),"Ok")</f>
        <v>Ok</v>
      </c>
      <c r="S871">
        <v>92</v>
      </c>
      <c r="T871" t="str" cm="1">
        <f t="array" ref="T871">_xlfn.IFS(S871&gt;50, "High", S871&lt;=50, "Low")</f>
        <v>High</v>
      </c>
      <c r="U871">
        <v>0</v>
      </c>
      <c r="V871">
        <v>0</v>
      </c>
      <c r="W871">
        <v>44</v>
      </c>
      <c r="X871">
        <v>7</v>
      </c>
      <c r="Y871">
        <f t="shared" ca="1" si="13"/>
        <v>87.635970493151589</v>
      </c>
    </row>
    <row r="872" spans="1:25" x14ac:dyDescent="0.3">
      <c r="A872" t="s">
        <v>1519</v>
      </c>
      <c r="B872" t="s">
        <v>1520</v>
      </c>
      <c r="C872">
        <v>1</v>
      </c>
      <c r="D872" s="1">
        <v>44743</v>
      </c>
      <c r="E872">
        <v>565</v>
      </c>
      <c r="F872">
        <v>0</v>
      </c>
      <c r="G872">
        <v>6</v>
      </c>
      <c r="H872">
        <v>52</v>
      </c>
      <c r="I872">
        <v>11</v>
      </c>
      <c r="J872">
        <v>0</v>
      </c>
      <c r="K872">
        <v>0</v>
      </c>
      <c r="L872">
        <v>155795783</v>
      </c>
      <c r="M872">
        <v>97</v>
      </c>
      <c r="N872" t="s">
        <v>61</v>
      </c>
      <c r="O872" t="s">
        <v>28</v>
      </c>
      <c r="P872">
        <v>78</v>
      </c>
      <c r="Q872">
        <v>31</v>
      </c>
      <c r="R872" t="str" cm="1">
        <f t="array" ref="R872">_xlfn.IFS(Q872&gt;70,"Good",Q872&lt;40,"Bad",(Q872&gt;OS910*(Q872&lt;80)),"Ok")</f>
        <v>Bad</v>
      </c>
      <c r="S872">
        <v>72</v>
      </c>
      <c r="T872" t="str" cm="1">
        <f t="array" ref="T872">_xlfn.IFS(S872&gt;50, "High", S872&lt;=50, "Low")</f>
        <v>High</v>
      </c>
      <c r="U872">
        <v>1</v>
      </c>
      <c r="V872">
        <v>0</v>
      </c>
      <c r="W872">
        <v>11</v>
      </c>
      <c r="X872">
        <v>4</v>
      </c>
      <c r="Y872">
        <f t="shared" ca="1" si="13"/>
        <v>35.120907172879278</v>
      </c>
    </row>
    <row r="873" spans="1:25" x14ac:dyDescent="0.3">
      <c r="A873" t="s">
        <v>1521</v>
      </c>
      <c r="B873" t="s">
        <v>1522</v>
      </c>
      <c r="C873">
        <v>1</v>
      </c>
      <c r="D873" s="1">
        <v>31778</v>
      </c>
      <c r="E873">
        <v>41231</v>
      </c>
      <c r="F873">
        <v>1</v>
      </c>
      <c r="G873">
        <v>228</v>
      </c>
      <c r="H873">
        <v>151</v>
      </c>
      <c r="I873" s="2">
        <v>6720</v>
      </c>
      <c r="J873">
        <v>3</v>
      </c>
      <c r="K873">
        <v>99</v>
      </c>
      <c r="L873">
        <v>1553497987</v>
      </c>
      <c r="M873">
        <v>125</v>
      </c>
      <c r="N873" t="s">
        <v>65</v>
      </c>
      <c r="O873" t="s">
        <v>28</v>
      </c>
      <c r="P873">
        <v>45</v>
      </c>
      <c r="Q873">
        <v>67</v>
      </c>
      <c r="R873" t="str" cm="1">
        <f t="array" ref="R873">_xlfn.IFS(Q873&gt;70,"Good",Q873&lt;40,"Bad",(Q873&gt;OS911*(Q873&lt;80)),"Ok")</f>
        <v>Ok</v>
      </c>
      <c r="S873">
        <v>90</v>
      </c>
      <c r="T873" t="str" cm="1">
        <f t="array" ref="T873">_xlfn.IFS(S873&gt;50, "High", S873&lt;=50, "Low")</f>
        <v>High</v>
      </c>
      <c r="U873">
        <v>9</v>
      </c>
      <c r="V873">
        <v>11</v>
      </c>
      <c r="W873">
        <v>10</v>
      </c>
      <c r="X873">
        <v>5</v>
      </c>
      <c r="Y873">
        <f t="shared" ca="1" si="13"/>
        <v>57.431610294127069</v>
      </c>
    </row>
    <row r="874" spans="1:25" x14ac:dyDescent="0.3">
      <c r="A874" t="s">
        <v>1523</v>
      </c>
      <c r="B874" t="s">
        <v>1524</v>
      </c>
      <c r="C874">
        <v>1</v>
      </c>
      <c r="D874" s="1">
        <v>44693</v>
      </c>
      <c r="E874">
        <v>4526</v>
      </c>
      <c r="F874">
        <v>12</v>
      </c>
      <c r="G874">
        <v>156</v>
      </c>
      <c r="H874">
        <v>275</v>
      </c>
      <c r="I874">
        <v>150</v>
      </c>
      <c r="J874">
        <v>3</v>
      </c>
      <c r="K874">
        <v>128</v>
      </c>
      <c r="L874">
        <v>293466523</v>
      </c>
      <c r="M874">
        <v>88</v>
      </c>
      <c r="N874" t="s">
        <v>302</v>
      </c>
      <c r="O874" t="s">
        <v>45</v>
      </c>
      <c r="P874">
        <v>80</v>
      </c>
      <c r="Q874">
        <v>55</v>
      </c>
      <c r="R874" t="str" cm="1">
        <f t="array" ref="R874">_xlfn.IFS(Q874&gt;70,"Good",Q874&lt;40,"Bad",(Q874&gt;OS912*(Q874&lt;80)),"Ok")</f>
        <v>Ok</v>
      </c>
      <c r="S874">
        <v>56</v>
      </c>
      <c r="T874" t="str" cm="1">
        <f t="array" ref="T874">_xlfn.IFS(S874&gt;50, "High", S874&lt;=50, "Low")</f>
        <v>High</v>
      </c>
      <c r="U874">
        <v>13</v>
      </c>
      <c r="V874">
        <v>0</v>
      </c>
      <c r="W874">
        <v>8</v>
      </c>
      <c r="X874">
        <v>9</v>
      </c>
      <c r="Y874">
        <f t="shared" ca="1" si="13"/>
        <v>29.040415656739071</v>
      </c>
    </row>
    <row r="875" spans="1:25" x14ac:dyDescent="0.3">
      <c r="A875" t="s">
        <v>497</v>
      </c>
      <c r="B875" t="s">
        <v>498</v>
      </c>
      <c r="C875">
        <v>1</v>
      </c>
      <c r="D875" s="1">
        <v>44639</v>
      </c>
      <c r="E875">
        <v>1818</v>
      </c>
      <c r="F875">
        <v>0</v>
      </c>
      <c r="G875">
        <v>3</v>
      </c>
      <c r="H875">
        <v>0</v>
      </c>
      <c r="I875">
        <v>63</v>
      </c>
      <c r="J875">
        <v>0</v>
      </c>
      <c r="K875">
        <v>353</v>
      </c>
      <c r="L875">
        <v>711366595</v>
      </c>
      <c r="M875">
        <v>170</v>
      </c>
      <c r="O875" t="s">
        <v>28</v>
      </c>
      <c r="P875">
        <v>56</v>
      </c>
      <c r="Q875">
        <v>52</v>
      </c>
      <c r="R875" t="str" cm="1">
        <f t="array" ref="R875">_xlfn.IFS(Q875&gt;70,"Good",Q875&lt;40,"Bad",(Q875&gt;OS913*(Q875&lt;80)),"Ok")</f>
        <v>Ok</v>
      </c>
      <c r="S875">
        <v>64</v>
      </c>
      <c r="T875" t="str" cm="1">
        <f t="array" ref="T875">_xlfn.IFS(S875&gt;50, "High", S875&lt;=50, "Low")</f>
        <v>High</v>
      </c>
      <c r="U875">
        <v>11</v>
      </c>
      <c r="V875">
        <v>0</v>
      </c>
      <c r="W875">
        <v>45</v>
      </c>
      <c r="X875">
        <v>7</v>
      </c>
      <c r="Y875">
        <f t="shared" ca="1" si="13"/>
        <v>63.182268924514332</v>
      </c>
    </row>
    <row r="876" spans="1:25" x14ac:dyDescent="0.3">
      <c r="A876" t="s">
        <v>1525</v>
      </c>
      <c r="B876" t="s">
        <v>616</v>
      </c>
      <c r="C876">
        <v>1</v>
      </c>
      <c r="D876" s="1">
        <v>44729</v>
      </c>
      <c r="E876">
        <v>2814</v>
      </c>
      <c r="F876">
        <v>0</v>
      </c>
      <c r="G876">
        <v>38</v>
      </c>
      <c r="H876">
        <v>105</v>
      </c>
      <c r="I876">
        <v>25</v>
      </c>
      <c r="J876">
        <v>0</v>
      </c>
      <c r="K876">
        <v>2</v>
      </c>
      <c r="L876">
        <v>191448892</v>
      </c>
      <c r="M876">
        <v>137</v>
      </c>
      <c r="N876" t="s">
        <v>181</v>
      </c>
      <c r="O876" t="s">
        <v>45</v>
      </c>
      <c r="P876">
        <v>88</v>
      </c>
      <c r="Q876">
        <v>8</v>
      </c>
      <c r="R876" t="str" cm="1">
        <f t="array" ref="R876">_xlfn.IFS(Q876&gt;70,"Good",Q876&lt;40,"Bad",(Q876&gt;OS914*(Q876&lt;80)),"Ok")</f>
        <v>Bad</v>
      </c>
      <c r="S876">
        <v>49</v>
      </c>
      <c r="T876" t="str" cm="1">
        <f t="array" ref="T876">_xlfn.IFS(S876&gt;50, "High", S876&lt;=50, "Low")</f>
        <v>Low</v>
      </c>
      <c r="U876">
        <v>9</v>
      </c>
      <c r="V876">
        <v>0</v>
      </c>
      <c r="W876">
        <v>9</v>
      </c>
      <c r="X876">
        <v>14</v>
      </c>
      <c r="Y876">
        <f t="shared" ca="1" si="13"/>
        <v>52.229960269918216</v>
      </c>
    </row>
    <row r="877" spans="1:25" x14ac:dyDescent="0.3">
      <c r="A877" t="s">
        <v>1526</v>
      </c>
      <c r="B877" t="s">
        <v>1527</v>
      </c>
      <c r="C877">
        <v>3</v>
      </c>
      <c r="D877" s="1">
        <v>44743</v>
      </c>
      <c r="E877">
        <v>1601</v>
      </c>
      <c r="F877">
        <v>0</v>
      </c>
      <c r="G877">
        <v>11</v>
      </c>
      <c r="H877">
        <v>0</v>
      </c>
      <c r="I877">
        <v>2</v>
      </c>
      <c r="J877">
        <v>0</v>
      </c>
      <c r="K877">
        <v>0</v>
      </c>
      <c r="L877">
        <v>85924992</v>
      </c>
      <c r="M877">
        <v>157</v>
      </c>
      <c r="N877" t="s">
        <v>37</v>
      </c>
      <c r="O877" t="s">
        <v>28</v>
      </c>
      <c r="P877">
        <v>88</v>
      </c>
      <c r="Q877">
        <v>52</v>
      </c>
      <c r="R877" t="str" cm="1">
        <f t="array" ref="R877">_xlfn.IFS(Q877&gt;70,"Good",Q877&lt;40,"Bad",(Q877&gt;OS915*(Q877&lt;80)),"Ok")</f>
        <v>Ok</v>
      </c>
      <c r="S877">
        <v>69</v>
      </c>
      <c r="T877" t="str" cm="1">
        <f t="array" ref="T877">_xlfn.IFS(S877&gt;50, "High", S877&lt;=50, "Low")</f>
        <v>High</v>
      </c>
      <c r="U877">
        <v>0</v>
      </c>
      <c r="V877">
        <v>0</v>
      </c>
      <c r="W877">
        <v>8</v>
      </c>
      <c r="X877">
        <v>23</v>
      </c>
      <c r="Y877">
        <f t="shared" ca="1" si="13"/>
        <v>77.748267447960842</v>
      </c>
    </row>
    <row r="878" spans="1:25" x14ac:dyDescent="0.3">
      <c r="A878" t="s">
        <v>381</v>
      </c>
      <c r="B878" t="s">
        <v>1528</v>
      </c>
      <c r="C878">
        <v>3</v>
      </c>
      <c r="D878" s="1">
        <v>44715</v>
      </c>
      <c r="E878">
        <v>894</v>
      </c>
      <c r="F878">
        <v>4</v>
      </c>
      <c r="G878">
        <v>28</v>
      </c>
      <c r="H878">
        <v>0</v>
      </c>
      <c r="I878">
        <v>54</v>
      </c>
      <c r="J878">
        <v>0</v>
      </c>
      <c r="K878">
        <v>0</v>
      </c>
      <c r="L878">
        <v>176103902</v>
      </c>
      <c r="M878">
        <v>130</v>
      </c>
      <c r="N878" t="s">
        <v>65</v>
      </c>
      <c r="O878" t="s">
        <v>28</v>
      </c>
      <c r="P878">
        <v>95</v>
      </c>
      <c r="Q878">
        <v>83</v>
      </c>
      <c r="R878" t="str" cm="1">
        <f t="array" ref="R878">_xlfn.IFS(Q878&gt;70,"Good",Q878&lt;40,"Bad",(Q878&gt;OS916*(Q878&lt;80)),"Ok")</f>
        <v>Good</v>
      </c>
      <c r="S878">
        <v>57</v>
      </c>
      <c r="T878" t="str" cm="1">
        <f t="array" ref="T878">_xlfn.IFS(S878&gt;50, "High", S878&lt;=50, "Low")</f>
        <v>High</v>
      </c>
      <c r="U878">
        <v>54</v>
      </c>
      <c r="V878">
        <v>0</v>
      </c>
      <c r="W878">
        <v>10</v>
      </c>
      <c r="X878">
        <v>25</v>
      </c>
      <c r="Y878">
        <f t="shared" ca="1" si="13"/>
        <v>35.554184193846396</v>
      </c>
    </row>
    <row r="879" spans="1:25" x14ac:dyDescent="0.3">
      <c r="A879" t="s">
        <v>248</v>
      </c>
      <c r="B879" t="s">
        <v>1529</v>
      </c>
      <c r="C879">
        <v>3</v>
      </c>
      <c r="D879" s="1">
        <v>44748</v>
      </c>
      <c r="E879">
        <v>945</v>
      </c>
      <c r="F879">
        <v>0</v>
      </c>
      <c r="G879">
        <v>49</v>
      </c>
      <c r="H879">
        <v>3</v>
      </c>
      <c r="I879">
        <v>57</v>
      </c>
      <c r="J879">
        <v>0</v>
      </c>
      <c r="K879">
        <v>0</v>
      </c>
      <c r="L879">
        <v>121189256</v>
      </c>
      <c r="M879">
        <v>90</v>
      </c>
      <c r="N879" t="s">
        <v>31</v>
      </c>
      <c r="O879" t="s">
        <v>28</v>
      </c>
      <c r="P879">
        <v>85</v>
      </c>
      <c r="Q879">
        <v>80</v>
      </c>
      <c r="R879" t="str" cm="1">
        <f t="array" ref="R879">_xlfn.IFS(Q879&gt;70,"Good",Q879&lt;40,"Bad",(Q879&gt;OS917*(Q879&lt;80)),"Ok")</f>
        <v>Good</v>
      </c>
      <c r="S879">
        <v>83</v>
      </c>
      <c r="T879" t="str" cm="1">
        <f t="array" ref="T879">_xlfn.IFS(S879&gt;50, "High", S879&lt;=50, "Low")</f>
        <v>High</v>
      </c>
      <c r="U879">
        <v>10</v>
      </c>
      <c r="V879">
        <v>0</v>
      </c>
      <c r="W879">
        <v>8</v>
      </c>
      <c r="X879">
        <v>11</v>
      </c>
      <c r="Y879">
        <f t="shared" ca="1" si="13"/>
        <v>68.336926688689132</v>
      </c>
    </row>
    <row r="880" spans="1:25" x14ac:dyDescent="0.3">
      <c r="A880" t="s">
        <v>1530</v>
      </c>
      <c r="B880" t="s">
        <v>1531</v>
      </c>
      <c r="C880">
        <v>1</v>
      </c>
      <c r="D880" s="1">
        <v>44736</v>
      </c>
      <c r="E880">
        <v>767</v>
      </c>
      <c r="F880">
        <v>0</v>
      </c>
      <c r="G880">
        <v>25</v>
      </c>
      <c r="H880">
        <v>0</v>
      </c>
      <c r="I880">
        <v>22</v>
      </c>
      <c r="J880">
        <v>0</v>
      </c>
      <c r="K880">
        <v>0</v>
      </c>
      <c r="L880">
        <v>131746175</v>
      </c>
      <c r="M880">
        <v>183</v>
      </c>
      <c r="N880" t="s">
        <v>81</v>
      </c>
      <c r="O880" t="s">
        <v>45</v>
      </c>
      <c r="P880">
        <v>44</v>
      </c>
      <c r="Q880">
        <v>44</v>
      </c>
      <c r="R880" t="str" cm="1">
        <f t="array" ref="R880">_xlfn.IFS(Q880&gt;70,"Good",Q880&lt;40,"Bad",(Q880&gt;OS918*(Q880&lt;80)),"Ok")</f>
        <v>Ok</v>
      </c>
      <c r="S880">
        <v>67</v>
      </c>
      <c r="T880" t="str" cm="1">
        <f t="array" ref="T880">_xlfn.IFS(S880&gt;50, "High", S880&lt;=50, "Low")</f>
        <v>High</v>
      </c>
      <c r="U880">
        <v>7</v>
      </c>
      <c r="V880">
        <v>0</v>
      </c>
      <c r="W880">
        <v>12</v>
      </c>
      <c r="X880">
        <v>13</v>
      </c>
      <c r="Y880">
        <f t="shared" ca="1" si="13"/>
        <v>46.14050968376845</v>
      </c>
    </row>
    <row r="881" spans="1:25" x14ac:dyDescent="0.3">
      <c r="A881" t="s">
        <v>1532</v>
      </c>
      <c r="B881" t="s">
        <v>1533</v>
      </c>
      <c r="C881">
        <v>1</v>
      </c>
      <c r="D881" s="1">
        <v>44683</v>
      </c>
      <c r="E881">
        <v>5898</v>
      </c>
      <c r="F881">
        <v>5</v>
      </c>
      <c r="G881">
        <v>129</v>
      </c>
      <c r="H881">
        <v>55</v>
      </c>
      <c r="I881">
        <v>128</v>
      </c>
      <c r="J881">
        <v>0</v>
      </c>
      <c r="K881">
        <v>101</v>
      </c>
      <c r="L881">
        <v>244790012</v>
      </c>
      <c r="M881">
        <v>128</v>
      </c>
      <c r="N881" t="s">
        <v>31</v>
      </c>
      <c r="O881" t="s">
        <v>28</v>
      </c>
      <c r="P881">
        <v>58</v>
      </c>
      <c r="Q881">
        <v>68</v>
      </c>
      <c r="R881" t="str" cm="1">
        <f t="array" ref="R881">_xlfn.IFS(Q881&gt;70,"Good",Q881&lt;40,"Bad",(Q881&gt;OS919*(Q881&lt;80)),"Ok")</f>
        <v>Ok</v>
      </c>
      <c r="S881">
        <v>91</v>
      </c>
      <c r="T881" t="str" cm="1">
        <f t="array" ref="T881">_xlfn.IFS(S881&gt;50, "High", S881&lt;=50, "Low")</f>
        <v>High</v>
      </c>
      <c r="U881">
        <v>2</v>
      </c>
      <c r="V881">
        <v>0</v>
      </c>
      <c r="W881">
        <v>27</v>
      </c>
      <c r="X881">
        <v>11</v>
      </c>
      <c r="Y881">
        <f t="shared" ca="1" si="13"/>
        <v>52.827960287178222</v>
      </c>
    </row>
    <row r="882" spans="1:25" x14ac:dyDescent="0.3">
      <c r="A882" t="s">
        <v>1534</v>
      </c>
      <c r="B882" t="s">
        <v>1535</v>
      </c>
      <c r="C882">
        <v>3</v>
      </c>
      <c r="D882" s="1">
        <v>44722</v>
      </c>
      <c r="E882">
        <v>685</v>
      </c>
      <c r="F882">
        <v>2</v>
      </c>
      <c r="G882">
        <v>17</v>
      </c>
      <c r="H882">
        <v>0</v>
      </c>
      <c r="I882">
        <v>24</v>
      </c>
      <c r="J882">
        <v>0</v>
      </c>
      <c r="K882">
        <v>30</v>
      </c>
      <c r="L882">
        <v>129314708</v>
      </c>
      <c r="M882">
        <v>130</v>
      </c>
      <c r="N882" t="s">
        <v>302</v>
      </c>
      <c r="O882" t="s">
        <v>45</v>
      </c>
      <c r="P882">
        <v>71</v>
      </c>
      <c r="Q882">
        <v>78</v>
      </c>
      <c r="R882" t="str" cm="1">
        <f t="array" ref="R882">_xlfn.IFS(Q882&gt;70,"Good",Q882&lt;40,"Bad",(Q882&gt;OS920*(Q882&lt;80)),"Ok")</f>
        <v>Good</v>
      </c>
      <c r="S882">
        <v>40</v>
      </c>
      <c r="T882" t="str" cm="1">
        <f t="array" ref="T882">_xlfn.IFS(S882&gt;50, "High", S882&lt;=50, "Low")</f>
        <v>Low</v>
      </c>
      <c r="U882">
        <v>46</v>
      </c>
      <c r="V882">
        <v>0</v>
      </c>
      <c r="W882">
        <v>7</v>
      </c>
      <c r="X882">
        <v>45</v>
      </c>
      <c r="Y882">
        <f t="shared" ca="1" si="13"/>
        <v>29.718384456179081</v>
      </c>
    </row>
    <row r="883" spans="1:25" x14ac:dyDescent="0.3">
      <c r="A883" t="s">
        <v>1536</v>
      </c>
      <c r="B883" t="s">
        <v>1537</v>
      </c>
      <c r="C883">
        <v>1</v>
      </c>
      <c r="D883" s="1">
        <v>44777</v>
      </c>
      <c r="E883">
        <v>1452</v>
      </c>
      <c r="F883">
        <v>35</v>
      </c>
      <c r="G883">
        <v>16</v>
      </c>
      <c r="H883">
        <v>15</v>
      </c>
      <c r="I883">
        <v>20</v>
      </c>
      <c r="J883">
        <v>0</v>
      </c>
      <c r="K883">
        <v>0</v>
      </c>
      <c r="L883">
        <v>331511413</v>
      </c>
      <c r="M883">
        <v>126</v>
      </c>
      <c r="N883" t="s">
        <v>31</v>
      </c>
      <c r="O883" t="s">
        <v>28</v>
      </c>
      <c r="P883">
        <v>63</v>
      </c>
      <c r="Q883">
        <v>56</v>
      </c>
      <c r="R883" t="str" cm="1">
        <f t="array" ref="R883">_xlfn.IFS(Q883&gt;70,"Good",Q883&lt;40,"Bad",(Q883&gt;OS921*(Q883&lt;80)),"Ok")</f>
        <v>Ok</v>
      </c>
      <c r="S883">
        <v>43</v>
      </c>
      <c r="T883" t="str" cm="1">
        <f t="array" ref="T883">_xlfn.IFS(S883&gt;50, "High", S883&lt;=50, "Low")</f>
        <v>Low</v>
      </c>
      <c r="U883">
        <v>24</v>
      </c>
      <c r="V883">
        <v>0</v>
      </c>
      <c r="W883">
        <v>12</v>
      </c>
      <c r="X883">
        <v>23</v>
      </c>
      <c r="Y883">
        <f t="shared" ca="1" si="13"/>
        <v>62.466937355435157</v>
      </c>
    </row>
    <row r="884" spans="1:25" x14ac:dyDescent="0.3">
      <c r="A884" t="s">
        <v>262</v>
      </c>
      <c r="B884" t="s">
        <v>1538</v>
      </c>
      <c r="C884">
        <v>3</v>
      </c>
      <c r="D884" s="1">
        <v>44778</v>
      </c>
      <c r="E884">
        <v>1456</v>
      </c>
      <c r="F884">
        <v>0</v>
      </c>
      <c r="G884">
        <v>53</v>
      </c>
      <c r="H884">
        <v>2</v>
      </c>
      <c r="I884">
        <v>33</v>
      </c>
      <c r="J884">
        <v>0</v>
      </c>
      <c r="K884">
        <v>0</v>
      </c>
      <c r="L884">
        <v>219196651</v>
      </c>
      <c r="M884">
        <v>120</v>
      </c>
      <c r="O884" t="s">
        <v>28</v>
      </c>
      <c r="P884">
        <v>77</v>
      </c>
      <c r="Q884">
        <v>94</v>
      </c>
      <c r="R884" t="str" cm="1">
        <f t="array" ref="R884">_xlfn.IFS(Q884&gt;70,"Good",Q884&lt;40,"Bad",(Q884&gt;OS922*(Q884&lt;80)),"Ok")</f>
        <v>Good</v>
      </c>
      <c r="S884">
        <v>87</v>
      </c>
      <c r="T884" t="str" cm="1">
        <f t="array" ref="T884">_xlfn.IFS(S884&gt;50, "High", S884&lt;=50, "Low")</f>
        <v>High</v>
      </c>
      <c r="U884">
        <v>2</v>
      </c>
      <c r="V884">
        <v>0</v>
      </c>
      <c r="W884">
        <v>23</v>
      </c>
      <c r="X884">
        <v>12</v>
      </c>
      <c r="Y884">
        <f t="shared" ca="1" si="13"/>
        <v>85.322505858288466</v>
      </c>
    </row>
    <row r="885" spans="1:25" x14ac:dyDescent="0.3">
      <c r="A885" t="s">
        <v>1539</v>
      </c>
      <c r="B885" t="s">
        <v>1540</v>
      </c>
      <c r="C885">
        <v>3</v>
      </c>
      <c r="D885" s="1">
        <v>44778</v>
      </c>
      <c r="E885">
        <v>2107</v>
      </c>
      <c r="F885">
        <v>0</v>
      </c>
      <c r="G885">
        <v>51</v>
      </c>
      <c r="H885">
        <v>1</v>
      </c>
      <c r="I885">
        <v>50</v>
      </c>
      <c r="J885">
        <v>0</v>
      </c>
      <c r="K885">
        <v>0</v>
      </c>
      <c r="L885">
        <v>170732845</v>
      </c>
      <c r="M885">
        <v>130</v>
      </c>
      <c r="N885" t="s">
        <v>134</v>
      </c>
      <c r="O885" t="s">
        <v>45</v>
      </c>
      <c r="P885">
        <v>72</v>
      </c>
      <c r="Q885">
        <v>18</v>
      </c>
      <c r="R885" t="str" cm="1">
        <f t="array" ref="R885">_xlfn.IFS(Q885&gt;70,"Good",Q885&lt;40,"Bad",(Q885&gt;OS923*(Q885&lt;80)),"Ok")</f>
        <v>Bad</v>
      </c>
      <c r="S885">
        <v>46</v>
      </c>
      <c r="T885" t="str" cm="1">
        <f t="array" ref="T885">_xlfn.IFS(S885&gt;50, "High", S885&lt;=50, "Low")</f>
        <v>Low</v>
      </c>
      <c r="U885">
        <v>7</v>
      </c>
      <c r="V885">
        <v>0</v>
      </c>
      <c r="W885">
        <v>28</v>
      </c>
      <c r="X885">
        <v>8</v>
      </c>
      <c r="Y885">
        <f t="shared" ca="1" si="13"/>
        <v>92.26533559348735</v>
      </c>
    </row>
    <row r="886" spans="1:25" x14ac:dyDescent="0.3">
      <c r="A886" t="s">
        <v>1541</v>
      </c>
      <c r="B886" t="s">
        <v>1542</v>
      </c>
      <c r="C886">
        <v>1</v>
      </c>
      <c r="D886" s="1">
        <v>44183</v>
      </c>
      <c r="E886">
        <v>1494</v>
      </c>
      <c r="F886">
        <v>2</v>
      </c>
      <c r="G886">
        <v>17</v>
      </c>
      <c r="H886">
        <v>12</v>
      </c>
      <c r="I886">
        <v>15</v>
      </c>
      <c r="J886">
        <v>0</v>
      </c>
      <c r="K886">
        <v>0</v>
      </c>
      <c r="L886">
        <v>273914335</v>
      </c>
      <c r="M886">
        <v>122</v>
      </c>
      <c r="O886" t="s">
        <v>28</v>
      </c>
      <c r="P886">
        <v>70</v>
      </c>
      <c r="Q886">
        <v>46</v>
      </c>
      <c r="R886" t="str" cm="1">
        <f t="array" ref="R886">_xlfn.IFS(Q886&gt;70,"Good",Q886&lt;40,"Bad",(Q886&gt;OS924*(Q886&lt;80)),"Ok")</f>
        <v>Ok</v>
      </c>
      <c r="S886">
        <v>76</v>
      </c>
      <c r="T886" t="str" cm="1">
        <f t="array" ref="T886">_xlfn.IFS(S886&gt;50, "High", S886&lt;=50, "Low")</f>
        <v>High</v>
      </c>
      <c r="U886">
        <v>30</v>
      </c>
      <c r="V886">
        <v>0</v>
      </c>
      <c r="W886">
        <v>9</v>
      </c>
      <c r="X886">
        <v>45</v>
      </c>
      <c r="Y886">
        <f t="shared" ca="1" si="13"/>
        <v>44.071043935109898</v>
      </c>
    </row>
    <row r="887" spans="1:25" x14ac:dyDescent="0.3">
      <c r="A887" t="s">
        <v>1543</v>
      </c>
      <c r="B887" t="s">
        <v>376</v>
      </c>
      <c r="C887">
        <v>1</v>
      </c>
      <c r="D887" s="1">
        <v>44778</v>
      </c>
      <c r="E887">
        <v>1379</v>
      </c>
      <c r="F887">
        <v>4</v>
      </c>
      <c r="G887">
        <v>23</v>
      </c>
      <c r="H887">
        <v>10</v>
      </c>
      <c r="I887">
        <v>18</v>
      </c>
      <c r="J887">
        <v>0</v>
      </c>
      <c r="K887">
        <v>0</v>
      </c>
      <c r="L887">
        <v>179061440</v>
      </c>
      <c r="M887">
        <v>172</v>
      </c>
      <c r="N887" t="s">
        <v>81</v>
      </c>
      <c r="O887" t="s">
        <v>45</v>
      </c>
      <c r="P887">
        <v>74</v>
      </c>
      <c r="Q887">
        <v>46</v>
      </c>
      <c r="R887" t="str" cm="1">
        <f t="array" ref="R887">_xlfn.IFS(Q887&gt;70,"Good",Q887&lt;40,"Bad",(Q887&gt;OS925*(Q887&lt;80)),"Ok")</f>
        <v>Ok</v>
      </c>
      <c r="S887">
        <v>58</v>
      </c>
      <c r="T887" t="str" cm="1">
        <f t="array" ref="T887">_xlfn.IFS(S887&gt;50, "High", S887&lt;=50, "Low")</f>
        <v>High</v>
      </c>
      <c r="U887">
        <v>15</v>
      </c>
      <c r="V887">
        <v>0</v>
      </c>
      <c r="W887">
        <v>13</v>
      </c>
      <c r="X887">
        <v>8</v>
      </c>
      <c r="Y887">
        <f t="shared" ca="1" si="13"/>
        <v>86.581844638944418</v>
      </c>
    </row>
    <row r="888" spans="1:25" x14ac:dyDescent="0.3">
      <c r="A888" t="s">
        <v>1544</v>
      </c>
      <c r="B888" t="s">
        <v>1501</v>
      </c>
      <c r="C888">
        <v>1</v>
      </c>
      <c r="D888" s="1">
        <v>44762</v>
      </c>
      <c r="E888">
        <v>625</v>
      </c>
      <c r="F888">
        <v>4</v>
      </c>
      <c r="G888">
        <v>13</v>
      </c>
      <c r="H888">
        <v>18</v>
      </c>
      <c r="I888">
        <v>12</v>
      </c>
      <c r="J888">
        <v>0</v>
      </c>
      <c r="K888">
        <v>0</v>
      </c>
      <c r="L888">
        <v>185236961</v>
      </c>
      <c r="M888">
        <v>103</v>
      </c>
      <c r="N888" t="s">
        <v>81</v>
      </c>
      <c r="O888" t="s">
        <v>28</v>
      </c>
      <c r="P888">
        <v>61</v>
      </c>
      <c r="Q888">
        <v>38</v>
      </c>
      <c r="R888" t="str" cm="1">
        <f t="array" ref="R888">_xlfn.IFS(Q888&gt;70,"Good",Q888&lt;40,"Bad",(Q888&gt;OS926*(Q888&lt;80)),"Ok")</f>
        <v>Bad</v>
      </c>
      <c r="S888">
        <v>62</v>
      </c>
      <c r="T888" t="str" cm="1">
        <f t="array" ref="T888">_xlfn.IFS(S888&gt;50, "High", S888&lt;=50, "Low")</f>
        <v>High</v>
      </c>
      <c r="U888">
        <v>14</v>
      </c>
      <c r="V888">
        <v>0</v>
      </c>
      <c r="W888">
        <v>23</v>
      </c>
      <c r="X888">
        <v>40</v>
      </c>
      <c r="Y888">
        <f t="shared" ca="1" si="13"/>
        <v>40.217077354947705</v>
      </c>
    </row>
    <row r="889" spans="1:25" x14ac:dyDescent="0.3">
      <c r="A889" t="s">
        <v>1545</v>
      </c>
      <c r="B889" t="s">
        <v>609</v>
      </c>
      <c r="C889">
        <v>1</v>
      </c>
      <c r="D889" s="1">
        <v>44771</v>
      </c>
      <c r="E889">
        <v>2688</v>
      </c>
      <c r="F889">
        <v>0</v>
      </c>
      <c r="G889">
        <v>39</v>
      </c>
      <c r="H889">
        <v>47</v>
      </c>
      <c r="I889">
        <v>36</v>
      </c>
      <c r="J889">
        <v>0</v>
      </c>
      <c r="K889">
        <v>0</v>
      </c>
      <c r="L889">
        <v>171788484</v>
      </c>
      <c r="M889">
        <v>122</v>
      </c>
      <c r="N889" t="s">
        <v>181</v>
      </c>
      <c r="O889" t="s">
        <v>45</v>
      </c>
      <c r="P889">
        <v>55</v>
      </c>
      <c r="Q889">
        <v>46</v>
      </c>
      <c r="R889" t="str" cm="1">
        <f t="array" ref="R889">_xlfn.IFS(Q889&gt;70,"Good",Q889&lt;40,"Bad",(Q889&gt;OS927*(Q889&lt;80)),"Ok")</f>
        <v>Ok</v>
      </c>
      <c r="S889">
        <v>64</v>
      </c>
      <c r="T889" t="str" cm="1">
        <f t="array" ref="T889">_xlfn.IFS(S889&gt;50, "High", S889&lt;=50, "Low")</f>
        <v>High</v>
      </c>
      <c r="U889">
        <v>0</v>
      </c>
      <c r="V889">
        <v>0</v>
      </c>
      <c r="W889">
        <v>17</v>
      </c>
      <c r="X889">
        <v>10</v>
      </c>
      <c r="Y889">
        <f t="shared" ca="1" si="13"/>
        <v>73.8343714043163</v>
      </c>
    </row>
    <row r="890" spans="1:25" x14ac:dyDescent="0.3">
      <c r="A890" t="s">
        <v>1546</v>
      </c>
      <c r="B890" t="s">
        <v>450</v>
      </c>
      <c r="C890">
        <v>1</v>
      </c>
      <c r="D890" s="1">
        <v>43721</v>
      </c>
      <c r="E890">
        <v>2668</v>
      </c>
      <c r="F890">
        <v>2</v>
      </c>
      <c r="G890">
        <v>38</v>
      </c>
      <c r="H890">
        <v>266</v>
      </c>
      <c r="I890">
        <v>78</v>
      </c>
      <c r="J890">
        <v>0</v>
      </c>
      <c r="K890">
        <v>141</v>
      </c>
      <c r="L890">
        <v>387080183</v>
      </c>
      <c r="M890">
        <v>130</v>
      </c>
      <c r="N890" t="s">
        <v>27</v>
      </c>
      <c r="O890" t="s">
        <v>28</v>
      </c>
      <c r="P890">
        <v>47</v>
      </c>
      <c r="Q890">
        <v>56</v>
      </c>
      <c r="R890" t="str" cm="1">
        <f t="array" ref="R890">_xlfn.IFS(Q890&gt;70,"Good",Q890&lt;40,"Bad",(Q890&gt;OS928*(Q890&lt;80)),"Ok")</f>
        <v>Ok</v>
      </c>
      <c r="S890">
        <v>90</v>
      </c>
      <c r="T890" t="str" cm="1">
        <f t="array" ref="T890">_xlfn.IFS(S890&gt;50, "High", S890&lt;=50, "Low")</f>
        <v>High</v>
      </c>
      <c r="U890">
        <v>0</v>
      </c>
      <c r="V890">
        <v>0</v>
      </c>
      <c r="W890">
        <v>10</v>
      </c>
      <c r="X890">
        <v>4</v>
      </c>
      <c r="Y890">
        <f t="shared" ca="1" si="13"/>
        <v>25.877582736678239</v>
      </c>
    </row>
    <row r="891" spans="1:25" x14ac:dyDescent="0.3">
      <c r="A891" t="s">
        <v>1547</v>
      </c>
      <c r="B891" t="s">
        <v>68</v>
      </c>
      <c r="C891">
        <v>1</v>
      </c>
      <c r="D891" s="1">
        <v>44774</v>
      </c>
      <c r="E891">
        <v>799</v>
      </c>
      <c r="F891">
        <v>12</v>
      </c>
      <c r="G891">
        <v>14</v>
      </c>
      <c r="H891">
        <v>141</v>
      </c>
      <c r="I891">
        <v>9</v>
      </c>
      <c r="J891">
        <v>0</v>
      </c>
      <c r="K891">
        <v>1</v>
      </c>
      <c r="L891">
        <v>264717480</v>
      </c>
      <c r="M891">
        <v>105</v>
      </c>
      <c r="N891" t="s">
        <v>181</v>
      </c>
      <c r="O891" t="s">
        <v>45</v>
      </c>
      <c r="P891">
        <v>81</v>
      </c>
      <c r="Q891">
        <v>70</v>
      </c>
      <c r="R891" t="str" cm="1">
        <f t="array" ref="R891">_xlfn.IFS(Q891&gt;70,"Good",Q891&lt;40,"Bad",(Q891&gt;OS929*(Q891&lt;80)),"Ok")</f>
        <v>Ok</v>
      </c>
      <c r="S891">
        <v>65</v>
      </c>
      <c r="T891" t="str" cm="1">
        <f t="array" ref="T891">_xlfn.IFS(S891&gt;50, "High", S891&lt;=50, "Low")</f>
        <v>High</v>
      </c>
      <c r="U891">
        <v>24</v>
      </c>
      <c r="V891">
        <v>0</v>
      </c>
      <c r="W891">
        <v>8</v>
      </c>
      <c r="X891">
        <v>4</v>
      </c>
      <c r="Y891">
        <f t="shared" ca="1" si="13"/>
        <v>63.880835801181334</v>
      </c>
    </row>
    <row r="892" spans="1:25" x14ac:dyDescent="0.3">
      <c r="A892" t="s">
        <v>513</v>
      </c>
      <c r="B892" t="s">
        <v>1548</v>
      </c>
      <c r="C892">
        <v>1</v>
      </c>
      <c r="D892" s="1">
        <v>44631</v>
      </c>
      <c r="E892">
        <v>1189</v>
      </c>
      <c r="F892">
        <v>6</v>
      </c>
      <c r="G892">
        <v>17</v>
      </c>
      <c r="H892">
        <v>10</v>
      </c>
      <c r="I892">
        <v>16</v>
      </c>
      <c r="J892">
        <v>0</v>
      </c>
      <c r="K892">
        <v>4</v>
      </c>
      <c r="L892">
        <v>244928911</v>
      </c>
      <c r="M892">
        <v>120</v>
      </c>
      <c r="N892" t="s">
        <v>34</v>
      </c>
      <c r="O892" t="s">
        <v>28</v>
      </c>
      <c r="P892">
        <v>90</v>
      </c>
      <c r="Q892">
        <v>73</v>
      </c>
      <c r="R892" t="str" cm="1">
        <f t="array" ref="R892">_xlfn.IFS(Q892&gt;70,"Good",Q892&lt;40,"Bad",(Q892&gt;OS930*(Q892&lt;80)),"Ok")</f>
        <v>Good</v>
      </c>
      <c r="S892">
        <v>51</v>
      </c>
      <c r="T892" t="str" cm="1">
        <f t="array" ref="T892">_xlfn.IFS(S892&gt;50, "High", S892&lt;=50, "Low")</f>
        <v>High</v>
      </c>
      <c r="U892">
        <v>39</v>
      </c>
      <c r="V892">
        <v>0</v>
      </c>
      <c r="W892">
        <v>9</v>
      </c>
      <c r="X892">
        <v>6</v>
      </c>
      <c r="Y892">
        <f t="shared" ca="1" si="13"/>
        <v>47.263653317743405</v>
      </c>
    </row>
    <row r="893" spans="1:25" x14ac:dyDescent="0.3">
      <c r="A893" t="s">
        <v>1549</v>
      </c>
      <c r="B893" t="s">
        <v>1550</v>
      </c>
      <c r="C893">
        <v>1</v>
      </c>
      <c r="D893" s="1">
        <v>44754</v>
      </c>
      <c r="E893">
        <v>367</v>
      </c>
      <c r="F893">
        <v>0</v>
      </c>
      <c r="G893">
        <v>28</v>
      </c>
      <c r="H893">
        <v>67</v>
      </c>
      <c r="I893">
        <v>195</v>
      </c>
      <c r="J893">
        <v>0</v>
      </c>
      <c r="K893">
        <v>0</v>
      </c>
      <c r="L893">
        <v>97610446</v>
      </c>
      <c r="M893">
        <v>145</v>
      </c>
      <c r="N893" t="s">
        <v>94</v>
      </c>
      <c r="O893" t="s">
        <v>28</v>
      </c>
      <c r="P893">
        <v>56</v>
      </c>
      <c r="Q893">
        <v>43</v>
      </c>
      <c r="R893" t="str" cm="1">
        <f t="array" ref="R893">_xlfn.IFS(Q893&gt;70,"Good",Q893&lt;40,"Bad",(Q893&gt;OS931*(Q893&lt;80)),"Ok")</f>
        <v>Ok</v>
      </c>
      <c r="S893">
        <v>53</v>
      </c>
      <c r="T893" t="str" cm="1">
        <f t="array" ref="T893">_xlfn.IFS(S893&gt;50, "High", S893&lt;=50, "Low")</f>
        <v>High</v>
      </c>
      <c r="U893">
        <v>24</v>
      </c>
      <c r="V893">
        <v>0</v>
      </c>
      <c r="W893">
        <v>12</v>
      </c>
      <c r="X893">
        <v>4</v>
      </c>
      <c r="Y893">
        <f t="shared" ca="1" si="13"/>
        <v>97.509067124665734</v>
      </c>
    </row>
    <row r="894" spans="1:25" x14ac:dyDescent="0.3">
      <c r="A894" t="s">
        <v>1551</v>
      </c>
      <c r="B894" t="s">
        <v>1552</v>
      </c>
      <c r="C894">
        <v>2</v>
      </c>
      <c r="D894" s="1">
        <v>44764</v>
      </c>
      <c r="E894">
        <v>527</v>
      </c>
      <c r="F894">
        <v>4</v>
      </c>
      <c r="G894">
        <v>10</v>
      </c>
      <c r="H894">
        <v>43</v>
      </c>
      <c r="I894">
        <v>3</v>
      </c>
      <c r="J894">
        <v>1</v>
      </c>
      <c r="K894">
        <v>0</v>
      </c>
      <c r="L894">
        <v>287278853</v>
      </c>
      <c r="M894">
        <v>99</v>
      </c>
      <c r="N894" t="s">
        <v>94</v>
      </c>
      <c r="O894" t="s">
        <v>45</v>
      </c>
      <c r="P894">
        <v>79</v>
      </c>
      <c r="Q894">
        <v>64</v>
      </c>
      <c r="R894" t="str" cm="1">
        <f t="array" ref="R894">_xlfn.IFS(Q894&gt;70,"Good",Q894&lt;40,"Bad",(Q894&gt;OS932*(Q894&lt;80)),"Ok")</f>
        <v>Ok</v>
      </c>
      <c r="S894">
        <v>59</v>
      </c>
      <c r="T894" t="str" cm="1">
        <f t="array" ref="T894">_xlfn.IFS(S894&gt;50, "High", S894&lt;=50, "Low")</f>
        <v>High</v>
      </c>
      <c r="U894">
        <v>28</v>
      </c>
      <c r="V894">
        <v>0</v>
      </c>
      <c r="W894">
        <v>11</v>
      </c>
      <c r="X894">
        <v>14</v>
      </c>
      <c r="Y894">
        <f t="shared" ca="1" si="13"/>
        <v>26.254709615392269</v>
      </c>
    </row>
    <row r="895" spans="1:25" x14ac:dyDescent="0.3">
      <c r="A895" t="s">
        <v>1553</v>
      </c>
      <c r="B895" t="s">
        <v>1129</v>
      </c>
      <c r="C895">
        <v>1</v>
      </c>
      <c r="D895" s="1">
        <v>39448</v>
      </c>
      <c r="E895">
        <v>17504</v>
      </c>
      <c r="F895">
        <v>34</v>
      </c>
      <c r="G895">
        <v>63</v>
      </c>
      <c r="H895">
        <v>39</v>
      </c>
      <c r="I895" s="2">
        <v>1315</v>
      </c>
      <c r="J895">
        <v>0</v>
      </c>
      <c r="K895">
        <v>2</v>
      </c>
      <c r="L895">
        <v>887906111</v>
      </c>
      <c r="M895">
        <v>88</v>
      </c>
      <c r="N895" t="s">
        <v>181</v>
      </c>
      <c r="O895" t="s">
        <v>45</v>
      </c>
      <c r="P895">
        <v>79</v>
      </c>
      <c r="Q895">
        <v>66</v>
      </c>
      <c r="R895" t="str" cm="1">
        <f t="array" ref="R895">_xlfn.IFS(Q895&gt;70,"Good",Q895&lt;40,"Bad",(Q895&gt;OS933*(Q895&lt;80)),"Ok")</f>
        <v>Ok</v>
      </c>
      <c r="S895">
        <v>65</v>
      </c>
      <c r="T895" t="str" cm="1">
        <f t="array" ref="T895">_xlfn.IFS(S895&gt;50, "High", S895&lt;=50, "Low")</f>
        <v>High</v>
      </c>
      <c r="U895">
        <v>5</v>
      </c>
      <c r="V895">
        <v>0</v>
      </c>
      <c r="W895">
        <v>25</v>
      </c>
      <c r="X895">
        <v>14</v>
      </c>
      <c r="Y895">
        <f t="shared" ca="1" si="13"/>
        <v>34.297841691348637</v>
      </c>
    </row>
    <row r="896" spans="1:25" x14ac:dyDescent="0.3">
      <c r="A896" t="s">
        <v>114</v>
      </c>
      <c r="B896" t="s">
        <v>1554</v>
      </c>
      <c r="C896">
        <v>4</v>
      </c>
      <c r="D896" s="1">
        <v>44757</v>
      </c>
      <c r="E896">
        <v>3113</v>
      </c>
      <c r="F896">
        <v>0</v>
      </c>
      <c r="G896">
        <v>54</v>
      </c>
      <c r="H896">
        <v>6</v>
      </c>
      <c r="I896">
        <v>124</v>
      </c>
      <c r="J896">
        <v>1</v>
      </c>
      <c r="K896">
        <v>0</v>
      </c>
      <c r="L896">
        <v>123473120</v>
      </c>
      <c r="M896">
        <v>126</v>
      </c>
      <c r="N896" t="s">
        <v>37</v>
      </c>
      <c r="O896" t="s">
        <v>28</v>
      </c>
      <c r="P896">
        <v>81</v>
      </c>
      <c r="Q896">
        <v>90</v>
      </c>
      <c r="R896" t="str" cm="1">
        <f t="array" ref="R896">_xlfn.IFS(Q896&gt;70,"Good",Q896&lt;40,"Bad",(Q896&gt;OS934*(Q896&lt;80)),"Ok")</f>
        <v>Good</v>
      </c>
      <c r="S896">
        <v>73</v>
      </c>
      <c r="T896" t="str" cm="1">
        <f t="array" ref="T896">_xlfn.IFS(S896&gt;50, "High", S896&lt;=50, "Low")</f>
        <v>High</v>
      </c>
      <c r="U896">
        <v>28</v>
      </c>
      <c r="V896">
        <v>0</v>
      </c>
      <c r="W896">
        <v>29</v>
      </c>
      <c r="X896">
        <v>4</v>
      </c>
      <c r="Y896">
        <f t="shared" ca="1" si="13"/>
        <v>90.520007121446639</v>
      </c>
    </row>
    <row r="897" spans="1:25" x14ac:dyDescent="0.3">
      <c r="A897" t="s">
        <v>475</v>
      </c>
      <c r="B897" t="s">
        <v>1555</v>
      </c>
      <c r="C897">
        <v>2</v>
      </c>
      <c r="D897" s="1">
        <v>44788</v>
      </c>
      <c r="E897">
        <v>685</v>
      </c>
      <c r="F897">
        <v>5</v>
      </c>
      <c r="G897">
        <v>15</v>
      </c>
      <c r="H897">
        <v>79</v>
      </c>
      <c r="I897">
        <v>4</v>
      </c>
      <c r="J897">
        <v>2</v>
      </c>
      <c r="K897">
        <v>0</v>
      </c>
      <c r="L897">
        <v>295152154</v>
      </c>
      <c r="M897">
        <v>136</v>
      </c>
      <c r="O897" t="s">
        <v>28</v>
      </c>
      <c r="P897">
        <v>77</v>
      </c>
      <c r="Q897">
        <v>71</v>
      </c>
      <c r="R897" t="str" cm="1">
        <f t="array" ref="R897">_xlfn.IFS(Q897&gt;70,"Good",Q897&lt;40,"Bad",(Q897&gt;OS935*(Q897&lt;80)),"Ok")</f>
        <v>Good</v>
      </c>
      <c r="S897">
        <v>75</v>
      </c>
      <c r="T897" t="str" cm="1">
        <f t="array" ref="T897">_xlfn.IFS(S897&gt;50, "High", S897&lt;=50, "Low")</f>
        <v>High</v>
      </c>
      <c r="U897">
        <v>33</v>
      </c>
      <c r="V897">
        <v>1</v>
      </c>
      <c r="W897">
        <v>13</v>
      </c>
      <c r="X897">
        <v>4</v>
      </c>
      <c r="Y897">
        <f t="shared" ca="1" si="13"/>
        <v>24.982158744508155</v>
      </c>
    </row>
    <row r="898" spans="1:25" x14ac:dyDescent="0.3">
      <c r="A898" t="s">
        <v>384</v>
      </c>
      <c r="B898" t="s">
        <v>1556</v>
      </c>
      <c r="C898">
        <v>2</v>
      </c>
      <c r="D898" s="1">
        <v>44610</v>
      </c>
      <c r="E898">
        <v>782</v>
      </c>
      <c r="F898">
        <v>9</v>
      </c>
      <c r="G898">
        <v>15</v>
      </c>
      <c r="H898">
        <v>33</v>
      </c>
      <c r="I898">
        <v>6</v>
      </c>
      <c r="J898">
        <v>1</v>
      </c>
      <c r="K898">
        <v>0</v>
      </c>
      <c r="L898">
        <v>323455692</v>
      </c>
      <c r="M898">
        <v>113</v>
      </c>
      <c r="N898" t="s">
        <v>81</v>
      </c>
      <c r="O898" t="s">
        <v>28</v>
      </c>
      <c r="P898">
        <v>70</v>
      </c>
      <c r="Q898">
        <v>97</v>
      </c>
      <c r="R898" t="str" cm="1">
        <f t="array" ref="R898">_xlfn.IFS(Q898&gt;70,"Good",Q898&lt;40,"Bad",(Q898&gt;OS936*(Q898&lt;80)),"Ok")</f>
        <v>Good</v>
      </c>
      <c r="S898">
        <v>59</v>
      </c>
      <c r="T898" t="str" cm="1">
        <f t="array" ref="T898">_xlfn.IFS(S898&gt;50, "High", S898&lt;=50, "Low")</f>
        <v>High</v>
      </c>
      <c r="U898">
        <v>55</v>
      </c>
      <c r="V898">
        <v>0</v>
      </c>
      <c r="W898">
        <v>27</v>
      </c>
      <c r="X898">
        <v>12</v>
      </c>
      <c r="Y898">
        <f t="shared" ref="Y898:Y954" ca="1" si="14">RAND()*100</f>
        <v>20.872231128913977</v>
      </c>
    </row>
    <row r="899" spans="1:25" x14ac:dyDescent="0.3">
      <c r="A899" t="s">
        <v>1557</v>
      </c>
      <c r="B899" t="s">
        <v>1558</v>
      </c>
      <c r="C899">
        <v>3</v>
      </c>
      <c r="D899" s="1">
        <v>44728</v>
      </c>
      <c r="E899">
        <v>2442</v>
      </c>
      <c r="F899">
        <v>0</v>
      </c>
      <c r="G899">
        <v>81</v>
      </c>
      <c r="H899">
        <v>4</v>
      </c>
      <c r="I899">
        <v>248</v>
      </c>
      <c r="J899">
        <v>1</v>
      </c>
      <c r="K899">
        <v>6</v>
      </c>
      <c r="L899">
        <v>240918092</v>
      </c>
      <c r="M899">
        <v>132</v>
      </c>
      <c r="N899" t="s">
        <v>27</v>
      </c>
      <c r="O899" t="s">
        <v>28</v>
      </c>
      <c r="P899">
        <v>82</v>
      </c>
      <c r="Q899">
        <v>49</v>
      </c>
      <c r="R899" t="str" cm="1">
        <f t="array" ref="R899">_xlfn.IFS(Q899&gt;70,"Good",Q899&lt;40,"Bad",(Q899&gt;OS937*(Q899&lt;80)),"Ok")</f>
        <v>Ok</v>
      </c>
      <c r="S899">
        <v>88</v>
      </c>
      <c r="T899" t="str" cm="1">
        <f t="array" ref="T899">_xlfn.IFS(S899&gt;50, "High", S899&lt;=50, "Low")</f>
        <v>High</v>
      </c>
      <c r="U899">
        <v>20</v>
      </c>
      <c r="V899">
        <v>0</v>
      </c>
      <c r="W899">
        <v>21</v>
      </c>
      <c r="X899">
        <v>3</v>
      </c>
      <c r="Y899">
        <f t="shared" ca="1" si="14"/>
        <v>25.221070886148723</v>
      </c>
    </row>
    <row r="900" spans="1:25" x14ac:dyDescent="0.3">
      <c r="A900" t="s">
        <v>371</v>
      </c>
      <c r="B900" t="s">
        <v>1559</v>
      </c>
      <c r="C900">
        <v>3</v>
      </c>
      <c r="D900" s="1">
        <v>44701</v>
      </c>
      <c r="E900">
        <v>1112</v>
      </c>
      <c r="F900">
        <v>4</v>
      </c>
      <c r="G900">
        <v>22</v>
      </c>
      <c r="H900">
        <v>2</v>
      </c>
      <c r="I900">
        <v>65</v>
      </c>
      <c r="J900">
        <v>1</v>
      </c>
      <c r="K900">
        <v>3</v>
      </c>
      <c r="L900">
        <v>191873381</v>
      </c>
      <c r="M900">
        <v>135</v>
      </c>
      <c r="N900" t="s">
        <v>81</v>
      </c>
      <c r="O900" t="s">
        <v>28</v>
      </c>
      <c r="P900">
        <v>77</v>
      </c>
      <c r="Q900">
        <v>74</v>
      </c>
      <c r="R900" t="str" cm="1">
        <f t="array" ref="R900">_xlfn.IFS(Q900&gt;70,"Good",Q900&lt;40,"Bad",(Q900&gt;OS938*(Q900&lt;80)),"Ok")</f>
        <v>Good</v>
      </c>
      <c r="S900">
        <v>74</v>
      </c>
      <c r="T900" t="str" cm="1">
        <f t="array" ref="T900">_xlfn.IFS(S900&gt;50, "High", S900&lt;=50, "Low")</f>
        <v>High</v>
      </c>
      <c r="U900">
        <v>47</v>
      </c>
      <c r="V900">
        <v>0</v>
      </c>
      <c r="W900">
        <v>34</v>
      </c>
      <c r="X900">
        <v>8</v>
      </c>
      <c r="Y900">
        <f t="shared" ca="1" si="14"/>
        <v>51.681170570991966</v>
      </c>
    </row>
    <row r="901" spans="1:25" x14ac:dyDescent="0.3">
      <c r="A901" t="s">
        <v>1560</v>
      </c>
      <c r="B901" t="s">
        <v>1561</v>
      </c>
      <c r="C901">
        <v>2</v>
      </c>
      <c r="D901" s="1">
        <v>43049</v>
      </c>
      <c r="E901">
        <v>4967</v>
      </c>
      <c r="F901">
        <v>0</v>
      </c>
      <c r="G901">
        <v>165</v>
      </c>
      <c r="H901">
        <v>10</v>
      </c>
      <c r="I901">
        <v>177</v>
      </c>
      <c r="J901">
        <v>4</v>
      </c>
      <c r="K901">
        <v>73</v>
      </c>
      <c r="L901">
        <v>284216603</v>
      </c>
      <c r="M901">
        <v>126</v>
      </c>
      <c r="O901" t="s">
        <v>28</v>
      </c>
      <c r="P901">
        <v>67</v>
      </c>
      <c r="Q901">
        <v>49</v>
      </c>
      <c r="R901" t="str" cm="1">
        <f t="array" ref="R901">_xlfn.IFS(Q901&gt;70,"Good",Q901&lt;40,"Bad",(Q901&gt;OS939*(Q901&lt;80)),"Ok")</f>
        <v>Ok</v>
      </c>
      <c r="S901">
        <v>77</v>
      </c>
      <c r="T901" t="str" cm="1">
        <f t="array" ref="T901">_xlfn.IFS(S901&gt;50, "High", S901&lt;=50, "Low")</f>
        <v>High</v>
      </c>
      <c r="U901">
        <v>11</v>
      </c>
      <c r="V901">
        <v>0</v>
      </c>
      <c r="W901">
        <v>19</v>
      </c>
      <c r="X901">
        <v>11</v>
      </c>
      <c r="Y901">
        <f t="shared" ca="1" si="14"/>
        <v>11.837850345662348</v>
      </c>
    </row>
    <row r="902" spans="1:25" x14ac:dyDescent="0.3">
      <c r="A902" t="s">
        <v>519</v>
      </c>
      <c r="B902" t="s">
        <v>276</v>
      </c>
      <c r="C902">
        <v>1</v>
      </c>
      <c r="D902" s="1">
        <v>44813</v>
      </c>
      <c r="E902">
        <v>2520</v>
      </c>
      <c r="F902">
        <v>4</v>
      </c>
      <c r="G902">
        <v>93</v>
      </c>
      <c r="H902">
        <v>95</v>
      </c>
      <c r="I902">
        <v>84</v>
      </c>
      <c r="J902">
        <v>9</v>
      </c>
      <c r="K902">
        <v>202</v>
      </c>
      <c r="L902">
        <v>239411309</v>
      </c>
      <c r="M902">
        <v>102</v>
      </c>
      <c r="N902" t="s">
        <v>31</v>
      </c>
      <c r="O902" t="s">
        <v>45</v>
      </c>
      <c r="P902">
        <v>67</v>
      </c>
      <c r="Q902">
        <v>72</v>
      </c>
      <c r="R902" t="str" cm="1">
        <f t="array" ref="R902">_xlfn.IFS(Q902&gt;70,"Good",Q902&lt;40,"Bad",(Q902&gt;OS940*(Q902&lt;80)),"Ok")</f>
        <v>Good</v>
      </c>
      <c r="S902">
        <v>74</v>
      </c>
      <c r="T902" t="str" cm="1">
        <f t="array" ref="T902">_xlfn.IFS(S902&gt;50, "High", S902&lt;=50, "Low")</f>
        <v>High</v>
      </c>
      <c r="U902">
        <v>30</v>
      </c>
      <c r="V902">
        <v>0</v>
      </c>
      <c r="W902">
        <v>36</v>
      </c>
      <c r="X902">
        <v>4</v>
      </c>
      <c r="Y902">
        <f t="shared" ca="1" si="14"/>
        <v>20.838891180119891</v>
      </c>
    </row>
    <row r="903" spans="1:25" x14ac:dyDescent="0.3">
      <c r="A903" t="s">
        <v>542</v>
      </c>
      <c r="B903" t="s">
        <v>662</v>
      </c>
      <c r="C903">
        <v>1</v>
      </c>
      <c r="D903" s="1">
        <v>44795</v>
      </c>
      <c r="E903">
        <v>767</v>
      </c>
      <c r="F903">
        <v>12</v>
      </c>
      <c r="G903">
        <v>20</v>
      </c>
      <c r="H903">
        <v>129</v>
      </c>
      <c r="I903">
        <v>11</v>
      </c>
      <c r="J903">
        <v>0</v>
      </c>
      <c r="K903">
        <v>12</v>
      </c>
      <c r="L903">
        <v>265548837</v>
      </c>
      <c r="M903">
        <v>125</v>
      </c>
      <c r="O903" t="s">
        <v>28</v>
      </c>
      <c r="P903">
        <v>68</v>
      </c>
      <c r="Q903">
        <v>80</v>
      </c>
      <c r="R903" t="str" cm="1">
        <f t="array" ref="R903">_xlfn.IFS(Q903&gt;70,"Good",Q903&lt;40,"Bad",(Q903&gt;OS941*(Q903&lt;80)),"Ok")</f>
        <v>Good</v>
      </c>
      <c r="S903">
        <v>92</v>
      </c>
      <c r="T903" t="str" cm="1">
        <f t="array" ref="T903">_xlfn.IFS(S903&gt;50, "High", S903&lt;=50, "Low")</f>
        <v>High</v>
      </c>
      <c r="U903">
        <v>10</v>
      </c>
      <c r="V903">
        <v>0</v>
      </c>
      <c r="W903">
        <v>9</v>
      </c>
      <c r="X903">
        <v>12</v>
      </c>
      <c r="Y903">
        <f t="shared" ca="1" si="14"/>
        <v>40.919325759871569</v>
      </c>
    </row>
    <row r="904" spans="1:25" x14ac:dyDescent="0.3">
      <c r="A904" t="s">
        <v>1562</v>
      </c>
      <c r="B904" t="s">
        <v>1129</v>
      </c>
      <c r="C904">
        <v>1</v>
      </c>
      <c r="D904" s="1">
        <v>41275</v>
      </c>
      <c r="E904">
        <v>19806</v>
      </c>
      <c r="F904">
        <v>7</v>
      </c>
      <c r="G904">
        <v>33</v>
      </c>
      <c r="H904">
        <v>11</v>
      </c>
      <c r="I904">
        <v>274</v>
      </c>
      <c r="J904">
        <v>0</v>
      </c>
      <c r="K904">
        <v>0</v>
      </c>
      <c r="L904">
        <v>703301727</v>
      </c>
      <c r="M904">
        <v>149</v>
      </c>
      <c r="N904" t="s">
        <v>31</v>
      </c>
      <c r="O904" t="s">
        <v>28</v>
      </c>
      <c r="P904">
        <v>37</v>
      </c>
      <c r="Q904">
        <v>28</v>
      </c>
      <c r="R904" t="str" cm="1">
        <f t="array" ref="R904">_xlfn.IFS(Q904&gt;70,"Good",Q904&lt;40,"Bad",(Q904&gt;OS942*(Q904&lt;80)),"Ok")</f>
        <v>Bad</v>
      </c>
      <c r="S904">
        <v>66</v>
      </c>
      <c r="T904" t="str" cm="1">
        <f t="array" ref="T904">_xlfn.IFS(S904&gt;50, "High", S904&lt;=50, "Low")</f>
        <v>High</v>
      </c>
      <c r="U904">
        <v>14</v>
      </c>
      <c r="V904">
        <v>0</v>
      </c>
      <c r="W904">
        <v>9</v>
      </c>
      <c r="X904">
        <v>5</v>
      </c>
      <c r="Y904">
        <f t="shared" ca="1" si="14"/>
        <v>39.432983147182796</v>
      </c>
    </row>
    <row r="905" spans="1:25" x14ac:dyDescent="0.3">
      <c r="A905" t="s">
        <v>403</v>
      </c>
      <c r="B905" t="s">
        <v>1563</v>
      </c>
      <c r="C905">
        <v>2</v>
      </c>
      <c r="D905" s="1">
        <v>44727</v>
      </c>
      <c r="E905">
        <v>5153</v>
      </c>
      <c r="F905">
        <v>6</v>
      </c>
      <c r="G905">
        <v>102</v>
      </c>
      <c r="H905">
        <v>53</v>
      </c>
      <c r="I905">
        <v>113</v>
      </c>
      <c r="J905">
        <v>12</v>
      </c>
      <c r="K905">
        <v>0</v>
      </c>
      <c r="L905">
        <v>244585109</v>
      </c>
      <c r="M905">
        <v>137</v>
      </c>
      <c r="O905" t="s">
        <v>28</v>
      </c>
      <c r="P905">
        <v>74</v>
      </c>
      <c r="Q905">
        <v>71</v>
      </c>
      <c r="R905" t="str" cm="1">
        <f t="array" ref="R905">_xlfn.IFS(Q905&gt;70,"Good",Q905&lt;40,"Bad",(Q905&gt;OS943*(Q905&lt;80)),"Ok")</f>
        <v>Good</v>
      </c>
      <c r="S905">
        <v>89</v>
      </c>
      <c r="T905" t="str" cm="1">
        <f t="array" ref="T905">_xlfn.IFS(S905&gt;50, "High", S905&lt;=50, "Low")</f>
        <v>High</v>
      </c>
      <c r="U905">
        <v>24</v>
      </c>
      <c r="V905">
        <v>61</v>
      </c>
      <c r="W905">
        <v>15</v>
      </c>
      <c r="X905">
        <v>5</v>
      </c>
      <c r="Y905">
        <f t="shared" ca="1" si="14"/>
        <v>34.747218269753319</v>
      </c>
    </row>
    <row r="906" spans="1:25" x14ac:dyDescent="0.3">
      <c r="A906" t="s">
        <v>490</v>
      </c>
      <c r="B906" t="s">
        <v>1146</v>
      </c>
      <c r="C906">
        <v>1</v>
      </c>
      <c r="D906" s="1">
        <v>44799</v>
      </c>
      <c r="E906">
        <v>615</v>
      </c>
      <c r="F906">
        <v>0</v>
      </c>
      <c r="G906">
        <v>14</v>
      </c>
      <c r="H906">
        <v>77</v>
      </c>
      <c r="I906">
        <v>15</v>
      </c>
      <c r="J906">
        <v>1</v>
      </c>
      <c r="K906">
        <v>2</v>
      </c>
      <c r="L906">
        <v>189476119</v>
      </c>
      <c r="M906">
        <v>120</v>
      </c>
      <c r="N906" t="s">
        <v>302</v>
      </c>
      <c r="O906" t="s">
        <v>45</v>
      </c>
      <c r="P906">
        <v>77</v>
      </c>
      <c r="Q906">
        <v>78</v>
      </c>
      <c r="R906" t="str" cm="1">
        <f t="array" ref="R906">_xlfn.IFS(Q906&gt;70,"Good",Q906&lt;40,"Bad",(Q906&gt;OS944*(Q906&lt;80)),"Ok")</f>
        <v>Good</v>
      </c>
      <c r="S906">
        <v>91</v>
      </c>
      <c r="T906" t="str" cm="1">
        <f t="array" ref="T906">_xlfn.IFS(S906&gt;50, "High", S906&lt;=50, "Low")</f>
        <v>High</v>
      </c>
      <c r="U906">
        <v>14</v>
      </c>
      <c r="V906">
        <v>0</v>
      </c>
      <c r="W906">
        <v>33</v>
      </c>
      <c r="X906">
        <v>12</v>
      </c>
      <c r="Y906">
        <f t="shared" ca="1" si="14"/>
        <v>41.803106369152069</v>
      </c>
    </row>
    <row r="907" spans="1:25" x14ac:dyDescent="0.3">
      <c r="A907" t="s">
        <v>1564</v>
      </c>
      <c r="B907" t="s">
        <v>1565</v>
      </c>
      <c r="C907">
        <v>1</v>
      </c>
      <c r="D907" s="1">
        <v>44581</v>
      </c>
      <c r="E907">
        <v>2537</v>
      </c>
      <c r="F907">
        <v>0</v>
      </c>
      <c r="G907">
        <v>49</v>
      </c>
      <c r="H907">
        <v>1</v>
      </c>
      <c r="I907">
        <v>67</v>
      </c>
      <c r="J907">
        <v>11</v>
      </c>
      <c r="K907">
        <v>1</v>
      </c>
      <c r="L907">
        <v>277132266</v>
      </c>
      <c r="M907">
        <v>100</v>
      </c>
      <c r="N907" t="s">
        <v>31</v>
      </c>
      <c r="O907" t="s">
        <v>28</v>
      </c>
      <c r="P907">
        <v>90</v>
      </c>
      <c r="Q907">
        <v>75</v>
      </c>
      <c r="R907" t="str" cm="1">
        <f t="array" ref="R907">_xlfn.IFS(Q907&gt;70,"Good",Q907&lt;40,"Bad",(Q907&gt;OS945*(Q907&lt;80)),"Ok")</f>
        <v>Good</v>
      </c>
      <c r="S907">
        <v>50</v>
      </c>
      <c r="T907" t="str" cm="1">
        <f t="array" ref="T907">_xlfn.IFS(S907&gt;50, "High", S907&lt;=50, "Low")</f>
        <v>Low</v>
      </c>
      <c r="U907">
        <v>11</v>
      </c>
      <c r="V907">
        <v>0</v>
      </c>
      <c r="W907">
        <v>9</v>
      </c>
      <c r="X907">
        <v>26</v>
      </c>
      <c r="Y907">
        <f t="shared" ca="1" si="14"/>
        <v>95.273610272872347</v>
      </c>
    </row>
    <row r="908" spans="1:25" x14ac:dyDescent="0.3">
      <c r="A908" t="s">
        <v>1566</v>
      </c>
      <c r="B908" t="s">
        <v>376</v>
      </c>
      <c r="C908">
        <v>1</v>
      </c>
      <c r="D908" s="1">
        <v>44715</v>
      </c>
      <c r="E908">
        <v>1647</v>
      </c>
      <c r="F908">
        <v>30</v>
      </c>
      <c r="G908">
        <v>20</v>
      </c>
      <c r="H908">
        <v>49</v>
      </c>
      <c r="I908">
        <v>23</v>
      </c>
      <c r="J908">
        <v>2</v>
      </c>
      <c r="K908">
        <v>2</v>
      </c>
      <c r="L908">
        <v>278920007</v>
      </c>
      <c r="M908">
        <v>164</v>
      </c>
      <c r="N908" t="s">
        <v>81</v>
      </c>
      <c r="O908" t="s">
        <v>45</v>
      </c>
      <c r="P908">
        <v>70</v>
      </c>
      <c r="Q908">
        <v>58</v>
      </c>
      <c r="R908" t="str" cm="1">
        <f t="array" ref="R908">_xlfn.IFS(Q908&gt;70,"Good",Q908&lt;40,"Bad",(Q908&gt;OS946*(Q908&lt;80)),"Ok")</f>
        <v>Ok</v>
      </c>
      <c r="S908">
        <v>57</v>
      </c>
      <c r="T908" t="str" cm="1">
        <f t="array" ref="T908">_xlfn.IFS(S908&gt;50, "High", S908&lt;=50, "Low")</f>
        <v>High</v>
      </c>
      <c r="U908">
        <v>25</v>
      </c>
      <c r="V908">
        <v>0</v>
      </c>
      <c r="W908">
        <v>15</v>
      </c>
      <c r="X908">
        <v>7</v>
      </c>
      <c r="Y908">
        <f t="shared" ca="1" si="14"/>
        <v>47.714050429573049</v>
      </c>
    </row>
    <row r="909" spans="1:25" x14ac:dyDescent="0.3">
      <c r="A909" t="s">
        <v>348</v>
      </c>
      <c r="B909" t="s">
        <v>1567</v>
      </c>
      <c r="C909">
        <v>1</v>
      </c>
      <c r="D909" s="1">
        <v>44722</v>
      </c>
      <c r="E909">
        <v>2019</v>
      </c>
      <c r="F909">
        <v>8</v>
      </c>
      <c r="G909">
        <v>117</v>
      </c>
      <c r="H909">
        <v>72</v>
      </c>
      <c r="I909">
        <v>107</v>
      </c>
      <c r="J909">
        <v>1</v>
      </c>
      <c r="K909">
        <v>7</v>
      </c>
      <c r="L909">
        <v>222410722</v>
      </c>
      <c r="M909">
        <v>93</v>
      </c>
      <c r="N909" t="s">
        <v>181</v>
      </c>
      <c r="O909" t="s">
        <v>45</v>
      </c>
      <c r="P909">
        <v>65</v>
      </c>
      <c r="Q909">
        <v>79</v>
      </c>
      <c r="R909" t="str" cm="1">
        <f t="array" ref="R909">_xlfn.IFS(Q909&gt;70,"Good",Q909&lt;40,"Bad",(Q909&gt;OS947*(Q909&lt;80)),"Ok")</f>
        <v>Good</v>
      </c>
      <c r="S909">
        <v>66</v>
      </c>
      <c r="T909" t="str" cm="1">
        <f t="array" ref="T909">_xlfn.IFS(S909&gt;50, "High", S909&lt;=50, "Low")</f>
        <v>High</v>
      </c>
      <c r="U909">
        <v>31</v>
      </c>
      <c r="V909">
        <v>0</v>
      </c>
      <c r="W909">
        <v>22</v>
      </c>
      <c r="X909">
        <v>7</v>
      </c>
      <c r="Y909">
        <f t="shared" ca="1" si="14"/>
        <v>46.358177026995016</v>
      </c>
    </row>
    <row r="910" spans="1:25" x14ac:dyDescent="0.3">
      <c r="A910" t="s">
        <v>1568</v>
      </c>
      <c r="B910" t="s">
        <v>376</v>
      </c>
      <c r="C910">
        <v>1</v>
      </c>
      <c r="D910" s="1">
        <v>44817</v>
      </c>
      <c r="E910">
        <v>1473</v>
      </c>
      <c r="F910">
        <v>12</v>
      </c>
      <c r="G910">
        <v>25</v>
      </c>
      <c r="H910">
        <v>36</v>
      </c>
      <c r="I910">
        <v>25</v>
      </c>
      <c r="J910">
        <v>1</v>
      </c>
      <c r="K910">
        <v>0</v>
      </c>
      <c r="L910">
        <v>185392587</v>
      </c>
      <c r="M910">
        <v>180</v>
      </c>
      <c r="N910" t="s">
        <v>31</v>
      </c>
      <c r="O910" t="s">
        <v>45</v>
      </c>
      <c r="P910">
        <v>65</v>
      </c>
      <c r="Q910">
        <v>52</v>
      </c>
      <c r="R910" t="str" cm="1">
        <f t="array" ref="R910">_xlfn.IFS(Q910&gt;70,"Good",Q910&lt;40,"Bad",(Q910&gt;OS948*(Q910&lt;80)),"Ok")</f>
        <v>Ok</v>
      </c>
      <c r="S910">
        <v>80</v>
      </c>
      <c r="T910" t="str" cm="1">
        <f t="array" ref="T910">_xlfn.IFS(S910&gt;50, "High", S910&lt;=50, "Low")</f>
        <v>High</v>
      </c>
      <c r="U910">
        <v>5</v>
      </c>
      <c r="V910">
        <v>0</v>
      </c>
      <c r="W910">
        <v>6</v>
      </c>
      <c r="X910">
        <v>25</v>
      </c>
      <c r="Y910">
        <f t="shared" ca="1" si="14"/>
        <v>28.767248228204402</v>
      </c>
    </row>
    <row r="911" spans="1:25" x14ac:dyDescent="0.3">
      <c r="A911" t="s">
        <v>1569</v>
      </c>
      <c r="B911" t="s">
        <v>607</v>
      </c>
      <c r="C911">
        <v>1</v>
      </c>
      <c r="D911" s="1">
        <v>44757</v>
      </c>
      <c r="E911">
        <v>1613</v>
      </c>
      <c r="F911">
        <v>0</v>
      </c>
      <c r="G911">
        <v>21</v>
      </c>
      <c r="H911">
        <v>15</v>
      </c>
      <c r="I911">
        <v>13</v>
      </c>
      <c r="J911">
        <v>0</v>
      </c>
      <c r="K911">
        <v>0</v>
      </c>
      <c r="L911">
        <v>202452860</v>
      </c>
      <c r="M911">
        <v>79</v>
      </c>
      <c r="N911" t="s">
        <v>31</v>
      </c>
      <c r="O911" t="s">
        <v>28</v>
      </c>
      <c r="P911">
        <v>34</v>
      </c>
      <c r="Q911">
        <v>22</v>
      </c>
      <c r="R911" t="str" cm="1">
        <f t="array" ref="R911">_xlfn.IFS(Q911&gt;70,"Good",Q911&lt;40,"Bad",(Q911&gt;OS949*(Q911&lt;80)),"Ok")</f>
        <v>Bad</v>
      </c>
      <c r="S911">
        <v>31</v>
      </c>
      <c r="T911" t="str" cm="1">
        <f t="array" ref="T911">_xlfn.IFS(S911&gt;50, "High", S911&lt;=50, "Low")</f>
        <v>Low</v>
      </c>
      <c r="U911">
        <v>43</v>
      </c>
      <c r="V911">
        <v>63</v>
      </c>
      <c r="W911">
        <v>10</v>
      </c>
      <c r="X911">
        <v>7</v>
      </c>
      <c r="Y911">
        <f t="shared" ca="1" si="14"/>
        <v>29.456873298835905</v>
      </c>
    </row>
    <row r="912" spans="1:25" x14ac:dyDescent="0.3">
      <c r="A912" t="s">
        <v>1570</v>
      </c>
      <c r="B912" t="s">
        <v>247</v>
      </c>
      <c r="C912">
        <v>1</v>
      </c>
      <c r="D912" s="1">
        <v>37473</v>
      </c>
      <c r="E912">
        <v>30992</v>
      </c>
      <c r="F912">
        <v>6</v>
      </c>
      <c r="G912">
        <v>124</v>
      </c>
      <c r="H912">
        <v>25</v>
      </c>
      <c r="I912" s="2">
        <v>7827</v>
      </c>
      <c r="J912">
        <v>1</v>
      </c>
      <c r="K912">
        <v>0</v>
      </c>
      <c r="L912">
        <v>1608164312</v>
      </c>
      <c r="M912">
        <v>146</v>
      </c>
      <c r="N912" t="s">
        <v>34</v>
      </c>
      <c r="O912" t="s">
        <v>28</v>
      </c>
      <c r="P912">
        <v>56</v>
      </c>
      <c r="Q912">
        <v>21</v>
      </c>
      <c r="R912" t="str" cm="1">
        <f t="array" ref="R912">_xlfn.IFS(Q912&gt;70,"Good",Q912&lt;40,"Bad",(Q912&gt;OS950*(Q912&lt;80)),"Ok")</f>
        <v>Bad</v>
      </c>
      <c r="S912">
        <v>44</v>
      </c>
      <c r="T912" t="str" cm="1">
        <f t="array" ref="T912">_xlfn.IFS(S912&gt;50, "High", S912&lt;=50, "Low")</f>
        <v>Low</v>
      </c>
      <c r="U912">
        <v>73</v>
      </c>
      <c r="V912">
        <v>0</v>
      </c>
      <c r="W912">
        <v>11</v>
      </c>
      <c r="X912">
        <v>2</v>
      </c>
      <c r="Y912">
        <f t="shared" ca="1" si="14"/>
        <v>69.448853139223928</v>
      </c>
    </row>
    <row r="913" spans="1:25" x14ac:dyDescent="0.3">
      <c r="A913" t="s">
        <v>1571</v>
      </c>
      <c r="B913" t="s">
        <v>247</v>
      </c>
      <c r="C913">
        <v>1</v>
      </c>
      <c r="D913" s="1">
        <v>36717</v>
      </c>
      <c r="E913">
        <v>10826</v>
      </c>
      <c r="F913">
        <v>4</v>
      </c>
      <c r="G913">
        <v>24</v>
      </c>
      <c r="H913">
        <v>0</v>
      </c>
      <c r="I913">
        <v>805</v>
      </c>
      <c r="J913">
        <v>0</v>
      </c>
      <c r="K913">
        <v>0</v>
      </c>
      <c r="L913">
        <v>624101957</v>
      </c>
      <c r="M913">
        <v>103</v>
      </c>
      <c r="N913" t="s">
        <v>31</v>
      </c>
      <c r="O913" t="s">
        <v>28</v>
      </c>
      <c r="P913">
        <v>37</v>
      </c>
      <c r="Q913">
        <v>17</v>
      </c>
      <c r="R913" t="str" cm="1">
        <f t="array" ref="R913">_xlfn.IFS(Q913&gt;70,"Good",Q913&lt;40,"Bad",(Q913&gt;OS951*(Q913&lt;80)),"Ok")</f>
        <v>Bad</v>
      </c>
      <c r="S913">
        <v>27</v>
      </c>
      <c r="T913" t="str" cm="1">
        <f t="array" ref="T913">_xlfn.IFS(S913&gt;50, "High", S913&lt;=50, "Low")</f>
        <v>Low</v>
      </c>
      <c r="U913">
        <v>75</v>
      </c>
      <c r="V913">
        <v>5</v>
      </c>
      <c r="W913">
        <v>10</v>
      </c>
      <c r="X913">
        <v>3</v>
      </c>
      <c r="Y913">
        <f t="shared" ca="1" si="14"/>
        <v>79.567323945917053</v>
      </c>
    </row>
    <row r="914" spans="1:25" x14ac:dyDescent="0.3">
      <c r="A914" t="s">
        <v>1572</v>
      </c>
      <c r="B914" t="s">
        <v>1323</v>
      </c>
      <c r="C914">
        <v>1</v>
      </c>
      <c r="D914" s="1">
        <v>44806</v>
      </c>
      <c r="E914">
        <v>920</v>
      </c>
      <c r="F914">
        <v>0</v>
      </c>
      <c r="G914">
        <v>10</v>
      </c>
      <c r="H914">
        <v>1</v>
      </c>
      <c r="I914">
        <v>8</v>
      </c>
      <c r="J914">
        <v>0</v>
      </c>
      <c r="K914">
        <v>0</v>
      </c>
      <c r="L914">
        <v>148461629</v>
      </c>
      <c r="M914">
        <v>140</v>
      </c>
      <c r="N914" t="s">
        <v>134</v>
      </c>
      <c r="O914" t="s">
        <v>45</v>
      </c>
      <c r="P914">
        <v>70</v>
      </c>
      <c r="Q914">
        <v>26</v>
      </c>
      <c r="R914" t="str" cm="1">
        <f t="array" ref="R914">_xlfn.IFS(Q914&gt;70,"Good",Q914&lt;40,"Bad",(Q914&gt;OS952*(Q914&lt;80)),"Ok")</f>
        <v>Bad</v>
      </c>
      <c r="S914">
        <v>76</v>
      </c>
      <c r="T914" t="str" cm="1">
        <f t="array" ref="T914">_xlfn.IFS(S914&gt;50, "High", S914&lt;=50, "Low")</f>
        <v>High</v>
      </c>
      <c r="U914">
        <v>8</v>
      </c>
      <c r="V914">
        <v>0</v>
      </c>
      <c r="W914">
        <v>54</v>
      </c>
      <c r="X914">
        <v>23</v>
      </c>
      <c r="Y914">
        <f t="shared" ca="1" si="14"/>
        <v>54.178744749597641</v>
      </c>
    </row>
    <row r="915" spans="1:25" x14ac:dyDescent="0.3">
      <c r="A915" t="s">
        <v>1573</v>
      </c>
      <c r="B915" t="s">
        <v>256</v>
      </c>
      <c r="C915">
        <v>2</v>
      </c>
      <c r="D915" s="1">
        <v>44817</v>
      </c>
      <c r="E915">
        <v>308</v>
      </c>
      <c r="F915">
        <v>0</v>
      </c>
      <c r="G915">
        <v>6</v>
      </c>
      <c r="H915">
        <v>1</v>
      </c>
      <c r="I915">
        <v>6</v>
      </c>
      <c r="J915">
        <v>0</v>
      </c>
      <c r="K915">
        <v>0</v>
      </c>
      <c r="L915">
        <v>47093942</v>
      </c>
      <c r="M915">
        <v>92</v>
      </c>
      <c r="N915" t="s">
        <v>181</v>
      </c>
      <c r="O915" t="s">
        <v>28</v>
      </c>
      <c r="P915">
        <v>81</v>
      </c>
      <c r="Q915">
        <v>48</v>
      </c>
      <c r="R915" t="str" cm="1">
        <f t="array" ref="R915">_xlfn.IFS(Q915&gt;70,"Good",Q915&lt;40,"Bad",(Q915&gt;OS953*(Q915&lt;80)),"Ok")</f>
        <v>Ok</v>
      </c>
      <c r="S915">
        <v>70</v>
      </c>
      <c r="T915" t="str" cm="1">
        <f t="array" ref="T915">_xlfn.IFS(S915&gt;50, "High", S915&lt;=50, "Low")</f>
        <v>High</v>
      </c>
      <c r="U915">
        <v>13</v>
      </c>
      <c r="V915">
        <v>0</v>
      </c>
      <c r="W915">
        <v>15</v>
      </c>
      <c r="X915">
        <v>7</v>
      </c>
      <c r="Y915">
        <f t="shared" ca="1" si="14"/>
        <v>91.591790024731921</v>
      </c>
    </row>
    <row r="916" spans="1:25" x14ac:dyDescent="0.3">
      <c r="A916" t="s">
        <v>1574</v>
      </c>
      <c r="B916" t="s">
        <v>1575</v>
      </c>
      <c r="C916">
        <v>1</v>
      </c>
      <c r="D916" s="1">
        <v>42544</v>
      </c>
      <c r="E916">
        <v>2468</v>
      </c>
      <c r="F916">
        <v>0</v>
      </c>
      <c r="G916">
        <v>15</v>
      </c>
      <c r="H916">
        <v>0</v>
      </c>
      <c r="I916">
        <v>0</v>
      </c>
      <c r="J916">
        <v>0</v>
      </c>
      <c r="K916">
        <v>0</v>
      </c>
      <c r="L916">
        <v>380319238</v>
      </c>
      <c r="M916">
        <v>102</v>
      </c>
      <c r="N916" t="s">
        <v>31</v>
      </c>
      <c r="O916" t="s">
        <v>45</v>
      </c>
      <c r="P916">
        <v>64</v>
      </c>
      <c r="Q916">
        <v>4</v>
      </c>
      <c r="R916" t="str" cm="1">
        <f t="array" ref="R916">_xlfn.IFS(Q916&gt;70,"Good",Q916&lt;40,"Bad",(Q916&gt;OS954*(Q916&lt;80)),"Ok")</f>
        <v>Bad</v>
      </c>
      <c r="S916">
        <v>60</v>
      </c>
      <c r="T916" t="str" cm="1">
        <f t="array" ref="T916">_xlfn.IFS(S916&gt;50, "High", S916&lt;=50, "Low")</f>
        <v>High</v>
      </c>
      <c r="U916">
        <v>11</v>
      </c>
      <c r="V916">
        <v>0</v>
      </c>
      <c r="W916">
        <v>19</v>
      </c>
      <c r="X916">
        <v>4</v>
      </c>
      <c r="Y916">
        <f t="shared" ca="1" si="14"/>
        <v>20.585622313161267</v>
      </c>
    </row>
    <row r="917" spans="1:25" x14ac:dyDescent="0.3">
      <c r="A917" t="s">
        <v>554</v>
      </c>
      <c r="B917" t="s">
        <v>1576</v>
      </c>
      <c r="C917">
        <v>2</v>
      </c>
      <c r="D917" s="1">
        <v>44764</v>
      </c>
      <c r="E917">
        <v>1097</v>
      </c>
      <c r="F917">
        <v>2</v>
      </c>
      <c r="G917">
        <v>18</v>
      </c>
      <c r="H917">
        <v>10</v>
      </c>
      <c r="I917">
        <v>13</v>
      </c>
      <c r="J917">
        <v>1</v>
      </c>
      <c r="K917">
        <v>1</v>
      </c>
      <c r="L917">
        <v>209106362</v>
      </c>
      <c r="M917">
        <v>118</v>
      </c>
      <c r="N917" t="s">
        <v>27</v>
      </c>
      <c r="O917" t="s">
        <v>45</v>
      </c>
      <c r="P917">
        <v>82</v>
      </c>
      <c r="Q917">
        <v>75</v>
      </c>
      <c r="R917" t="str" cm="1">
        <f t="array" ref="R917">_xlfn.IFS(Q917&gt;70,"Good",Q917&lt;40,"Bad",(Q917&gt;OS955*(Q917&lt;80)),"Ok")</f>
        <v>Good</v>
      </c>
      <c r="S917">
        <v>85</v>
      </c>
      <c r="T917" t="str" cm="1">
        <f t="array" ref="T917">_xlfn.IFS(S917&gt;50, "High", S917&lt;=50, "Low")</f>
        <v>High</v>
      </c>
      <c r="U917">
        <v>33</v>
      </c>
      <c r="V917">
        <v>1</v>
      </c>
      <c r="W917">
        <v>11</v>
      </c>
      <c r="X917">
        <v>4</v>
      </c>
      <c r="Y917">
        <f t="shared" ca="1" si="14"/>
        <v>19.944904369810189</v>
      </c>
    </row>
    <row r="918" spans="1:25" x14ac:dyDescent="0.3">
      <c r="A918" t="s">
        <v>323</v>
      </c>
      <c r="B918" t="s">
        <v>376</v>
      </c>
      <c r="C918">
        <v>1</v>
      </c>
      <c r="D918" s="1">
        <v>44817</v>
      </c>
      <c r="E918">
        <v>330</v>
      </c>
      <c r="F918">
        <v>0</v>
      </c>
      <c r="G918">
        <v>3</v>
      </c>
      <c r="H918">
        <v>0</v>
      </c>
      <c r="I918">
        <v>2</v>
      </c>
      <c r="J918">
        <v>0</v>
      </c>
      <c r="K918">
        <v>0</v>
      </c>
      <c r="L918">
        <v>53987404</v>
      </c>
      <c r="M918">
        <v>93</v>
      </c>
      <c r="N918" t="s">
        <v>61</v>
      </c>
      <c r="O918" t="s">
        <v>28</v>
      </c>
      <c r="P918">
        <v>78</v>
      </c>
      <c r="Q918">
        <v>75</v>
      </c>
      <c r="R918" t="str" cm="1">
        <f t="array" ref="R918">_xlfn.IFS(Q918&gt;70,"Good",Q918&lt;40,"Bad",(Q918&gt;OS956*(Q918&lt;80)),"Ok")</f>
        <v>Good</v>
      </c>
      <c r="S918">
        <v>62</v>
      </c>
      <c r="T918" t="str" cm="1">
        <f t="array" ref="T918">_xlfn.IFS(S918&gt;50, "High", S918&lt;=50, "Low")</f>
        <v>High</v>
      </c>
      <c r="U918">
        <v>6</v>
      </c>
      <c r="V918">
        <v>0</v>
      </c>
      <c r="W918">
        <v>15</v>
      </c>
      <c r="X918">
        <v>6</v>
      </c>
      <c r="Y918">
        <f t="shared" ca="1" si="14"/>
        <v>37.000079400485951</v>
      </c>
    </row>
    <row r="919" spans="1:25" x14ac:dyDescent="0.3">
      <c r="A919" t="s">
        <v>1577</v>
      </c>
      <c r="B919" t="s">
        <v>1578</v>
      </c>
      <c r="C919">
        <v>1</v>
      </c>
      <c r="D919" s="1">
        <v>44735</v>
      </c>
      <c r="E919">
        <v>1584</v>
      </c>
      <c r="F919">
        <v>0</v>
      </c>
      <c r="G919">
        <v>38</v>
      </c>
      <c r="H919">
        <v>0</v>
      </c>
      <c r="I919">
        <v>24</v>
      </c>
      <c r="J919">
        <v>0</v>
      </c>
      <c r="K919">
        <v>0</v>
      </c>
      <c r="L919">
        <v>115331792</v>
      </c>
      <c r="M919">
        <v>150</v>
      </c>
      <c r="N919" t="s">
        <v>34</v>
      </c>
      <c r="O919" t="s">
        <v>45</v>
      </c>
      <c r="P919">
        <v>70</v>
      </c>
      <c r="Q919">
        <v>26</v>
      </c>
      <c r="R919" t="str" cm="1">
        <f t="array" ref="R919">_xlfn.IFS(Q919&gt;70,"Good",Q919&lt;40,"Bad",(Q919&gt;OS957*(Q919&lt;80)),"Ok")</f>
        <v>Bad</v>
      </c>
      <c r="S919">
        <v>56</v>
      </c>
      <c r="T919" t="str" cm="1">
        <f t="array" ref="T919">_xlfn.IFS(S919&gt;50, "High", S919&lt;=50, "Low")</f>
        <v>High</v>
      </c>
      <c r="U919">
        <v>14</v>
      </c>
      <c r="V919">
        <v>83</v>
      </c>
      <c r="W919">
        <v>11</v>
      </c>
      <c r="X919">
        <v>5</v>
      </c>
      <c r="Y919">
        <f t="shared" ca="1" si="14"/>
        <v>28.046757275835819</v>
      </c>
    </row>
    <row r="920" spans="1:25" x14ac:dyDescent="0.3">
      <c r="A920" t="s">
        <v>1579</v>
      </c>
      <c r="B920" t="s">
        <v>1033</v>
      </c>
      <c r="C920">
        <v>1</v>
      </c>
      <c r="D920" s="1">
        <v>44841</v>
      </c>
      <c r="E920">
        <v>1585</v>
      </c>
      <c r="F920">
        <v>5</v>
      </c>
      <c r="G920">
        <v>78</v>
      </c>
      <c r="H920">
        <v>65</v>
      </c>
      <c r="I920">
        <v>328</v>
      </c>
      <c r="J920">
        <v>1</v>
      </c>
      <c r="K920">
        <v>198</v>
      </c>
      <c r="L920">
        <v>225093344</v>
      </c>
      <c r="M920">
        <v>130</v>
      </c>
      <c r="N920" t="s">
        <v>61</v>
      </c>
      <c r="O920" t="s">
        <v>28</v>
      </c>
      <c r="P920">
        <v>52</v>
      </c>
      <c r="Q920">
        <v>24</v>
      </c>
      <c r="R920" t="str" cm="1">
        <f t="array" ref="R920">_xlfn.IFS(Q920&gt;70,"Good",Q920&lt;40,"Bad",(Q920&gt;OS958*(Q920&lt;80)),"Ok")</f>
        <v>Bad</v>
      </c>
      <c r="S920">
        <v>60</v>
      </c>
      <c r="T920" t="str" cm="1">
        <f t="array" ref="T920">_xlfn.IFS(S920&gt;50, "High", S920&lt;=50, "Low")</f>
        <v>High</v>
      </c>
      <c r="U920">
        <v>0</v>
      </c>
      <c r="V920">
        <v>0</v>
      </c>
      <c r="W920">
        <v>8</v>
      </c>
      <c r="X920">
        <v>3</v>
      </c>
      <c r="Y920">
        <f t="shared" ca="1" si="14"/>
        <v>21.380905518919501</v>
      </c>
    </row>
    <row r="921" spans="1:25" x14ac:dyDescent="0.3">
      <c r="A921" t="s">
        <v>1580</v>
      </c>
      <c r="B921" t="s">
        <v>1581</v>
      </c>
      <c r="C921">
        <v>2</v>
      </c>
      <c r="D921" s="1">
        <v>44848</v>
      </c>
      <c r="E921">
        <v>766</v>
      </c>
      <c r="F921">
        <v>0</v>
      </c>
      <c r="G921">
        <v>16</v>
      </c>
      <c r="H921">
        <v>0</v>
      </c>
      <c r="I921">
        <v>9</v>
      </c>
      <c r="J921">
        <v>0</v>
      </c>
      <c r="K921">
        <v>0</v>
      </c>
      <c r="L921">
        <v>84697729</v>
      </c>
      <c r="M921">
        <v>83</v>
      </c>
      <c r="N921" t="s">
        <v>302</v>
      </c>
      <c r="O921" t="s">
        <v>45</v>
      </c>
      <c r="P921">
        <v>65</v>
      </c>
      <c r="Q921">
        <v>24</v>
      </c>
      <c r="R921" t="str" cm="1">
        <f t="array" ref="R921">_xlfn.IFS(Q921&gt;70,"Good",Q921&lt;40,"Bad",(Q921&gt;OS959*(Q921&lt;80)),"Ok")</f>
        <v>Bad</v>
      </c>
      <c r="S921">
        <v>53</v>
      </c>
      <c r="T921" t="str" cm="1">
        <f t="array" ref="T921">_xlfn.IFS(S921&gt;50, "High", S921&lt;=50, "Low")</f>
        <v>High</v>
      </c>
      <c r="U921">
        <v>6</v>
      </c>
      <c r="V921">
        <v>0</v>
      </c>
      <c r="W921">
        <v>51</v>
      </c>
      <c r="X921">
        <v>4</v>
      </c>
      <c r="Y921">
        <f t="shared" ca="1" si="14"/>
        <v>53.388550315639435</v>
      </c>
    </row>
    <row r="922" spans="1:25" x14ac:dyDescent="0.3">
      <c r="A922" t="s">
        <v>1582</v>
      </c>
      <c r="B922" t="s">
        <v>1583</v>
      </c>
      <c r="C922">
        <v>4</v>
      </c>
      <c r="D922" s="1">
        <v>44791</v>
      </c>
      <c r="E922">
        <v>836</v>
      </c>
      <c r="F922">
        <v>0</v>
      </c>
      <c r="G922">
        <v>14</v>
      </c>
      <c r="H922">
        <v>1</v>
      </c>
      <c r="I922">
        <v>13</v>
      </c>
      <c r="J922">
        <v>0</v>
      </c>
      <c r="K922">
        <v>0</v>
      </c>
      <c r="L922">
        <v>159240673</v>
      </c>
      <c r="M922">
        <v>102</v>
      </c>
      <c r="N922" t="s">
        <v>37</v>
      </c>
      <c r="O922" t="s">
        <v>28</v>
      </c>
      <c r="P922">
        <v>84</v>
      </c>
      <c r="Q922">
        <v>43</v>
      </c>
      <c r="R922" t="str" cm="1">
        <f t="array" ref="R922">_xlfn.IFS(Q922&gt;70,"Good",Q922&lt;40,"Bad",(Q922&gt;OS960*(Q922&lt;80)),"Ok")</f>
        <v>Ok</v>
      </c>
      <c r="S922">
        <v>75</v>
      </c>
      <c r="T922" t="str" cm="1">
        <f t="array" ref="T922">_xlfn.IFS(S922&gt;50, "High", S922&lt;=50, "Low")</f>
        <v>High</v>
      </c>
      <c r="U922">
        <v>5</v>
      </c>
      <c r="V922">
        <v>0</v>
      </c>
      <c r="W922">
        <v>6</v>
      </c>
      <c r="X922">
        <v>8</v>
      </c>
      <c r="Y922">
        <f t="shared" ca="1" si="14"/>
        <v>81.461977249215607</v>
      </c>
    </row>
    <row r="923" spans="1:25" x14ac:dyDescent="0.3">
      <c r="A923" t="s">
        <v>1584</v>
      </c>
      <c r="B923" t="s">
        <v>388</v>
      </c>
      <c r="C923">
        <v>1</v>
      </c>
      <c r="D923" s="1">
        <v>44851</v>
      </c>
      <c r="E923">
        <v>430</v>
      </c>
      <c r="F923">
        <v>6</v>
      </c>
      <c r="G923">
        <v>14</v>
      </c>
      <c r="H923">
        <v>116</v>
      </c>
      <c r="I923">
        <v>9</v>
      </c>
      <c r="J923">
        <v>0</v>
      </c>
      <c r="K923">
        <v>11</v>
      </c>
      <c r="L923">
        <v>170709584</v>
      </c>
      <c r="M923">
        <v>136</v>
      </c>
      <c r="N923" t="s">
        <v>134</v>
      </c>
      <c r="O923" t="s">
        <v>45</v>
      </c>
      <c r="P923">
        <v>73</v>
      </c>
      <c r="Q923">
        <v>65</v>
      </c>
      <c r="R923" t="str" cm="1">
        <f t="array" ref="R923">_xlfn.IFS(Q923&gt;70,"Good",Q923&lt;40,"Bad",(Q923&gt;OS961*(Q923&lt;80)),"Ok")</f>
        <v>Ok</v>
      </c>
      <c r="S923">
        <v>91</v>
      </c>
      <c r="T923" t="str" cm="1">
        <f t="array" ref="T923">_xlfn.IFS(S923&gt;50, "High", S923&lt;=50, "Low")</f>
        <v>High</v>
      </c>
      <c r="U923">
        <v>4</v>
      </c>
      <c r="V923">
        <v>0</v>
      </c>
      <c r="W923">
        <v>48</v>
      </c>
      <c r="X923">
        <v>18</v>
      </c>
      <c r="Y923">
        <f t="shared" ca="1" si="14"/>
        <v>80.793642784808483</v>
      </c>
    </row>
    <row r="924" spans="1:25" x14ac:dyDescent="0.3">
      <c r="A924" t="s">
        <v>760</v>
      </c>
      <c r="B924" t="s">
        <v>1585</v>
      </c>
      <c r="C924">
        <v>1</v>
      </c>
      <c r="D924" s="1">
        <v>30087</v>
      </c>
      <c r="E924">
        <v>2020</v>
      </c>
      <c r="F924">
        <v>0</v>
      </c>
      <c r="G924">
        <v>77</v>
      </c>
      <c r="H924">
        <v>10</v>
      </c>
      <c r="I924">
        <v>119</v>
      </c>
      <c r="J924">
        <v>0</v>
      </c>
      <c r="K924">
        <v>40</v>
      </c>
      <c r="L924">
        <v>154356956</v>
      </c>
      <c r="M924">
        <v>145</v>
      </c>
      <c r="N924" t="s">
        <v>37</v>
      </c>
      <c r="O924" t="s">
        <v>28</v>
      </c>
      <c r="P924">
        <v>66</v>
      </c>
      <c r="Q924">
        <v>24</v>
      </c>
      <c r="R924" t="str" cm="1">
        <f t="array" ref="R924">_xlfn.IFS(Q924&gt;70,"Good",Q924&lt;40,"Bad",(Q924&gt;OS962*(Q924&lt;80)),"Ok")</f>
        <v>Bad</v>
      </c>
      <c r="S924">
        <v>58</v>
      </c>
      <c r="T924" t="str" cm="1">
        <f t="array" ref="T924">_xlfn.IFS(S924&gt;50, "High", S924&lt;=50, "Low")</f>
        <v>High</v>
      </c>
      <c r="U924">
        <v>17</v>
      </c>
      <c r="V924">
        <v>0</v>
      </c>
      <c r="W924">
        <v>19</v>
      </c>
      <c r="X924">
        <v>5</v>
      </c>
      <c r="Y924">
        <f t="shared" ca="1" si="14"/>
        <v>67.427482847992763</v>
      </c>
    </row>
    <row r="925" spans="1:25" x14ac:dyDescent="0.3">
      <c r="A925" t="s">
        <v>1586</v>
      </c>
      <c r="B925" t="s">
        <v>1587</v>
      </c>
      <c r="C925">
        <v>1</v>
      </c>
      <c r="D925" s="1">
        <v>43425</v>
      </c>
      <c r="E925">
        <v>6858</v>
      </c>
      <c r="F925">
        <v>0</v>
      </c>
      <c r="G925">
        <v>31</v>
      </c>
      <c r="H925">
        <v>21</v>
      </c>
      <c r="I925">
        <v>15</v>
      </c>
      <c r="J925">
        <v>0</v>
      </c>
      <c r="K925">
        <v>4</v>
      </c>
      <c r="L925">
        <v>723043854</v>
      </c>
      <c r="M925">
        <v>130</v>
      </c>
      <c r="N925" t="s">
        <v>94</v>
      </c>
      <c r="O925" t="s">
        <v>28</v>
      </c>
      <c r="P925">
        <v>57</v>
      </c>
      <c r="Q925">
        <v>24</v>
      </c>
      <c r="R925" t="str" cm="1">
        <f t="array" ref="R925">_xlfn.IFS(Q925&gt;70,"Good",Q925&lt;40,"Bad",(Q925&gt;OS963*(Q925&lt;80)),"Ok")</f>
        <v>Bad</v>
      </c>
      <c r="S925">
        <v>37</v>
      </c>
      <c r="T925" t="str" cm="1">
        <f t="array" ref="T925">_xlfn.IFS(S925&gt;50, "High", S925&lt;=50, "Low")</f>
        <v>Low</v>
      </c>
      <c r="U925">
        <v>11</v>
      </c>
      <c r="V925">
        <v>18</v>
      </c>
      <c r="W925">
        <v>16</v>
      </c>
      <c r="X925">
        <v>3</v>
      </c>
      <c r="Y925">
        <f t="shared" ca="1" si="14"/>
        <v>31.557263606679264</v>
      </c>
    </row>
    <row r="926" spans="1:25" x14ac:dyDescent="0.3">
      <c r="A926" t="s">
        <v>185</v>
      </c>
      <c r="B926" t="s">
        <v>813</v>
      </c>
      <c r="C926">
        <v>1</v>
      </c>
      <c r="D926" s="1">
        <v>44756</v>
      </c>
      <c r="E926">
        <v>3682</v>
      </c>
      <c r="F926">
        <v>6</v>
      </c>
      <c r="G926">
        <v>41</v>
      </c>
      <c r="H926">
        <v>0</v>
      </c>
      <c r="I926">
        <v>158</v>
      </c>
      <c r="J926">
        <v>2</v>
      </c>
      <c r="K926">
        <v>68</v>
      </c>
      <c r="L926">
        <v>247689123</v>
      </c>
      <c r="M926">
        <v>156</v>
      </c>
      <c r="N926" t="s">
        <v>94</v>
      </c>
      <c r="O926" t="s">
        <v>28</v>
      </c>
      <c r="P926">
        <v>72</v>
      </c>
      <c r="Q926">
        <v>92</v>
      </c>
      <c r="R926" t="str" cm="1">
        <f t="array" ref="R926">_xlfn.IFS(Q926&gt;70,"Good",Q926&lt;40,"Bad",(Q926&gt;OS964*(Q926&lt;80)),"Ok")</f>
        <v>Good</v>
      </c>
      <c r="S926">
        <v>77</v>
      </c>
      <c r="T926" t="str" cm="1">
        <f t="array" ref="T926">_xlfn.IFS(S926&gt;50, "High", S926&lt;=50, "Low")</f>
        <v>High</v>
      </c>
      <c r="U926">
        <v>9</v>
      </c>
      <c r="V926">
        <v>0</v>
      </c>
      <c r="W926">
        <v>8</v>
      </c>
      <c r="X926">
        <v>11</v>
      </c>
      <c r="Y926">
        <f t="shared" ca="1" si="14"/>
        <v>64.679504894588362</v>
      </c>
    </row>
    <row r="927" spans="1:25" x14ac:dyDescent="0.3">
      <c r="A927" t="s">
        <v>1588</v>
      </c>
      <c r="B927" t="s">
        <v>405</v>
      </c>
      <c r="C927">
        <v>1</v>
      </c>
      <c r="D927" s="1">
        <v>44833</v>
      </c>
      <c r="E927">
        <v>1639</v>
      </c>
      <c r="F927">
        <v>0</v>
      </c>
      <c r="G927">
        <v>86</v>
      </c>
      <c r="H927">
        <v>14</v>
      </c>
      <c r="I927">
        <v>80</v>
      </c>
      <c r="J927">
        <v>0</v>
      </c>
      <c r="K927">
        <v>37</v>
      </c>
      <c r="L927">
        <v>176474912</v>
      </c>
      <c r="M927">
        <v>123</v>
      </c>
      <c r="N927" t="s">
        <v>61</v>
      </c>
      <c r="O927" t="s">
        <v>28</v>
      </c>
      <c r="P927">
        <v>57</v>
      </c>
      <c r="Q927">
        <v>50</v>
      </c>
      <c r="R927" t="str" cm="1">
        <f t="array" ref="R927">_xlfn.IFS(Q927&gt;70,"Good",Q927&lt;40,"Bad",(Q927&gt;OS965*(Q927&lt;80)),"Ok")</f>
        <v>Ok</v>
      </c>
      <c r="S927">
        <v>85</v>
      </c>
      <c r="T927" t="str" cm="1">
        <f t="array" ref="T927">_xlfn.IFS(S927&gt;50, "High", S927&lt;=50, "Low")</f>
        <v>High</v>
      </c>
      <c r="U927">
        <v>5</v>
      </c>
      <c r="V927">
        <v>0</v>
      </c>
      <c r="W927">
        <v>16</v>
      </c>
      <c r="X927">
        <v>4</v>
      </c>
      <c r="Y927">
        <f t="shared" ca="1" si="14"/>
        <v>65.678052627305163</v>
      </c>
    </row>
    <row r="928" spans="1:25" x14ac:dyDescent="0.3">
      <c r="A928" t="s">
        <v>1589</v>
      </c>
      <c r="B928" t="s">
        <v>701</v>
      </c>
      <c r="C928">
        <v>1</v>
      </c>
      <c r="D928" s="1">
        <v>44820</v>
      </c>
      <c r="E928">
        <v>452</v>
      </c>
      <c r="F928">
        <v>10</v>
      </c>
      <c r="G928">
        <v>2</v>
      </c>
      <c r="H928">
        <v>129</v>
      </c>
      <c r="I928">
        <v>13</v>
      </c>
      <c r="J928">
        <v>0</v>
      </c>
      <c r="K928">
        <v>1</v>
      </c>
      <c r="L928">
        <v>235549288</v>
      </c>
      <c r="M928">
        <v>132</v>
      </c>
      <c r="N928" t="s">
        <v>94</v>
      </c>
      <c r="O928" t="s">
        <v>28</v>
      </c>
      <c r="P928">
        <v>92</v>
      </c>
      <c r="Q928">
        <v>53</v>
      </c>
      <c r="R928" t="str" cm="1">
        <f t="array" ref="R928">_xlfn.IFS(Q928&gt;70,"Good",Q928&lt;40,"Bad",(Q928&gt;OS966*(Q928&lt;80)),"Ok")</f>
        <v>Ok</v>
      </c>
      <c r="S928">
        <v>62</v>
      </c>
      <c r="T928" t="str" cm="1">
        <f t="array" ref="T928">_xlfn.IFS(S928&gt;50, "High", S928&lt;=50, "Low")</f>
        <v>High</v>
      </c>
      <c r="U928">
        <v>7</v>
      </c>
      <c r="V928">
        <v>0</v>
      </c>
      <c r="W928">
        <v>63</v>
      </c>
      <c r="X928">
        <v>10</v>
      </c>
      <c r="Y928">
        <f t="shared" ca="1" si="14"/>
        <v>68.034786585065859</v>
      </c>
    </row>
    <row r="929" spans="1:25" x14ac:dyDescent="0.3">
      <c r="A929" t="s">
        <v>1590</v>
      </c>
      <c r="B929" t="s">
        <v>1591</v>
      </c>
      <c r="C929">
        <v>2</v>
      </c>
      <c r="D929" s="1">
        <v>44183</v>
      </c>
      <c r="E929">
        <v>668</v>
      </c>
      <c r="F929">
        <v>1</v>
      </c>
      <c r="G929">
        <v>0</v>
      </c>
      <c r="H929">
        <v>0</v>
      </c>
      <c r="I929">
        <v>31</v>
      </c>
      <c r="J929">
        <v>0</v>
      </c>
      <c r="L929">
        <v>140430339</v>
      </c>
      <c r="M929">
        <v>125</v>
      </c>
      <c r="N929" t="s">
        <v>302</v>
      </c>
      <c r="O929" t="s">
        <v>45</v>
      </c>
      <c r="P929">
        <v>49</v>
      </c>
      <c r="Q929">
        <v>13</v>
      </c>
      <c r="R929" t="str" cm="1">
        <f t="array" ref="R929">_xlfn.IFS(Q929&gt;70,"Good",Q929&lt;40,"Bad",(Q929&gt;OS967*(Q929&lt;80)),"Ok")</f>
        <v>Bad</v>
      </c>
      <c r="S929">
        <v>74</v>
      </c>
      <c r="T929" t="str" cm="1">
        <f t="array" ref="T929">_xlfn.IFS(S929&gt;50, "High", S929&lt;=50, "Low")</f>
        <v>High</v>
      </c>
      <c r="U929">
        <v>0</v>
      </c>
      <c r="V929">
        <v>0</v>
      </c>
      <c r="W929">
        <v>9</v>
      </c>
      <c r="X929">
        <v>4</v>
      </c>
      <c r="Y929">
        <f t="shared" ca="1" si="14"/>
        <v>7.3992739911388217</v>
      </c>
    </row>
    <row r="930" spans="1:25" x14ac:dyDescent="0.3">
      <c r="A930" t="s">
        <v>1592</v>
      </c>
      <c r="B930" t="s">
        <v>1360</v>
      </c>
      <c r="C930">
        <v>1</v>
      </c>
      <c r="D930" s="1">
        <v>44848</v>
      </c>
      <c r="E930">
        <v>991</v>
      </c>
      <c r="F930">
        <v>0</v>
      </c>
      <c r="G930">
        <v>36</v>
      </c>
      <c r="H930">
        <v>38</v>
      </c>
      <c r="I930">
        <v>13</v>
      </c>
      <c r="J930">
        <v>0</v>
      </c>
      <c r="K930">
        <v>3</v>
      </c>
      <c r="L930">
        <v>85559365</v>
      </c>
      <c r="M930">
        <v>162</v>
      </c>
      <c r="N930" t="s">
        <v>34</v>
      </c>
      <c r="O930" t="s">
        <v>45</v>
      </c>
      <c r="P930">
        <v>74</v>
      </c>
      <c r="Q930">
        <v>22</v>
      </c>
      <c r="R930" t="str" cm="1">
        <f t="array" ref="R930">_xlfn.IFS(Q930&gt;70,"Good",Q930&lt;40,"Bad",(Q930&gt;OS968*(Q930&lt;80)),"Ok")</f>
        <v>Bad</v>
      </c>
      <c r="S930">
        <v>67</v>
      </c>
      <c r="T930" t="str" cm="1">
        <f t="array" ref="T930">_xlfn.IFS(S930&gt;50, "High", S930&lt;=50, "Low")</f>
        <v>High</v>
      </c>
      <c r="U930">
        <v>0</v>
      </c>
      <c r="V930">
        <v>0</v>
      </c>
      <c r="W930">
        <v>11</v>
      </c>
      <c r="X930">
        <v>46</v>
      </c>
      <c r="Y930">
        <f t="shared" ca="1" si="14"/>
        <v>78.525617073084007</v>
      </c>
    </row>
    <row r="931" spans="1:25" x14ac:dyDescent="0.3">
      <c r="A931" t="s">
        <v>351</v>
      </c>
      <c r="B931" t="s">
        <v>1593</v>
      </c>
      <c r="C931">
        <v>3</v>
      </c>
      <c r="D931" s="1">
        <v>44826</v>
      </c>
      <c r="E931">
        <v>869</v>
      </c>
      <c r="F931">
        <v>7</v>
      </c>
      <c r="G931">
        <v>14</v>
      </c>
      <c r="H931">
        <v>12</v>
      </c>
      <c r="I931">
        <v>12</v>
      </c>
      <c r="J931">
        <v>2</v>
      </c>
      <c r="K931">
        <v>28</v>
      </c>
      <c r="L931">
        <v>146223492</v>
      </c>
      <c r="M931">
        <v>138</v>
      </c>
      <c r="N931" t="s">
        <v>181</v>
      </c>
      <c r="O931" t="s">
        <v>28</v>
      </c>
      <c r="P931">
        <v>80</v>
      </c>
      <c r="Q931">
        <v>82</v>
      </c>
      <c r="R931" t="str" cm="1">
        <f t="array" ref="R931">_xlfn.IFS(Q931&gt;70,"Good",Q931&lt;40,"Bad",(Q931&gt;OS969*(Q931&lt;80)),"Ok")</f>
        <v>Good</v>
      </c>
      <c r="S931">
        <v>81</v>
      </c>
      <c r="T931" t="str" cm="1">
        <f t="array" ref="T931">_xlfn.IFS(S931&gt;50, "High", S931&lt;=50, "Low")</f>
        <v>High</v>
      </c>
      <c r="U931">
        <v>14</v>
      </c>
      <c r="V931">
        <v>0</v>
      </c>
      <c r="W931">
        <v>13</v>
      </c>
      <c r="X931">
        <v>36</v>
      </c>
      <c r="Y931">
        <f t="shared" ca="1" si="14"/>
        <v>44.020918762492023</v>
      </c>
    </row>
    <row r="932" spans="1:25" x14ac:dyDescent="0.3">
      <c r="A932" t="s">
        <v>1594</v>
      </c>
      <c r="B932" t="s">
        <v>1595</v>
      </c>
      <c r="C932">
        <v>3</v>
      </c>
      <c r="D932" s="1">
        <v>44743</v>
      </c>
      <c r="E932">
        <v>648</v>
      </c>
      <c r="F932">
        <v>4</v>
      </c>
      <c r="G932">
        <v>0</v>
      </c>
      <c r="H932">
        <v>0</v>
      </c>
      <c r="I932">
        <v>30</v>
      </c>
      <c r="J932">
        <v>0</v>
      </c>
      <c r="K932">
        <v>0</v>
      </c>
      <c r="L932">
        <v>187701588</v>
      </c>
      <c r="M932">
        <v>161</v>
      </c>
      <c r="N932" t="s">
        <v>181</v>
      </c>
      <c r="O932" t="s">
        <v>45</v>
      </c>
      <c r="P932">
        <v>59</v>
      </c>
      <c r="Q932">
        <v>62</v>
      </c>
      <c r="R932" t="str" cm="1">
        <f t="array" ref="R932">_xlfn.IFS(Q932&gt;70,"Good",Q932&lt;40,"Bad",(Q932&gt;OS970*(Q932&lt;80)),"Ok")</f>
        <v>Ok</v>
      </c>
      <c r="S932">
        <v>60</v>
      </c>
      <c r="T932" t="str" cm="1">
        <f t="array" ref="T932">_xlfn.IFS(S932&gt;50, "High", S932&lt;=50, "Low")</f>
        <v>High</v>
      </c>
      <c r="U932">
        <v>12</v>
      </c>
      <c r="V932">
        <v>0</v>
      </c>
      <c r="W932">
        <v>5</v>
      </c>
      <c r="X932">
        <v>44</v>
      </c>
      <c r="Y932">
        <f t="shared" ca="1" si="14"/>
        <v>34.537200789489255</v>
      </c>
    </row>
    <row r="933" spans="1:25" x14ac:dyDescent="0.3">
      <c r="A933" t="s">
        <v>1596</v>
      </c>
      <c r="B933" t="s">
        <v>447</v>
      </c>
      <c r="C933">
        <v>2</v>
      </c>
      <c r="D933" s="1">
        <v>44869</v>
      </c>
      <c r="E933">
        <v>1545</v>
      </c>
      <c r="F933">
        <v>0</v>
      </c>
      <c r="G933">
        <v>22</v>
      </c>
      <c r="H933">
        <v>7</v>
      </c>
      <c r="I933">
        <v>15</v>
      </c>
      <c r="J933">
        <v>0</v>
      </c>
      <c r="K933">
        <v>0</v>
      </c>
      <c r="L933">
        <v>154863153</v>
      </c>
      <c r="M933">
        <v>131</v>
      </c>
      <c r="N933" t="s">
        <v>81</v>
      </c>
      <c r="O933" t="s">
        <v>45</v>
      </c>
      <c r="P933">
        <v>91</v>
      </c>
      <c r="Q933">
        <v>23</v>
      </c>
      <c r="R933" t="str" cm="1">
        <f t="array" ref="R933">_xlfn.IFS(Q933&gt;70,"Good",Q933&lt;40,"Bad",(Q933&gt;OS971*(Q933&lt;80)),"Ok")</f>
        <v>Bad</v>
      </c>
      <c r="S933">
        <v>55</v>
      </c>
      <c r="T933" t="str" cm="1">
        <f t="array" ref="T933">_xlfn.IFS(S933&gt;50, "High", S933&lt;=50, "Low")</f>
        <v>High</v>
      </c>
      <c r="U933">
        <v>1</v>
      </c>
      <c r="V933">
        <v>0</v>
      </c>
      <c r="W933">
        <v>7</v>
      </c>
      <c r="X933">
        <v>32</v>
      </c>
      <c r="Y933">
        <f t="shared" ca="1" si="14"/>
        <v>41.92477362432804</v>
      </c>
    </row>
    <row r="934" spans="1:25" x14ac:dyDescent="0.3">
      <c r="A934" t="s">
        <v>1597</v>
      </c>
      <c r="B934" t="s">
        <v>1598</v>
      </c>
      <c r="C934">
        <v>3</v>
      </c>
      <c r="D934" s="1">
        <v>44869</v>
      </c>
      <c r="E934">
        <v>1930</v>
      </c>
      <c r="F934">
        <v>0</v>
      </c>
      <c r="G934">
        <v>24</v>
      </c>
      <c r="H934">
        <v>8</v>
      </c>
      <c r="I934">
        <v>17</v>
      </c>
      <c r="J934">
        <v>0</v>
      </c>
      <c r="K934">
        <v>1</v>
      </c>
      <c r="L934">
        <v>191333656</v>
      </c>
      <c r="M934">
        <v>122</v>
      </c>
      <c r="N934" t="s">
        <v>134</v>
      </c>
      <c r="O934" t="s">
        <v>45</v>
      </c>
      <c r="P934">
        <v>75</v>
      </c>
      <c r="Q934">
        <v>45</v>
      </c>
      <c r="R934" t="str" cm="1">
        <f t="array" ref="R934">_xlfn.IFS(Q934&gt;70,"Good",Q934&lt;40,"Bad",(Q934&gt;OS972*(Q934&lt;80)),"Ok")</f>
        <v>Ok</v>
      </c>
      <c r="S934">
        <v>63</v>
      </c>
      <c r="T934" t="str" cm="1">
        <f t="array" ref="T934">_xlfn.IFS(S934&gt;50, "High", S934&lt;=50, "Low")</f>
        <v>High</v>
      </c>
      <c r="U934">
        <v>6</v>
      </c>
      <c r="V934">
        <v>0</v>
      </c>
      <c r="W934">
        <v>35</v>
      </c>
      <c r="X934">
        <v>12</v>
      </c>
      <c r="Y934">
        <f t="shared" ca="1" si="14"/>
        <v>86.634540360827103</v>
      </c>
    </row>
    <row r="935" spans="1:25" x14ac:dyDescent="0.3">
      <c r="A935" t="s">
        <v>1599</v>
      </c>
      <c r="B935" t="s">
        <v>36</v>
      </c>
      <c r="C935">
        <v>1</v>
      </c>
      <c r="D935" s="1">
        <v>44855</v>
      </c>
      <c r="E935">
        <v>1948</v>
      </c>
      <c r="F935">
        <v>0</v>
      </c>
      <c r="G935">
        <v>12</v>
      </c>
      <c r="H935">
        <v>9</v>
      </c>
      <c r="I935">
        <v>16</v>
      </c>
      <c r="J935">
        <v>0</v>
      </c>
      <c r="K935">
        <v>0</v>
      </c>
      <c r="L935">
        <v>253650850</v>
      </c>
      <c r="M935">
        <v>80</v>
      </c>
      <c r="N935" t="s">
        <v>134</v>
      </c>
      <c r="O935" t="s">
        <v>45</v>
      </c>
      <c r="P935">
        <v>80</v>
      </c>
      <c r="Q935">
        <v>16</v>
      </c>
      <c r="R935" t="str" cm="1">
        <f t="array" ref="R935">_xlfn.IFS(Q935&gt;70,"Good",Q935&lt;40,"Bad",(Q935&gt;OS973*(Q935&lt;80)),"Ok")</f>
        <v>Bad</v>
      </c>
      <c r="S935">
        <v>28</v>
      </c>
      <c r="T935" t="str" cm="1">
        <f t="array" ref="T935">_xlfn.IFS(S935&gt;50, "High", S935&lt;=50, "Low")</f>
        <v>Low</v>
      </c>
      <c r="U935">
        <v>17</v>
      </c>
      <c r="V935">
        <v>0</v>
      </c>
      <c r="W935">
        <v>12</v>
      </c>
      <c r="X935">
        <v>39</v>
      </c>
      <c r="Y935">
        <f t="shared" ca="1" si="14"/>
        <v>16.62443091975042</v>
      </c>
    </row>
    <row r="936" spans="1:25" x14ac:dyDescent="0.3">
      <c r="A936" t="s">
        <v>1600</v>
      </c>
      <c r="B936" t="s">
        <v>36</v>
      </c>
      <c r="C936">
        <v>1</v>
      </c>
      <c r="D936" s="1">
        <v>44855</v>
      </c>
      <c r="E936">
        <v>1608</v>
      </c>
      <c r="F936">
        <v>0</v>
      </c>
      <c r="G936">
        <v>10</v>
      </c>
      <c r="H936">
        <v>3</v>
      </c>
      <c r="I936">
        <v>12</v>
      </c>
      <c r="J936">
        <v>0</v>
      </c>
      <c r="K936">
        <v>0</v>
      </c>
      <c r="L936">
        <v>223064273</v>
      </c>
      <c r="M936">
        <v>109</v>
      </c>
      <c r="N936" t="s">
        <v>94</v>
      </c>
      <c r="O936" t="s">
        <v>28</v>
      </c>
      <c r="P936">
        <v>75</v>
      </c>
      <c r="Q936">
        <v>11</v>
      </c>
      <c r="R936" t="str" cm="1">
        <f t="array" ref="R936">_xlfn.IFS(Q936&gt;70,"Good",Q936&lt;40,"Bad",(Q936&gt;OS974*(Q936&lt;80)),"Ok")</f>
        <v>Bad</v>
      </c>
      <c r="S936">
        <v>50</v>
      </c>
      <c r="T936" t="str" cm="1">
        <f t="array" ref="T936">_xlfn.IFS(S936&gt;50, "High", S936&lt;=50, "Low")</f>
        <v>Low</v>
      </c>
      <c r="U936">
        <v>20</v>
      </c>
      <c r="V936">
        <v>0</v>
      </c>
      <c r="W936">
        <v>30</v>
      </c>
      <c r="X936">
        <v>17</v>
      </c>
      <c r="Y936">
        <f t="shared" ca="1" si="14"/>
        <v>93.653486610410368</v>
      </c>
    </row>
    <row r="937" spans="1:25" x14ac:dyDescent="0.3">
      <c r="A937" t="s">
        <v>1601</v>
      </c>
      <c r="B937" t="s">
        <v>447</v>
      </c>
      <c r="C937">
        <v>2</v>
      </c>
      <c r="D937" s="1">
        <v>44869</v>
      </c>
      <c r="E937">
        <v>1338</v>
      </c>
      <c r="F937">
        <v>0</v>
      </c>
      <c r="G937">
        <v>9</v>
      </c>
      <c r="H937">
        <v>20</v>
      </c>
      <c r="I937">
        <v>7</v>
      </c>
      <c r="J937">
        <v>0</v>
      </c>
      <c r="K937">
        <v>0</v>
      </c>
      <c r="L937">
        <v>170413877</v>
      </c>
      <c r="M937">
        <v>158</v>
      </c>
      <c r="N937" t="s">
        <v>37</v>
      </c>
      <c r="O937" t="s">
        <v>28</v>
      </c>
      <c r="P937">
        <v>84</v>
      </c>
      <c r="Q937">
        <v>33</v>
      </c>
      <c r="R937" t="str" cm="1">
        <f t="array" ref="R937">_xlfn.IFS(Q937&gt;70,"Good",Q937&lt;40,"Bad",(Q937&gt;OS975*(Q937&lt;80)),"Ok")</f>
        <v>Bad</v>
      </c>
      <c r="S937">
        <v>36</v>
      </c>
      <c r="T937" t="str" cm="1">
        <f t="array" ref="T937">_xlfn.IFS(S937&gt;50, "High", S937&lt;=50, "Low")</f>
        <v>Low</v>
      </c>
      <c r="U937">
        <v>2</v>
      </c>
      <c r="V937">
        <v>0</v>
      </c>
      <c r="W937">
        <v>39</v>
      </c>
      <c r="X937">
        <v>59</v>
      </c>
      <c r="Y937">
        <f t="shared" ca="1" si="14"/>
        <v>74.777128705701827</v>
      </c>
    </row>
    <row r="938" spans="1:25" x14ac:dyDescent="0.3">
      <c r="A938" t="s">
        <v>1602</v>
      </c>
      <c r="B938" t="s">
        <v>36</v>
      </c>
      <c r="C938">
        <v>1</v>
      </c>
      <c r="D938" s="1">
        <v>44855</v>
      </c>
      <c r="E938">
        <v>1936</v>
      </c>
      <c r="F938">
        <v>0</v>
      </c>
      <c r="G938">
        <v>7</v>
      </c>
      <c r="H938">
        <v>5</v>
      </c>
      <c r="I938">
        <v>13</v>
      </c>
      <c r="J938">
        <v>0</v>
      </c>
      <c r="K938">
        <v>0</v>
      </c>
      <c r="L938">
        <v>218320587</v>
      </c>
      <c r="M938">
        <v>126</v>
      </c>
      <c r="N938" t="s">
        <v>134</v>
      </c>
      <c r="O938" t="s">
        <v>28</v>
      </c>
      <c r="P938">
        <v>66</v>
      </c>
      <c r="Q938">
        <v>12</v>
      </c>
      <c r="R938" t="str" cm="1">
        <f t="array" ref="R938">_xlfn.IFS(Q938&gt;70,"Good",Q938&lt;40,"Bad",(Q938&gt;OS976*(Q938&lt;80)),"Ok")</f>
        <v>Bad</v>
      </c>
      <c r="S938">
        <v>35</v>
      </c>
      <c r="T938" t="str" cm="1">
        <f t="array" ref="T938">_xlfn.IFS(S938&gt;50, "High", S938&lt;=50, "Low")</f>
        <v>Low</v>
      </c>
      <c r="U938">
        <v>55</v>
      </c>
      <c r="V938">
        <v>0</v>
      </c>
      <c r="W938">
        <v>9</v>
      </c>
      <c r="X938">
        <v>14</v>
      </c>
      <c r="Y938">
        <f t="shared" ca="1" si="14"/>
        <v>14.228173014753164</v>
      </c>
    </row>
    <row r="939" spans="1:25" x14ac:dyDescent="0.3">
      <c r="A939" t="s">
        <v>1603</v>
      </c>
      <c r="B939" t="s">
        <v>447</v>
      </c>
      <c r="C939">
        <v>2</v>
      </c>
      <c r="D939" s="1">
        <v>44869</v>
      </c>
      <c r="E939">
        <v>1794</v>
      </c>
      <c r="F939">
        <v>0</v>
      </c>
      <c r="G939">
        <v>26</v>
      </c>
      <c r="H939">
        <v>9</v>
      </c>
      <c r="I939">
        <v>17</v>
      </c>
      <c r="J939">
        <v>0</v>
      </c>
      <c r="K939">
        <v>3</v>
      </c>
      <c r="L939">
        <v>141720999</v>
      </c>
      <c r="M939">
        <v>104</v>
      </c>
      <c r="N939" t="s">
        <v>31</v>
      </c>
      <c r="O939" t="s">
        <v>28</v>
      </c>
      <c r="P939">
        <v>73</v>
      </c>
      <c r="Q939">
        <v>25</v>
      </c>
      <c r="R939" t="str" cm="1">
        <f t="array" ref="R939">_xlfn.IFS(Q939&gt;70,"Good",Q939&lt;40,"Bad",(Q939&gt;OS977*(Q939&lt;80)),"Ok")</f>
        <v>Bad</v>
      </c>
      <c r="S939">
        <v>61</v>
      </c>
      <c r="T939" t="str" cm="1">
        <f t="array" ref="T939">_xlfn.IFS(S939&gt;50, "High", S939&lt;=50, "Low")</f>
        <v>High</v>
      </c>
      <c r="U939">
        <v>1</v>
      </c>
      <c r="V939">
        <v>0</v>
      </c>
      <c r="W939">
        <v>32</v>
      </c>
      <c r="X939">
        <v>7</v>
      </c>
      <c r="Y939">
        <f t="shared" ca="1" si="14"/>
        <v>82.985943908716138</v>
      </c>
    </row>
    <row r="940" spans="1:25" x14ac:dyDescent="0.3">
      <c r="A940" t="s">
        <v>1604</v>
      </c>
      <c r="B940" t="s">
        <v>36</v>
      </c>
      <c r="C940">
        <v>1</v>
      </c>
      <c r="D940" s="1">
        <v>44855</v>
      </c>
      <c r="E940">
        <v>1597</v>
      </c>
      <c r="F940">
        <v>0</v>
      </c>
      <c r="G940">
        <v>6</v>
      </c>
      <c r="H940">
        <v>3</v>
      </c>
      <c r="I940">
        <v>15</v>
      </c>
      <c r="J940">
        <v>0</v>
      </c>
      <c r="K940">
        <v>0</v>
      </c>
      <c r="L940">
        <v>187339835</v>
      </c>
      <c r="M940">
        <v>110</v>
      </c>
      <c r="O940" t="s">
        <v>28</v>
      </c>
      <c r="P940">
        <v>48</v>
      </c>
      <c r="Q940">
        <v>15</v>
      </c>
      <c r="R940" t="str" cm="1">
        <f t="array" ref="R940">_xlfn.IFS(Q940&gt;70,"Good",Q940&lt;40,"Bad",(Q940&gt;OS978*(Q940&lt;80)),"Ok")</f>
        <v>Bad</v>
      </c>
      <c r="S940">
        <v>31</v>
      </c>
      <c r="T940" t="str" cm="1">
        <f t="array" ref="T940">_xlfn.IFS(S940&gt;50, "High", S940&lt;=50, "Low")</f>
        <v>Low</v>
      </c>
      <c r="U940">
        <v>80</v>
      </c>
      <c r="V940">
        <v>22</v>
      </c>
      <c r="W940">
        <v>12</v>
      </c>
      <c r="X940">
        <v>4</v>
      </c>
      <c r="Y940">
        <f t="shared" ca="1" si="14"/>
        <v>97.059747221147376</v>
      </c>
    </row>
    <row r="941" spans="1:25" x14ac:dyDescent="0.3">
      <c r="A941" t="s">
        <v>1605</v>
      </c>
      <c r="B941" t="s">
        <v>447</v>
      </c>
      <c r="C941">
        <v>2</v>
      </c>
      <c r="D941" s="1">
        <v>44869</v>
      </c>
      <c r="E941">
        <v>1652</v>
      </c>
      <c r="F941">
        <v>2</v>
      </c>
      <c r="G941">
        <v>26</v>
      </c>
      <c r="H941">
        <v>52</v>
      </c>
      <c r="I941">
        <v>10</v>
      </c>
      <c r="J941">
        <v>0</v>
      </c>
      <c r="K941">
        <v>95</v>
      </c>
      <c r="L941">
        <v>198365537</v>
      </c>
      <c r="M941">
        <v>130</v>
      </c>
      <c r="N941" t="s">
        <v>94</v>
      </c>
      <c r="O941" t="s">
        <v>28</v>
      </c>
      <c r="P941">
        <v>77</v>
      </c>
      <c r="Q941">
        <v>20</v>
      </c>
      <c r="R941" t="str" cm="1">
        <f t="array" ref="R941">_xlfn.IFS(Q941&gt;70,"Good",Q941&lt;40,"Bad",(Q941&gt;OS979*(Q941&lt;80)),"Ok")</f>
        <v>Bad</v>
      </c>
      <c r="S941">
        <v>70</v>
      </c>
      <c r="T941" t="str" cm="1">
        <f t="array" ref="T941">_xlfn.IFS(S941&gt;50, "High", S941&lt;=50, "Low")</f>
        <v>High</v>
      </c>
      <c r="U941">
        <v>1</v>
      </c>
      <c r="V941">
        <v>0</v>
      </c>
      <c r="W941">
        <v>16</v>
      </c>
      <c r="X941">
        <v>5</v>
      </c>
      <c r="Y941">
        <f t="shared" ca="1" si="14"/>
        <v>5.2015475110522953</v>
      </c>
    </row>
    <row r="942" spans="1:25" x14ac:dyDescent="0.3">
      <c r="A942" t="s">
        <v>1606</v>
      </c>
      <c r="B942" t="s">
        <v>36</v>
      </c>
      <c r="C942">
        <v>1</v>
      </c>
      <c r="D942" s="1">
        <v>44855</v>
      </c>
      <c r="E942">
        <v>1747</v>
      </c>
      <c r="F942">
        <v>0</v>
      </c>
      <c r="G942">
        <v>9</v>
      </c>
      <c r="H942">
        <v>6</v>
      </c>
      <c r="I942">
        <v>13</v>
      </c>
      <c r="J942">
        <v>0</v>
      </c>
      <c r="K942">
        <v>2</v>
      </c>
      <c r="L942">
        <v>186104310</v>
      </c>
      <c r="M942">
        <v>177</v>
      </c>
      <c r="O942" t="s">
        <v>28</v>
      </c>
      <c r="P942">
        <v>34</v>
      </c>
      <c r="Q942">
        <v>39</v>
      </c>
      <c r="R942" t="str" cm="1">
        <f t="array" ref="R942">_xlfn.IFS(Q942&gt;70,"Good",Q942&lt;40,"Bad",(Q942&gt;OS980*(Q942&lt;80)),"Ok")</f>
        <v>Bad</v>
      </c>
      <c r="S942">
        <v>16</v>
      </c>
      <c r="T942" t="str" cm="1">
        <f t="array" ref="T942">_xlfn.IFS(S942&gt;50, "High", S942&lt;=50, "Low")</f>
        <v>Low</v>
      </c>
      <c r="U942">
        <v>97</v>
      </c>
      <c r="V942">
        <v>0</v>
      </c>
      <c r="W942">
        <v>12</v>
      </c>
      <c r="X942">
        <v>5</v>
      </c>
      <c r="Y942">
        <f t="shared" ca="1" si="14"/>
        <v>81.343208292129702</v>
      </c>
    </row>
    <row r="943" spans="1:25" x14ac:dyDescent="0.3">
      <c r="A943" t="s">
        <v>1607</v>
      </c>
      <c r="B943" t="s">
        <v>36</v>
      </c>
      <c r="C943">
        <v>1</v>
      </c>
      <c r="D943" s="1">
        <v>44855</v>
      </c>
      <c r="E943">
        <v>1715</v>
      </c>
      <c r="F943">
        <v>0</v>
      </c>
      <c r="G943">
        <v>4</v>
      </c>
      <c r="H943">
        <v>5</v>
      </c>
      <c r="I943">
        <v>8</v>
      </c>
      <c r="J943">
        <v>0</v>
      </c>
      <c r="K943">
        <v>0</v>
      </c>
      <c r="L943">
        <v>177503916</v>
      </c>
      <c r="M943">
        <v>158</v>
      </c>
      <c r="N943" t="s">
        <v>94</v>
      </c>
      <c r="O943" t="s">
        <v>28</v>
      </c>
      <c r="P943">
        <v>48</v>
      </c>
      <c r="Q943">
        <v>55</v>
      </c>
      <c r="R943" t="str" cm="1">
        <f t="array" ref="R943">_xlfn.IFS(Q943&gt;70,"Good",Q943&lt;40,"Bad",(Q943&gt;OS981*(Q943&lt;80)),"Ok")</f>
        <v>Ok</v>
      </c>
      <c r="S943">
        <v>84</v>
      </c>
      <c r="T943" t="str" cm="1">
        <f t="array" ref="T943">_xlfn.IFS(S943&gt;50, "High", S943&lt;=50, "Low")</f>
        <v>High</v>
      </c>
      <c r="U943">
        <v>43</v>
      </c>
      <c r="V943">
        <v>0</v>
      </c>
      <c r="W943">
        <v>15</v>
      </c>
      <c r="X943">
        <v>12</v>
      </c>
      <c r="Y943">
        <f t="shared" ca="1" si="14"/>
        <v>88.959515107316506</v>
      </c>
    </row>
    <row r="944" spans="1:25" x14ac:dyDescent="0.3">
      <c r="A944" t="s">
        <v>1608</v>
      </c>
      <c r="B944" t="s">
        <v>1609</v>
      </c>
      <c r="C944">
        <v>2</v>
      </c>
      <c r="D944" s="1">
        <v>44869</v>
      </c>
      <c r="E944">
        <v>486</v>
      </c>
      <c r="F944">
        <v>0</v>
      </c>
      <c r="G944">
        <v>8</v>
      </c>
      <c r="H944">
        <v>1</v>
      </c>
      <c r="I944">
        <v>7</v>
      </c>
      <c r="J944">
        <v>0</v>
      </c>
      <c r="K944">
        <v>0</v>
      </c>
      <c r="L944">
        <v>71095708</v>
      </c>
      <c r="M944">
        <v>114</v>
      </c>
      <c r="N944" t="s">
        <v>61</v>
      </c>
      <c r="O944" t="s">
        <v>45</v>
      </c>
      <c r="P944">
        <v>62</v>
      </c>
      <c r="Q944">
        <v>25</v>
      </c>
      <c r="R944" t="str" cm="1">
        <f t="array" ref="R944">_xlfn.IFS(Q944&gt;70,"Good",Q944&lt;40,"Bad",(Q944&gt;OS982*(Q944&lt;80)),"Ok")</f>
        <v>Bad</v>
      </c>
      <c r="S944">
        <v>44</v>
      </c>
      <c r="T944" t="str" cm="1">
        <f t="array" ref="T944">_xlfn.IFS(S944&gt;50, "High", S944&lt;=50, "Low")</f>
        <v>Low</v>
      </c>
      <c r="U944">
        <v>51</v>
      </c>
      <c r="V944">
        <v>33</v>
      </c>
      <c r="W944">
        <v>14</v>
      </c>
      <c r="X944">
        <v>3</v>
      </c>
      <c r="Y944">
        <f t="shared" ca="1" si="14"/>
        <v>81.839575445317948</v>
      </c>
    </row>
    <row r="945" spans="1:25" x14ac:dyDescent="0.3">
      <c r="A945" t="s">
        <v>1610</v>
      </c>
      <c r="B945" t="s">
        <v>447</v>
      </c>
      <c r="C945">
        <v>2</v>
      </c>
      <c r="D945" s="1">
        <v>44869</v>
      </c>
      <c r="E945">
        <v>1007</v>
      </c>
      <c r="F945">
        <v>0</v>
      </c>
      <c r="G945">
        <v>6</v>
      </c>
      <c r="H945">
        <v>5</v>
      </c>
      <c r="I945">
        <v>3</v>
      </c>
      <c r="J945">
        <v>0</v>
      </c>
      <c r="K945">
        <v>0</v>
      </c>
      <c r="L945">
        <v>112436403</v>
      </c>
      <c r="M945">
        <v>144</v>
      </c>
      <c r="N945" t="s">
        <v>34</v>
      </c>
      <c r="O945" t="s">
        <v>28</v>
      </c>
      <c r="P945">
        <v>93</v>
      </c>
      <c r="Q945">
        <v>62</v>
      </c>
      <c r="R945" t="str" cm="1">
        <f t="array" ref="R945">_xlfn.IFS(Q945&gt;70,"Good",Q945&lt;40,"Bad",(Q945&gt;OS983*(Q945&lt;80)),"Ok")</f>
        <v>Ok</v>
      </c>
      <c r="S945">
        <v>61</v>
      </c>
      <c r="T945" t="str" cm="1">
        <f t="array" ref="T945">_xlfn.IFS(S945&gt;50, "High", S945&lt;=50, "Low")</f>
        <v>High</v>
      </c>
      <c r="U945">
        <v>0</v>
      </c>
      <c r="V945">
        <v>0</v>
      </c>
      <c r="W945">
        <v>12</v>
      </c>
      <c r="X945">
        <v>20</v>
      </c>
      <c r="Y945">
        <f t="shared" ca="1" si="14"/>
        <v>80.372231189452719</v>
      </c>
    </row>
    <row r="946" spans="1:25" x14ac:dyDescent="0.3">
      <c r="A946" t="s">
        <v>1611</v>
      </c>
      <c r="B946" t="s">
        <v>1612</v>
      </c>
      <c r="C946">
        <v>1</v>
      </c>
      <c r="D946" s="1">
        <v>44862</v>
      </c>
      <c r="E946">
        <v>481</v>
      </c>
      <c r="F946">
        <v>9</v>
      </c>
      <c r="G946">
        <v>10</v>
      </c>
      <c r="H946">
        <v>100</v>
      </c>
      <c r="I946">
        <v>15</v>
      </c>
      <c r="J946">
        <v>1</v>
      </c>
      <c r="K946">
        <v>27</v>
      </c>
      <c r="L946">
        <v>203436468</v>
      </c>
      <c r="M946">
        <v>125</v>
      </c>
      <c r="N946" t="s">
        <v>34</v>
      </c>
      <c r="O946" t="s">
        <v>28</v>
      </c>
      <c r="P946">
        <v>54</v>
      </c>
      <c r="Q946">
        <v>22</v>
      </c>
      <c r="R946" t="str" cm="1">
        <f t="array" ref="R946">_xlfn.IFS(Q946&gt;70,"Good",Q946&lt;40,"Bad",(Q946&gt;OS984*(Q946&lt;80)),"Ok")</f>
        <v>Bad</v>
      </c>
      <c r="S946">
        <v>76</v>
      </c>
      <c r="T946" t="str" cm="1">
        <f t="array" ref="T946">_xlfn.IFS(S946&gt;50, "High", S946&lt;=50, "Low")</f>
        <v>High</v>
      </c>
      <c r="U946">
        <v>0</v>
      </c>
      <c r="V946">
        <v>0</v>
      </c>
      <c r="W946">
        <v>14</v>
      </c>
      <c r="X946">
        <v>3</v>
      </c>
      <c r="Y946">
        <f t="shared" ca="1" si="14"/>
        <v>41.04323919331123</v>
      </c>
    </row>
    <row r="947" spans="1:25" x14ac:dyDescent="0.3">
      <c r="A947" t="s">
        <v>1613</v>
      </c>
      <c r="B947" t="s">
        <v>616</v>
      </c>
      <c r="C947">
        <v>1</v>
      </c>
      <c r="D947" s="1">
        <v>44869</v>
      </c>
      <c r="E947">
        <v>1045</v>
      </c>
      <c r="F947">
        <v>0</v>
      </c>
      <c r="G947">
        <v>8</v>
      </c>
      <c r="H947">
        <v>5</v>
      </c>
      <c r="I947">
        <v>2</v>
      </c>
      <c r="J947">
        <v>0</v>
      </c>
      <c r="K947">
        <v>0</v>
      </c>
      <c r="L947">
        <v>93367537</v>
      </c>
      <c r="M947">
        <v>142</v>
      </c>
      <c r="N947" t="s">
        <v>34</v>
      </c>
      <c r="O947" t="s">
        <v>45</v>
      </c>
      <c r="P947">
        <v>85</v>
      </c>
      <c r="Q947">
        <v>40</v>
      </c>
      <c r="R947" t="str" cm="1">
        <f t="array" ref="R947">_xlfn.IFS(Q947&gt;70,"Good",Q947&lt;40,"Bad",(Q947&gt;OS985*(Q947&lt;80)),"Ok")</f>
        <v>Ok</v>
      </c>
      <c r="S947">
        <v>43</v>
      </c>
      <c r="T947" t="str" cm="1">
        <f t="array" ref="T947">_xlfn.IFS(S947&gt;50, "High", S947&lt;=50, "Low")</f>
        <v>Low</v>
      </c>
      <c r="U947">
        <v>4</v>
      </c>
      <c r="V947">
        <v>0</v>
      </c>
      <c r="W947">
        <v>39</v>
      </c>
      <c r="X947">
        <v>32</v>
      </c>
      <c r="Y947">
        <f t="shared" ca="1" si="14"/>
        <v>67.71041103460766</v>
      </c>
    </row>
    <row r="948" spans="1:25" x14ac:dyDescent="0.3">
      <c r="A948" t="s">
        <v>1614</v>
      </c>
      <c r="B948" t="s">
        <v>447</v>
      </c>
      <c r="C948">
        <v>2</v>
      </c>
      <c r="D948" s="1">
        <v>44869</v>
      </c>
      <c r="E948">
        <v>1060</v>
      </c>
      <c r="F948">
        <v>0</v>
      </c>
      <c r="G948">
        <v>3</v>
      </c>
      <c r="H948">
        <v>8</v>
      </c>
      <c r="I948">
        <v>5</v>
      </c>
      <c r="J948">
        <v>0</v>
      </c>
      <c r="K948">
        <v>0</v>
      </c>
      <c r="L948">
        <v>106249219</v>
      </c>
      <c r="M948">
        <v>120</v>
      </c>
      <c r="N948" t="s">
        <v>61</v>
      </c>
      <c r="O948" t="s">
        <v>28</v>
      </c>
      <c r="P948">
        <v>64</v>
      </c>
      <c r="Q948">
        <v>11</v>
      </c>
      <c r="R948" t="str" cm="1">
        <f t="array" ref="R948">_xlfn.IFS(Q948&gt;70,"Good",Q948&lt;40,"Bad",(Q948&gt;OS986*(Q948&lt;80)),"Ok")</f>
        <v>Bad</v>
      </c>
      <c r="S948">
        <v>53</v>
      </c>
      <c r="T948" t="str" cm="1">
        <f t="array" ref="T948">_xlfn.IFS(S948&gt;50, "High", S948&lt;=50, "Low")</f>
        <v>High</v>
      </c>
      <c r="U948">
        <v>1</v>
      </c>
      <c r="V948">
        <v>0</v>
      </c>
      <c r="W948">
        <v>25</v>
      </c>
      <c r="X948">
        <v>27</v>
      </c>
      <c r="Y948">
        <f t="shared" ca="1" si="14"/>
        <v>9.7251595404234674</v>
      </c>
    </row>
    <row r="949" spans="1:25" x14ac:dyDescent="0.3">
      <c r="A949" t="s">
        <v>1615</v>
      </c>
      <c r="B949" t="s">
        <v>36</v>
      </c>
      <c r="C949">
        <v>1</v>
      </c>
      <c r="D949" s="1">
        <v>44855</v>
      </c>
      <c r="E949">
        <v>1274</v>
      </c>
      <c r="F949">
        <v>0</v>
      </c>
      <c r="G949">
        <v>1</v>
      </c>
      <c r="H949">
        <v>6</v>
      </c>
      <c r="I949">
        <v>11</v>
      </c>
      <c r="J949">
        <v>0</v>
      </c>
      <c r="K949">
        <v>0</v>
      </c>
      <c r="L949">
        <v>181382590</v>
      </c>
      <c r="M949">
        <v>96</v>
      </c>
      <c r="N949" t="s">
        <v>34</v>
      </c>
      <c r="O949" t="s">
        <v>28</v>
      </c>
      <c r="P949">
        <v>57</v>
      </c>
      <c r="Q949">
        <v>55</v>
      </c>
      <c r="R949" t="str" cm="1">
        <f t="array" ref="R949">_xlfn.IFS(Q949&gt;70,"Good",Q949&lt;40,"Bad",(Q949&gt;OS987*(Q949&lt;80)),"Ok")</f>
        <v>Ok</v>
      </c>
      <c r="S949">
        <v>74</v>
      </c>
      <c r="T949" t="str" cm="1">
        <f t="array" ref="T949">_xlfn.IFS(S949&gt;50, "High", S949&lt;=50, "Low")</f>
        <v>High</v>
      </c>
      <c r="U949">
        <v>22</v>
      </c>
      <c r="V949">
        <v>0</v>
      </c>
      <c r="W949">
        <v>8</v>
      </c>
      <c r="X949">
        <v>4</v>
      </c>
      <c r="Y949">
        <f t="shared" ca="1" si="14"/>
        <v>78.021588929603837</v>
      </c>
    </row>
    <row r="950" spans="1:25" x14ac:dyDescent="0.3">
      <c r="A950" t="s">
        <v>1616</v>
      </c>
      <c r="B950" t="s">
        <v>1617</v>
      </c>
      <c r="C950">
        <v>1</v>
      </c>
      <c r="D950" s="1">
        <v>44868</v>
      </c>
      <c r="E950">
        <v>953</v>
      </c>
      <c r="F950">
        <v>0</v>
      </c>
      <c r="G950">
        <v>61</v>
      </c>
      <c r="H950">
        <v>13</v>
      </c>
      <c r="I950">
        <v>37</v>
      </c>
      <c r="J950">
        <v>1</v>
      </c>
      <c r="K950">
        <v>0</v>
      </c>
      <c r="L950">
        <v>91473363</v>
      </c>
      <c r="M950">
        <v>144</v>
      </c>
      <c r="N950" t="s">
        <v>37</v>
      </c>
      <c r="O950" t="s">
        <v>28</v>
      </c>
      <c r="P950">
        <v>60</v>
      </c>
      <c r="Q950">
        <v>24</v>
      </c>
      <c r="R950" t="str" cm="1">
        <f t="array" ref="R950">_xlfn.IFS(Q950&gt;70,"Good",Q950&lt;40,"Bad",(Q950&gt;OS988*(Q950&lt;80)),"Ok")</f>
        <v>Bad</v>
      </c>
      <c r="S950">
        <v>39</v>
      </c>
      <c r="T950" t="str" cm="1">
        <f t="array" ref="T950">_xlfn.IFS(S950&gt;50, "High", S950&lt;=50, "Low")</f>
        <v>Low</v>
      </c>
      <c r="U950">
        <v>57</v>
      </c>
      <c r="V950">
        <v>0</v>
      </c>
      <c r="W950">
        <v>8</v>
      </c>
      <c r="X950">
        <v>3</v>
      </c>
      <c r="Y950">
        <f t="shared" ca="1" si="14"/>
        <v>67.923972363636466</v>
      </c>
    </row>
    <row r="951" spans="1:25" x14ac:dyDescent="0.3">
      <c r="A951" t="s">
        <v>1618</v>
      </c>
      <c r="B951" t="s">
        <v>36</v>
      </c>
      <c r="C951">
        <v>1</v>
      </c>
      <c r="D951" s="1">
        <v>44855</v>
      </c>
      <c r="E951">
        <v>1180</v>
      </c>
      <c r="F951">
        <v>0</v>
      </c>
      <c r="G951">
        <v>4</v>
      </c>
      <c r="H951">
        <v>0</v>
      </c>
      <c r="I951">
        <v>8</v>
      </c>
      <c r="J951">
        <v>0</v>
      </c>
      <c r="K951">
        <v>0</v>
      </c>
      <c r="L951">
        <v>121871870</v>
      </c>
      <c r="M951">
        <v>166</v>
      </c>
      <c r="N951" t="s">
        <v>65</v>
      </c>
      <c r="O951" t="s">
        <v>28</v>
      </c>
      <c r="P951">
        <v>42</v>
      </c>
      <c r="Q951">
        <v>7</v>
      </c>
      <c r="R951" t="str" cm="1">
        <f t="array" ref="R951">_xlfn.IFS(Q951&gt;70,"Good",Q951&lt;40,"Bad",(Q951&gt;OS989*(Q951&lt;80)),"Ok")</f>
        <v>Bad</v>
      </c>
      <c r="S951">
        <v>24</v>
      </c>
      <c r="T951" t="str" cm="1">
        <f t="array" ref="T951">_xlfn.IFS(S951&gt;50, "High", S951&lt;=50, "Low")</f>
        <v>Low</v>
      </c>
      <c r="U951">
        <v>83</v>
      </c>
      <c r="V951">
        <v>1</v>
      </c>
      <c r="W951">
        <v>12</v>
      </c>
      <c r="X951">
        <v>6</v>
      </c>
      <c r="Y951">
        <f t="shared" ca="1" si="14"/>
        <v>2.9290042709069541</v>
      </c>
    </row>
    <row r="952" spans="1:25" x14ac:dyDescent="0.3">
      <c r="A952" t="s">
        <v>539</v>
      </c>
      <c r="B952" t="s">
        <v>1619</v>
      </c>
      <c r="C952">
        <v>2</v>
      </c>
      <c r="D952" s="1">
        <v>44868</v>
      </c>
      <c r="E952">
        <v>573</v>
      </c>
      <c r="F952">
        <v>0</v>
      </c>
      <c r="G952">
        <v>2</v>
      </c>
      <c r="H952">
        <v>0</v>
      </c>
      <c r="I952">
        <v>7</v>
      </c>
      <c r="J952">
        <v>0</v>
      </c>
      <c r="K952">
        <v>0</v>
      </c>
      <c r="L952">
        <v>73513683</v>
      </c>
      <c r="M952">
        <v>92</v>
      </c>
      <c r="N952" t="s">
        <v>31</v>
      </c>
      <c r="O952" t="s">
        <v>28</v>
      </c>
      <c r="P952">
        <v>80</v>
      </c>
      <c r="Q952">
        <v>81</v>
      </c>
      <c r="R952" t="str" cm="1">
        <f t="array" ref="R952">_xlfn.IFS(Q952&gt;70,"Good",Q952&lt;40,"Bad",(Q952&gt;OS990*(Q952&lt;80)),"Ok")</f>
        <v>Good</v>
      </c>
      <c r="S952">
        <v>67</v>
      </c>
      <c r="T952" t="str" cm="1">
        <f t="array" ref="T952">_xlfn.IFS(S952&gt;50, "High", S952&lt;=50, "Low")</f>
        <v>High</v>
      </c>
      <c r="U952">
        <v>4</v>
      </c>
      <c r="V952">
        <v>0</v>
      </c>
      <c r="W952">
        <v>8</v>
      </c>
      <c r="X952">
        <v>6</v>
      </c>
      <c r="Y952">
        <f t="shared" ca="1" si="14"/>
        <v>47.262777569334766</v>
      </c>
    </row>
    <row r="953" spans="1:25" x14ac:dyDescent="0.3">
      <c r="A953" t="s">
        <v>1620</v>
      </c>
      <c r="B953" t="s">
        <v>1621</v>
      </c>
      <c r="C953">
        <v>3</v>
      </c>
      <c r="D953" s="1">
        <v>44854</v>
      </c>
      <c r="E953">
        <v>1320</v>
      </c>
      <c r="F953">
        <v>0</v>
      </c>
      <c r="G953">
        <v>29</v>
      </c>
      <c r="H953">
        <v>26</v>
      </c>
      <c r="I953">
        <v>17</v>
      </c>
      <c r="J953">
        <v>0</v>
      </c>
      <c r="K953">
        <v>0</v>
      </c>
      <c r="L953">
        <v>133895612</v>
      </c>
      <c r="M953">
        <v>97</v>
      </c>
      <c r="N953" t="s">
        <v>31</v>
      </c>
      <c r="O953" t="s">
        <v>28</v>
      </c>
      <c r="P953">
        <v>82</v>
      </c>
      <c r="Q953">
        <v>67</v>
      </c>
      <c r="R953" t="str" cm="1">
        <f t="array" ref="R953">_xlfn.IFS(Q953&gt;70,"Good",Q953&lt;40,"Bad",(Q953&gt;OS991*(Q953&lt;80)),"Ok")</f>
        <v>Ok</v>
      </c>
      <c r="S953">
        <v>77</v>
      </c>
      <c r="T953" t="str" cm="1">
        <f t="array" ref="T953">_xlfn.IFS(S953&gt;50, "High", S953&lt;=50, "Low")</f>
        <v>High</v>
      </c>
      <c r="U953">
        <v>8</v>
      </c>
      <c r="V953">
        <v>0</v>
      </c>
      <c r="W953">
        <v>12</v>
      </c>
      <c r="X953">
        <v>5</v>
      </c>
      <c r="Y953">
        <f t="shared" ca="1" si="14"/>
        <v>23.841688038469712</v>
      </c>
    </row>
    <row r="954" spans="1:25" x14ac:dyDescent="0.3">
      <c r="A954" t="s">
        <v>1622</v>
      </c>
      <c r="B954" t="s">
        <v>1524</v>
      </c>
      <c r="C954">
        <v>1</v>
      </c>
      <c r="D954" s="1">
        <v>44869</v>
      </c>
      <c r="E954">
        <v>782</v>
      </c>
      <c r="F954">
        <v>2</v>
      </c>
      <c r="G954">
        <v>27</v>
      </c>
      <c r="H954">
        <v>18</v>
      </c>
      <c r="I954">
        <v>32</v>
      </c>
      <c r="J954">
        <v>1</v>
      </c>
      <c r="K954">
        <v>0</v>
      </c>
      <c r="L954">
        <v>96007391</v>
      </c>
      <c r="M954">
        <v>90</v>
      </c>
      <c r="N954" t="s">
        <v>134</v>
      </c>
      <c r="O954" t="s">
        <v>45</v>
      </c>
      <c r="P954">
        <v>61</v>
      </c>
      <c r="Q954">
        <v>32</v>
      </c>
      <c r="R954" t="str" cm="1">
        <f t="array" ref="R954">_xlfn.IFS(Q954&gt;70,"Good",Q954&lt;40,"Bad",(Q954&gt;OS992*(Q954&lt;80)),"Ok")</f>
        <v>Bad</v>
      </c>
      <c r="S954">
        <v>67</v>
      </c>
      <c r="T954" t="str" cm="1">
        <f t="array" ref="T954">_xlfn.IFS(S954&gt;50, "High", S954&lt;=50, "Low")</f>
        <v>High</v>
      </c>
      <c r="U954">
        <v>15</v>
      </c>
      <c r="V954">
        <v>0</v>
      </c>
      <c r="W954">
        <v>11</v>
      </c>
      <c r="X954">
        <v>5</v>
      </c>
      <c r="Y954">
        <f t="shared" ca="1" si="14"/>
        <v>26.78978189596447</v>
      </c>
    </row>
  </sheetData>
  <pageMargins left="0.75" right="0.75" top="1" bottom="1" header="0.5" footer="0.5"/>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E14D7-E26E-4B77-8FD4-3EE3D178FFDE}">
  <sheetPr codeName="Sheet6"/>
  <dimension ref="B2:E7"/>
  <sheetViews>
    <sheetView workbookViewId="0">
      <selection activeCell="D14" sqref="D14"/>
    </sheetView>
  </sheetViews>
  <sheetFormatPr defaultRowHeight="15.6" x14ac:dyDescent="0.3"/>
  <cols>
    <col min="2" max="2" width="10.69921875" bestFit="1" customWidth="1"/>
  </cols>
  <sheetData>
    <row r="2" spans="2:5" x14ac:dyDescent="0.3">
      <c r="B2" t="s">
        <v>1623</v>
      </c>
      <c r="C2" t="s">
        <v>1624</v>
      </c>
      <c r="D2" t="s">
        <v>1625</v>
      </c>
      <c r="E2" t="s">
        <v>1626</v>
      </c>
    </row>
    <row r="3" spans="2:5" x14ac:dyDescent="0.3">
      <c r="B3" s="12" t="str" cm="1">
        <f t="array" ref="B3:E7">Data!AA6:AD10</f>
        <v>Do They Know It's Christmas? - 1984 Version</v>
      </c>
      <c r="C3">
        <v>27</v>
      </c>
      <c r="D3">
        <v>60</v>
      </c>
      <c r="E3">
        <v>0</v>
      </c>
    </row>
    <row r="4" spans="2:5" x14ac:dyDescent="0.3">
      <c r="B4" t="str">
        <v>Hits Different</v>
      </c>
      <c r="C4">
        <v>30</v>
      </c>
      <c r="D4">
        <v>67</v>
      </c>
      <c r="E4">
        <v>15</v>
      </c>
    </row>
    <row r="5" spans="2:5" x14ac:dyDescent="0.3">
      <c r="B5" t="str">
        <v>So Good</v>
      </c>
      <c r="C5">
        <v>18</v>
      </c>
      <c r="D5">
        <v>63</v>
      </c>
      <c r="E5">
        <v>4</v>
      </c>
    </row>
    <row r="6" spans="2:5" x14ac:dyDescent="0.3">
      <c r="B6" t="str">
        <v>Creepin'</v>
      </c>
      <c r="C6">
        <v>8</v>
      </c>
      <c r="D6">
        <v>71</v>
      </c>
      <c r="E6">
        <v>36</v>
      </c>
    </row>
    <row r="7" spans="2:5" x14ac:dyDescent="0.3">
      <c r="B7" t="str">
        <v>Lo Siento BB:/ (with Bad Bunny &amp; Julieta Venegas)</v>
      </c>
      <c r="C7">
        <v>9</v>
      </c>
      <c r="D7">
        <v>64</v>
      </c>
      <c r="E7">
        <v>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BB9C6-B90C-40ED-B58B-6686D614E163}">
  <sheetPr codeName="Sheet2">
    <pageSetUpPr autoPageBreaks="0"/>
  </sheetPr>
  <dimension ref="A9:X33"/>
  <sheetViews>
    <sheetView showGridLines="0" tabSelected="1" zoomScale="42" zoomScaleNormal="34" workbookViewId="0">
      <selection activeCell="U12" sqref="U12"/>
    </sheetView>
  </sheetViews>
  <sheetFormatPr defaultColWidth="8.69921875" defaultRowHeight="15.6" x14ac:dyDescent="0.3"/>
  <cols>
    <col min="1" max="1" width="8.69921875" style="11"/>
    <col min="2" max="2" width="18.5" style="11" bestFit="1" customWidth="1"/>
    <col min="3" max="3" width="6.19921875" style="11" bestFit="1" customWidth="1"/>
    <col min="4" max="9" width="8.69921875" style="11"/>
    <col min="10" max="10" width="5.69921875" style="11" customWidth="1"/>
    <col min="11" max="11" width="15.69921875" style="11" customWidth="1"/>
    <col min="12" max="12" width="18.19921875" style="11" customWidth="1"/>
    <col min="13" max="13" width="15.8984375" style="11" customWidth="1"/>
    <col min="14" max="16384" width="8.69921875" style="11"/>
  </cols>
  <sheetData>
    <row r="9" spans="7:11" ht="33.6" x14ac:dyDescent="0.65">
      <c r="G9" s="18"/>
      <c r="H9" s="18"/>
      <c r="I9" s="18"/>
      <c r="J9" s="19">
        <v>1</v>
      </c>
      <c r="K9" s="13" t="str" cm="1">
        <f t="array" ref="K9:K13">Sheet3!B3:B7</f>
        <v>Do They Know It's Christmas? - 1984 Version</v>
      </c>
    </row>
    <row r="10" spans="7:11" ht="33.6" x14ac:dyDescent="0.65">
      <c r="G10" s="18"/>
      <c r="H10" s="18"/>
      <c r="I10" s="18"/>
      <c r="J10" s="20">
        <v>2</v>
      </c>
      <c r="K10" s="14" t="str">
        <v>Hits Different</v>
      </c>
    </row>
    <row r="11" spans="7:11" ht="33.6" x14ac:dyDescent="0.65">
      <c r="G11" s="18"/>
      <c r="H11" s="18"/>
      <c r="I11" s="18"/>
      <c r="J11" s="20">
        <v>3</v>
      </c>
      <c r="K11" s="14" t="str">
        <v>So Good</v>
      </c>
    </row>
    <row r="12" spans="7:11" ht="33.6" x14ac:dyDescent="0.65">
      <c r="G12" s="18"/>
      <c r="H12" s="18"/>
      <c r="I12" s="18"/>
      <c r="J12" s="20">
        <v>4</v>
      </c>
      <c r="K12" s="14" t="str">
        <v>Creepin'</v>
      </c>
    </row>
    <row r="13" spans="7:11" ht="33.6" x14ac:dyDescent="0.65">
      <c r="G13" s="18"/>
      <c r="H13" s="18"/>
      <c r="I13" s="18"/>
      <c r="J13" s="20">
        <v>5</v>
      </c>
      <c r="K13" s="14" t="str">
        <v>Lo Siento BB:/ (with Bad Bunny &amp; Julieta Venegas)</v>
      </c>
    </row>
    <row r="19" spans="1:24" ht="33.6" x14ac:dyDescent="0.65">
      <c r="N19" s="14"/>
      <c r="O19" s="18"/>
      <c r="P19" s="18"/>
      <c r="Q19" s="18"/>
      <c r="R19" s="18"/>
      <c r="S19" s="18"/>
      <c r="T19" s="18"/>
      <c r="U19" s="18"/>
      <c r="V19" s="18"/>
      <c r="W19" s="18"/>
      <c r="X19" s="18"/>
    </row>
    <row r="20" spans="1:24" ht="33.6" x14ac:dyDescent="0.65">
      <c r="W20" s="18"/>
      <c r="X20" s="18"/>
    </row>
    <row r="21" spans="1:24" ht="33.6" x14ac:dyDescent="0.65">
      <c r="W21" s="18"/>
      <c r="X21" s="18"/>
    </row>
    <row r="22" spans="1:24" ht="33.6" x14ac:dyDescent="0.65">
      <c r="W22" s="18"/>
      <c r="X22" s="18"/>
    </row>
    <row r="23" spans="1:24" ht="33.6" x14ac:dyDescent="0.65">
      <c r="W23" s="18"/>
      <c r="X23" s="18"/>
    </row>
    <row r="24" spans="1:24" ht="33.6" x14ac:dyDescent="0.65">
      <c r="W24" s="18"/>
      <c r="X24" s="18"/>
    </row>
    <row r="25" spans="1:24" ht="33.6" x14ac:dyDescent="0.65">
      <c r="A25" s="15"/>
      <c r="B25" s="15"/>
      <c r="C25" s="15"/>
      <c r="D25" s="15"/>
      <c r="E25" s="15"/>
      <c r="F25" s="15"/>
      <c r="G25" s="15"/>
      <c r="H25" s="15"/>
      <c r="I25" s="15"/>
      <c r="J25" s="15"/>
      <c r="N25" s="18"/>
      <c r="O25" s="18"/>
      <c r="P25" s="18"/>
      <c r="Q25" s="18"/>
      <c r="R25" s="18"/>
      <c r="S25" s="18"/>
      <c r="T25" s="18"/>
      <c r="U25" s="18"/>
      <c r="V25" s="18"/>
      <c r="W25" s="18"/>
      <c r="X25" s="18"/>
    </row>
    <row r="26" spans="1:24" ht="33.6" x14ac:dyDescent="0.65">
      <c r="A26" s="15"/>
      <c r="B26" s="16"/>
      <c r="C26" s="17"/>
      <c r="D26" s="17"/>
      <c r="E26" s="15"/>
      <c r="F26" s="15"/>
      <c r="G26" s="15"/>
      <c r="H26" s="15"/>
      <c r="I26" s="15"/>
      <c r="J26" s="15"/>
      <c r="N26" s="18"/>
      <c r="O26" s="18"/>
      <c r="P26" s="18"/>
      <c r="Q26" s="18"/>
      <c r="R26" s="18"/>
      <c r="S26" s="18"/>
      <c r="T26" s="18"/>
      <c r="U26" s="18"/>
      <c r="V26" s="18"/>
      <c r="W26" s="18"/>
      <c r="X26" s="18"/>
    </row>
    <row r="27" spans="1:24" ht="25.8" x14ac:dyDescent="0.5">
      <c r="A27" s="15"/>
      <c r="B27" s="17"/>
      <c r="C27" s="17"/>
      <c r="D27" s="17"/>
      <c r="E27" s="15"/>
      <c r="F27" s="15"/>
      <c r="G27" s="15"/>
      <c r="H27" s="15"/>
      <c r="I27" s="15"/>
      <c r="J27" s="15"/>
    </row>
    <row r="28" spans="1:24" ht="25.8" x14ac:dyDescent="0.5">
      <c r="A28" s="15"/>
      <c r="B28" s="17"/>
      <c r="C28" s="17"/>
      <c r="D28" s="17"/>
      <c r="E28" s="15"/>
      <c r="F28" s="15"/>
      <c r="G28" s="15"/>
      <c r="H28" s="15"/>
      <c r="I28" s="15"/>
      <c r="J28" s="15"/>
    </row>
    <row r="29" spans="1:24" ht="25.8" x14ac:dyDescent="0.5">
      <c r="A29" s="15"/>
      <c r="B29" s="17"/>
      <c r="C29" s="17"/>
      <c r="D29" s="17"/>
      <c r="E29" s="15"/>
      <c r="F29" s="15"/>
      <c r="G29" s="15"/>
      <c r="H29" s="15"/>
      <c r="I29" s="15"/>
      <c r="J29" s="15"/>
    </row>
    <row r="30" spans="1:24" ht="25.8" x14ac:dyDescent="0.5">
      <c r="A30" s="15"/>
      <c r="B30" s="17"/>
      <c r="C30" s="17"/>
      <c r="D30" s="17"/>
      <c r="E30" s="15"/>
      <c r="F30" s="15"/>
      <c r="G30" s="15"/>
      <c r="H30" s="15"/>
      <c r="I30" s="15"/>
      <c r="J30" s="15"/>
    </row>
    <row r="31" spans="1:24" ht="25.8" x14ac:dyDescent="0.5">
      <c r="A31" s="15"/>
      <c r="B31" s="15"/>
      <c r="C31" s="15"/>
      <c r="D31" s="15"/>
      <c r="E31" s="15"/>
      <c r="F31" s="15"/>
      <c r="G31" s="15"/>
      <c r="H31" s="15"/>
      <c r="I31" s="15"/>
      <c r="J31" s="15"/>
    </row>
    <row r="32" spans="1:24" ht="25.8" x14ac:dyDescent="0.5">
      <c r="A32" s="15"/>
      <c r="B32" s="15"/>
      <c r="C32" s="15"/>
      <c r="D32" s="15"/>
      <c r="E32" s="15"/>
      <c r="F32" s="15"/>
      <c r="G32" s="15"/>
      <c r="H32" s="15"/>
      <c r="I32" s="15"/>
      <c r="J32" s="15"/>
    </row>
    <row r="33" spans="1:10" ht="25.8" x14ac:dyDescent="0.5">
      <c r="A33" s="15"/>
      <c r="B33" s="15"/>
      <c r="C33" s="15"/>
      <c r="D33" s="15"/>
      <c r="E33" s="15"/>
      <c r="F33" s="15"/>
      <c r="G33" s="15"/>
      <c r="H33" s="15"/>
      <c r="I33" s="15"/>
      <c r="J33" s="15"/>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950D0-4749-6D4E-BED3-3C7938F1B776}">
  <sheetPr codeName="Sheet3"/>
  <dimension ref="A1:A35"/>
  <sheetViews>
    <sheetView showGridLines="0" topLeftCell="A14" zoomScale="125" workbookViewId="0"/>
  </sheetViews>
  <sheetFormatPr defaultColWidth="11.19921875" defaultRowHeight="15.6" x14ac:dyDescent="0.3"/>
  <cols>
    <col min="1" max="1" width="156.19921875" style="8" customWidth="1"/>
  </cols>
  <sheetData>
    <row r="1" spans="1:1" x14ac:dyDescent="0.3">
      <c r="A1" s="5" t="s">
        <v>1627</v>
      </c>
    </row>
    <row r="2" spans="1:1" x14ac:dyDescent="0.3">
      <c r="A2" s="9" t="s">
        <v>1628</v>
      </c>
    </row>
    <row r="3" spans="1:1" x14ac:dyDescent="0.3">
      <c r="A3" s="6" t="s">
        <v>1629</v>
      </c>
    </row>
    <row r="4" spans="1:1" x14ac:dyDescent="0.3">
      <c r="A4" s="6" t="s">
        <v>1630</v>
      </c>
    </row>
    <row r="5" spans="1:1" x14ac:dyDescent="0.3">
      <c r="A5" s="7"/>
    </row>
    <row r="6" spans="1:1" x14ac:dyDescent="0.3">
      <c r="A6" s="5" t="s">
        <v>1631</v>
      </c>
    </row>
    <row r="7" spans="1:1" x14ac:dyDescent="0.3">
      <c r="A7" s="6" t="s">
        <v>1632</v>
      </c>
    </row>
    <row r="8" spans="1:1" x14ac:dyDescent="0.3">
      <c r="A8" s="6" t="s">
        <v>1633</v>
      </c>
    </row>
    <row r="9" spans="1:1" x14ac:dyDescent="0.3">
      <c r="A9" s="6" t="s">
        <v>1634</v>
      </c>
    </row>
    <row r="10" spans="1:1" x14ac:dyDescent="0.3">
      <c r="A10" s="6" t="s">
        <v>1635</v>
      </c>
    </row>
    <row r="11" spans="1:1" x14ac:dyDescent="0.3">
      <c r="A11" s="6" t="s">
        <v>1636</v>
      </c>
    </row>
    <row r="12" spans="1:1" x14ac:dyDescent="0.3">
      <c r="A12" s="6" t="s">
        <v>1637</v>
      </c>
    </row>
    <row r="13" spans="1:1" x14ac:dyDescent="0.3">
      <c r="A13" s="6" t="s">
        <v>1638</v>
      </c>
    </row>
    <row r="14" spans="1:1" x14ac:dyDescent="0.3">
      <c r="A14" s="6" t="s">
        <v>1639</v>
      </c>
    </row>
    <row r="15" spans="1:1" x14ac:dyDescent="0.3">
      <c r="A15" s="6" t="s">
        <v>1640</v>
      </c>
    </row>
    <row r="16" spans="1:1" x14ac:dyDescent="0.3">
      <c r="A16" s="6" t="s">
        <v>1641</v>
      </c>
    </row>
    <row r="17" spans="1:1" x14ac:dyDescent="0.3">
      <c r="A17" s="6" t="s">
        <v>1642</v>
      </c>
    </row>
    <row r="18" spans="1:1" x14ac:dyDescent="0.3">
      <c r="A18" s="6" t="s">
        <v>1643</v>
      </c>
    </row>
    <row r="19" spans="1:1" x14ac:dyDescent="0.3">
      <c r="A19" s="6" t="s">
        <v>1644</v>
      </c>
    </row>
    <row r="20" spans="1:1" x14ac:dyDescent="0.3">
      <c r="A20" s="6" t="s">
        <v>1645</v>
      </c>
    </row>
    <row r="21" spans="1:1" x14ac:dyDescent="0.3">
      <c r="A21" s="6" t="s">
        <v>1646</v>
      </c>
    </row>
    <row r="22" spans="1:1" x14ac:dyDescent="0.3">
      <c r="A22" s="6" t="s">
        <v>1647</v>
      </c>
    </row>
    <row r="23" spans="1:1" x14ac:dyDescent="0.3">
      <c r="A23" s="6" t="s">
        <v>1648</v>
      </c>
    </row>
    <row r="24" spans="1:1" x14ac:dyDescent="0.3">
      <c r="A24" s="6" t="s">
        <v>1649</v>
      </c>
    </row>
    <row r="25" spans="1:1" x14ac:dyDescent="0.3">
      <c r="A25" s="6" t="s">
        <v>1650</v>
      </c>
    </row>
    <row r="26" spans="1:1" x14ac:dyDescent="0.3">
      <c r="A26" s="6" t="s">
        <v>1651</v>
      </c>
    </row>
    <row r="27" spans="1:1" x14ac:dyDescent="0.3">
      <c r="A27" s="6" t="s">
        <v>1652</v>
      </c>
    </row>
    <row r="28" spans="1:1" x14ac:dyDescent="0.3">
      <c r="A28" s="6" t="s">
        <v>1653</v>
      </c>
    </row>
    <row r="29" spans="1:1" x14ac:dyDescent="0.3">
      <c r="A29" s="6"/>
    </row>
    <row r="30" spans="1:1" x14ac:dyDescent="0.3">
      <c r="A30" s="5" t="s">
        <v>1654</v>
      </c>
    </row>
    <row r="31" spans="1:1" x14ac:dyDescent="0.3">
      <c r="A31" s="9" t="s">
        <v>1655</v>
      </c>
    </row>
    <row r="32" spans="1:1" x14ac:dyDescent="0.3">
      <c r="A32" s="6" t="s">
        <v>1656</v>
      </c>
    </row>
    <row r="33" spans="1:1" x14ac:dyDescent="0.3">
      <c r="A33" s="6" t="s">
        <v>1657</v>
      </c>
    </row>
    <row r="34" spans="1:1" x14ac:dyDescent="0.3">
      <c r="A34" s="6" t="s">
        <v>1658</v>
      </c>
    </row>
    <row r="35" spans="1:1" x14ac:dyDescent="0.3">
      <c r="A35" s="7" t="s">
        <v>1659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26</vt:i4>
      </vt:variant>
    </vt:vector>
  </HeadingPairs>
  <TitlesOfParts>
    <vt:vector size="30" baseType="lpstr">
      <vt:lpstr>Data</vt:lpstr>
      <vt:lpstr>Sheet3</vt:lpstr>
      <vt:lpstr>Project Output</vt:lpstr>
      <vt:lpstr>Data Dictionary</vt:lpstr>
      <vt:lpstr>acousticness</vt:lpstr>
      <vt:lpstr>artists_name</vt:lpstr>
      <vt:lpstr>bpm</vt:lpstr>
      <vt:lpstr>danceability</vt:lpstr>
      <vt:lpstr>energy</vt:lpstr>
      <vt:lpstr>Energy_Level</vt:lpstr>
      <vt:lpstr>in_apple_charts</vt:lpstr>
      <vt:lpstr>in_apple_playlists</vt:lpstr>
      <vt:lpstr>in_deezer_charts</vt:lpstr>
      <vt:lpstr>in_deezer_playlists</vt:lpstr>
      <vt:lpstr>in_shazam_charts</vt:lpstr>
      <vt:lpstr>in_spotify_charts</vt:lpstr>
      <vt:lpstr>in_spotify_playlists</vt:lpstr>
      <vt:lpstr>instrumentalness</vt:lpstr>
      <vt:lpstr>key</vt:lpstr>
      <vt:lpstr>liveness</vt:lpstr>
      <vt:lpstr>mode</vt:lpstr>
      <vt:lpstr>Mood</vt:lpstr>
      <vt:lpstr>num_artists</vt:lpstr>
      <vt:lpstr>Random</vt:lpstr>
      <vt:lpstr>release_date</vt:lpstr>
      <vt:lpstr>speechiness</vt:lpstr>
      <vt:lpstr>streams</vt:lpstr>
      <vt:lpstr>track_name</vt:lpstr>
      <vt:lpstr>TStart</vt:lpstr>
      <vt:lpstr>valence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Richeal, Gavin</cp:lastModifiedBy>
  <cp:revision/>
  <dcterms:created xsi:type="dcterms:W3CDTF">2024-04-08T19:33:52Z</dcterms:created>
  <dcterms:modified xsi:type="dcterms:W3CDTF">2024-09-03T18:59:41Z</dcterms:modified>
  <cp:category/>
  <cp:contentStatus/>
</cp:coreProperties>
</file>